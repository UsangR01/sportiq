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90265004-76AB-4F7C-9EC9-82B158556ED4}" xr6:coauthVersionLast="47" xr6:coauthVersionMax="47" xr10:uidLastSave="{00000000-0000-0000-0000-000000000000}"/>
  <bookViews>
    <workbookView xWindow="-96" yWindow="-96" windowWidth="23232" windowHeight="12432" xr2:uid="{00000000-000D-0000-FFFF-FFFF00000000}"/>
  </bookViews>
  <sheets>
    <sheet name="Delivery Board" sheetId="1" r:id="rId1"/>
    <sheet name="Architecture" sheetId="2" r:id="rId2"/>
    <sheet name="Epic Summary" sheetId="3" r:id="rId3"/>
    <sheet name="Risks &amp; Decisions" sheetId="4" r:id="rId4"/>
    <sheet name="APIs &amp; Quota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98" i="1" l="1"/>
  <c r="R197" i="1"/>
  <c r="R196" i="1"/>
  <c r="R194" i="1"/>
  <c r="R195" i="1" s="1"/>
  <c r="R193" i="1"/>
  <c r="R192" i="1"/>
  <c r="R191" i="1"/>
  <c r="R190" i="1"/>
  <c r="R189" i="1"/>
  <c r="R188" i="1"/>
  <c r="R186" i="1"/>
  <c r="R187" i="1" s="1"/>
  <c r="R185" i="1"/>
  <c r="R184" i="1"/>
  <c r="R182" i="1"/>
  <c r="R183" i="1" s="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1" i="1"/>
  <c r="R32" i="1" s="1"/>
  <c r="R33" i="1" s="1"/>
  <c r="R34" i="1" s="1"/>
  <c r="R35" i="1" s="1"/>
  <c r="R36" i="1" s="1"/>
  <c r="R37" i="1" s="1"/>
  <c r="R27" i="1"/>
  <c r="R28" i="1" s="1"/>
  <c r="R29" i="1" s="1"/>
  <c r="R30" i="1" s="1"/>
  <c r="R22" i="1"/>
  <c r="R23" i="1" s="1"/>
  <c r="R24" i="1" s="1"/>
  <c r="R25" i="1" s="1"/>
  <c r="R26" i="1" s="1"/>
  <c r="R17" i="1"/>
  <c r="R18" i="1" s="1"/>
  <c r="R19" i="1" s="1"/>
  <c r="R20" i="1" s="1"/>
  <c r="R21" i="1" s="1"/>
  <c r="R14" i="1"/>
  <c r="R15" i="1" s="1"/>
  <c r="R16" i="1" s="1"/>
  <c r="R9" i="1"/>
  <c r="R10" i="1" s="1"/>
  <c r="R11" i="1" s="1"/>
  <c r="R12" i="1" s="1"/>
  <c r="R13" i="1" s="1"/>
  <c r="R5" i="1"/>
  <c r="R6" i="1" l="1"/>
  <c r="R7" i="1" l="1"/>
  <c r="E14" i="3" l="1"/>
  <c r="R8" i="1"/>
  <c r="E10" i="3"/>
  <c r="D14" i="3"/>
  <c r="D12" i="3"/>
  <c r="E9" i="3"/>
  <c r="D10" i="3"/>
  <c r="C7" i="3"/>
  <c r="B7" i="3" s="1"/>
  <c r="F7" i="3" s="1"/>
  <c r="E5" i="3"/>
  <c r="D9" i="3"/>
  <c r="D11" i="3"/>
  <c r="E4" i="3"/>
  <c r="C11" i="3"/>
  <c r="E13" i="3"/>
  <c r="D6" i="3"/>
  <c r="C14" i="3"/>
  <c r="B14" i="3" s="1"/>
  <c r="F14" i="3" s="1"/>
  <c r="C6" i="3"/>
  <c r="D7" i="3"/>
  <c r="C4" i="3"/>
  <c r="C9" i="3"/>
  <c r="B9" i="3" s="1"/>
  <c r="F9" i="3" s="1"/>
  <c r="E7" i="3"/>
  <c r="D4" i="3"/>
  <c r="E8" i="3"/>
  <c r="D5" i="3"/>
  <c r="B4" i="3" l="1"/>
  <c r="D8" i="3"/>
  <c r="C12" i="3"/>
  <c r="E6" i="3"/>
  <c r="C13" i="3"/>
  <c r="D13" i="3"/>
  <c r="C5" i="3"/>
  <c r="B5" i="3" s="1"/>
  <c r="F5" i="3" s="1"/>
  <c r="E11" i="3"/>
  <c r="B11" i="3" s="1"/>
  <c r="F11" i="3" s="1"/>
  <c r="E12" i="3"/>
  <c r="C10" i="3"/>
  <c r="B10" i="3" s="1"/>
  <c r="F10" i="3" s="1"/>
  <c r="C8" i="3"/>
  <c r="D16" i="3" l="1"/>
  <c r="E16" i="3"/>
  <c r="B8" i="3"/>
  <c r="F8" i="3" s="1"/>
  <c r="B12" i="3"/>
  <c r="F12" i="3" s="1"/>
  <c r="B6" i="3"/>
  <c r="F6" i="3" s="1"/>
  <c r="F4" i="3"/>
  <c r="C16" i="3"/>
  <c r="B13" i="3"/>
  <c r="F13" i="3" s="1"/>
  <c r="B16" i="3" l="1"/>
  <c r="B18" i="3" l="1"/>
  <c r="F16" i="3"/>
</calcChain>
</file>

<file path=xl/sharedStrings.xml><?xml version="1.0" encoding="utf-8"?>
<sst xmlns="http://schemas.openxmlformats.org/spreadsheetml/2006/main" count="1454" uniqueCount="728">
  <si>
    <t>SportIQ — Delivery Board &amp; Roadmap</t>
  </si>
  <si>
    <t>Delivered dates are REAL (git history, first commit 2026-07-28). Dates from 2026-08-05 onward are PROPOSED. Updated 2026-08-04.</t>
  </si>
  <si>
    <t>Epic</t>
  </si>
  <si>
    <t>Feature / Deliverable</t>
  </si>
  <si>
    <t>Status</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</si>
  <si>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</si>
  <si>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</si>
  <si>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</si>
  <si>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</si>
  <si>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</si>
  <si>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</si>
  <si>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</si>
  <si>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</si>
  <si>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</si>
  <si>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</si>
  <si>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</si>
  <si>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</si>
  <si>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</si>
  <si>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</si>
  <si>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</si>
  <si>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</si>
  <si>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</si>
  <si>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</si>
  <si>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</si>
  <si>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</si>
  <si>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</si>
  <si>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</si>
  <si>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</si>
  <si>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</si>
  <si>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</si>
  <si>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</si>
  <si>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</si>
  <si>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</si>
  <si>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</si>
  <si>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</si>
  <si>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</si>
  <si>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</si>
  <si>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</si>
  <si>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</si>
  <si>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</si>
  <si>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</si>
  <si>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</si>
  <si>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</si>
  <si>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</si>
  <si>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</si>
  <si>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</si>
  <si>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</si>
  <si>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</si>
  <si>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</si>
  <si>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</si>
  <si>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</si>
  <si>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</si>
  <si>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</si>
  <si>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</si>
  <si>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</si>
  <si>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</si>
  <si>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</si>
  <si>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</si>
  <si>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</si>
  <si>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</si>
  <si>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</si>
  <si>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</si>
  <si>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</si>
  <si>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</si>
  <si>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</si>
  <si>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</si>
  <si>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</si>
  <si>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</si>
  <si>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</si>
  <si>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</si>
  <si>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</si>
  <si>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</si>
  <si>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</si>
  <si>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</si>
  <si>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</si>
  <si>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</si>
  <si>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</si>
  <si>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</si>
  <si>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</si>
  <si>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</si>
  <si>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</si>
  <si>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</si>
  <si>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</si>
  <si>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</si>
  <si>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</si>
  <si>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</si>
  <si>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</si>
  <si>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</si>
  <si>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</si>
  <si>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</si>
  <si>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</si>
  <si>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</si>
  <si>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</si>
  <si>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</si>
  <si>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</si>
  <si>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</si>
  <si>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</si>
  <si>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</si>
  <si>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</si>
  <si>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</si>
  <si>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</si>
  <si>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</si>
  <si>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</si>
  <si>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</si>
  <si>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</si>
  <si>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</si>
  <si>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</si>
  <si>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</si>
  <si>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</si>
  <si>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</si>
  <si>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</si>
  <si>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</si>
  <si>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</si>
  <si>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</si>
  <si>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</si>
  <si>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</si>
  <si>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</si>
  <si>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</si>
  <si>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</si>
  <si>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</si>
  <si>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</si>
  <si>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</si>
  <si>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</si>
  <si>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</si>
  <si>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</si>
  <si>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</si>
  <si>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</si>
  <si>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</si>
  <si>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Planned</t>
  </si>
  <si>
    <t>Last untried O/U lever; data already collected</t>
  </si>
  <si>
    <t>E9 Data Ops</t>
  </si>
  <si>
    <t>TheRundown Pro upgrade</t>
  </si>
  <si>
    <t>Pro active: 5,000 req/month confirmed live (was 1,000). Cadence stays 6h - worst case at 3h is 134% of quota</t>
  </si>
  <si>
    <t>Narrow odds lookahead window</t>
  </si>
  <si>
    <t>Halves per-league cost</t>
  </si>
  <si>
    <t>Re-test API-Football European odds</t>
  </si>
  <si>
    <t>Merged into row 135 (same check, two entries)</t>
  </si>
  <si>
    <t>EPL 2026-27 season opens</t>
  </si>
  <si>
    <t>Milestone</t>
  </si>
  <si>
    <t>First real load test</t>
  </si>
  <si>
    <t>API-Football renewal</t>
  </si>
  <si>
    <t>Auto-renews</t>
  </si>
  <si>
    <t>Fix 9 tennis DRAW outcomes</t>
  </si>
  <si>
    <t>Was tracked as 9; actual total 41. Purge cleared 31, 10 remain</t>
  </si>
  <si>
    <t>WTA subscription + collection</t>
  </si>
  <si>
    <t>Blocked</t>
  </si>
  <si>
    <t>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</si>
  <si>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</si>
  <si>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</si>
  <si>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</si>
  <si>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</si>
  <si>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</si>
  <si>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</si>
  <si>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</si>
  <si>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</si>
  <si>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</si>
  <si>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</si>
  <si>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</si>
  <si>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</si>
  <si>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</si>
  <si>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</si>
  <si>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</si>
  <si>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</si>
  <si>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</si>
  <si>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</si>
  <si>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</si>
  <si>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</si>
  <si>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</si>
  <si>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No .env in prod</t>
  </si>
  <si>
    <t>Monitoring + alerting (Sentry)</t>
  </si>
  <si>
    <t>Silent failures found twice</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</si>
  <si>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</si>
  <si>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</si>
  <si>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</si>
  <si>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</si>
  <si>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</si>
  <si>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</si>
  <si>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</si>
  <si>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</si>
  <si>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</si>
  <si>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tsc is the only check</t>
  </si>
  <si>
    <t>Production deploy - FOOTBALL</t>
  </si>
  <si>
    <t>Target</t>
  </si>
  <si>
    <t>Closed beta (football only)</t>
  </si>
  <si>
    <t>Real users, real feedback</t>
  </si>
  <si>
    <t>Public launch readiness review</t>
  </si>
  <si>
    <t>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</si>
  <si>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</si>
  <si>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</si>
  <si>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</si>
  <si>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</si>
  <si>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</si>
  <si>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</si>
  <si>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</si>
  <si>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</si>
  <si>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</si>
  <si>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</si>
  <si>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Not just the web service — the prod version of today's bug</t>
  </si>
  <si>
    <t>GIT_SHA baked into image at build</t>
  </si>
  <si>
    <t>No working tree in a container</t>
  </si>
  <si>
    <t>Sentry + uptime alerting</t>
  </si>
  <si>
    <t>Injury worker failed unnoticed for weeks</t>
  </si>
  <si>
    <t>check_stale in CI / post-deploy smoke</t>
  </si>
  <si>
    <t>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</si>
  <si>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</si>
  <si>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</si>
  <si>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</si>
  <si>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</si>
  <si>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</si>
  <si>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</si>
  <si>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</si>
  <si>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</si>
  <si>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</si>
  <si>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</si>
  <si>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</si>
  <si>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</si>
  <si>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</si>
  <si>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</si>
  <si>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</si>
  <si>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Stage 1 + injury calls still run for features nothing consumes</t>
  </si>
  <si>
    <t>Pin 127.0.0.1 in compose/.env.example/runbook</t>
  </si>
  <si>
    <t>compose + .env.example + runbook troubleshooting row</t>
  </si>
  <si>
    <t>Collect historical closing odds</t>
  </si>
  <si>
    <t>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</si>
  <si>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</si>
  <si>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</si>
  <si>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</si>
  <si>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</si>
  <si>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</si>
  <si>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</si>
  <si>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</si>
  <si>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</si>
  <si>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</si>
  <si>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</si>
  <si>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</si>
  <si>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~7k calls = 94% of daily budget; measured no gain. Deferred by choice</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</si>
  <si>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</si>
  <si>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</si>
  <si>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</si>
  <si>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</si>
  <si>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</si>
  <si>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</si>
  <si>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</si>
  <si>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</si>
  <si>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</si>
  <si>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</si>
  <si>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</si>
  <si>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</si>
  <si>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</si>
  <si>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</si>
  <si>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</si>
  <si>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</si>
  <si>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</si>
  <si>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</si>
  <si>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</si>
  <si>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</si>
  <si>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</si>
  <si>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</si>
  <si>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</si>
  <si>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</si>
  <si>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</si>
  <si>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Migrations, 5 services, API 200s, beat-&gt;worker chain, model loaded from a filename row</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</si>
  <si>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</si>
  <si>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</si>
  <si>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</si>
  <si>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</si>
  <si>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</si>
  <si>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</si>
  <si>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</si>
  <si>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</si>
  <si>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</si>
  <si>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Dashboard rename; projectId stays valid so not a re-init</t>
  </si>
  <si>
    <t>Professional trademark clearance (UK + EU)</t>
  </si>
  <si>
    <t>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</si>
  <si>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</si>
  <si>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</si>
  <si>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</si>
  <si>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</si>
  <si>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</si>
  <si>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</si>
  <si>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</si>
  <si>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</si>
  <si>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</si>
  <si>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</si>
  <si>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</si>
  <si>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Repo is public; 2 min in Cloud Console makes the shipped key useless to others</t>
  </si>
  <si>
    <t>First real-device test session (dev build on Android)</t>
  </si>
  <si>
    <t>App installed and loading real data over the LAN. Found 3 bugs web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</si>
  <si>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</si>
  <si>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</si>
  <si>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</si>
  <si>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</si>
  <si>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</si>
  <si>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</si>
  <si>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</si>
  <si>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</si>
  <si>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</si>
  <si>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</si>
  <si>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</si>
  <si>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</si>
  <si>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</si>
  <si>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</si>
  <si>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</si>
  <si>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If it flips to True, TheRundown Pro is redundant and can be dropped</t>
  </si>
  <si>
    <t>Trace where the 1,000/month basic quota went</t>
  </si>
  <si>
    <t>A 5-min polling loop against out-of-season leagues. Yield: 2 rows, one NBA game</t>
  </si>
  <si>
    <t>TENNIS ODDS LIVE: ATP/WTA via TheRundown</t>
  </si>
  <si>
    <t>First odds tennis has ever had. 22 of 24 ATP fixtures priced; EV ranking now possible</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</si>
  <si>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</si>
  <si>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</si>
  <si>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</si>
  <si>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</si>
  <si>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</si>
  <si>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3 of 3 ATP matches inverted - looks systematic. Needs more days before concluding</t>
  </si>
  <si>
    <t>Merge duplicate API-Football odds re-test rows (54 and 135)</t>
  </si>
  <si>
    <t>Done - row 54 folded into row 135; 135 is the single 21 Aug re-check</t>
  </si>
  <si>
    <t>PostHog analytics (mobile only) - DEFERRED</t>
  </si>
  <si>
    <t>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</si>
  <si>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</si>
  <si>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</si>
  <si>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</si>
  <si>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</si>
  <si>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</si>
  <si>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acc 0.4916 (was .4837), RPS 0.2123 (was .2151), O/U z=+3.35 (was +2.96)</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</si>
  <si>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</si>
  <si>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</si>
  <si>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</si>
  <si>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</si>
  <si>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</si>
  <si>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</si>
  <si>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</si>
  <si>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</si>
  <si>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</si>
  <si>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</si>
  <si>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</si>
  <si>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</si>
  <si>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</si>
  <si>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</si>
  <si>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</si>
  <si>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</si>
  <si>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</si>
  <si>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Unlocks /match_stats, /odds, /head_to_head, /player_career_stats. Rate limit 60 -&gt; 600 req/min. WTA still 401 - separate subscription</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</si>
  <si>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</si>
  <si>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</si>
  <si>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</si>
  <si>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</si>
  <si>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</si>
  <si>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</si>
  <si>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</si>
  <si>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</si>
  <si>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</si>
  <si>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</si>
  <si>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</si>
  <si>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</si>
  <si>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</si>
  <si>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</si>
  <si>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</si>
  <si>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</si>
  <si>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</si>
  <si>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</si>
  <si>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</si>
  <si>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</si>
  <si>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</si>
  <si>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</si>
  <si>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</si>
  <si>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MLS has 5,088 game-log rows but ZERO lineups; bundesliga/laliga/ligue1/seriea likewise. ~1 call per fixture, ~9.5k total - needs staging across days</t>
  </si>
  <si>
    <t>Collect corners: 4 European leagues</t>
  </si>
  <si>
    <t>bundesliga/laliga/ligue1/seriea have no corners. ~7k calls. Was deferred as no-gain; the 0.75 blend now makes corners load-bearing</t>
  </si>
  <si>
    <t>NEXT: lineups for bundesliga/laliga/ligue1/seriea</t>
  </si>
  <si>
    <t>~7,028 calls, needs a full day's quota. Last gap in the 9-league pool. MUST land before the 29 Aug expiry</t>
  </si>
  <si>
    <t>NEXT: retrain on the complete 9-league pool</t>
  </si>
  <si>
    <t>First time all 9 have game log + xG + corners + lineups. Report 1X2, O/U trend z, corners MAE straight</t>
  </si>
  <si>
    <t>NEXT: re-fit the corners blend lambda after retrain</t>
  </si>
  <si>
    <t>0.75 was fitted against the CURRENT corners model. A better model deserves different weight - easy to forget and would leave a stale constant in production</t>
  </si>
  <si>
    <t>Closing odds capture + CLV metric</t>
  </si>
  <si>
    <t>HIGHEST VALUE. 59 of 8,718 rows populated. Without CLV we cannot tell whether picks beat the market or just backed short favourites</t>
  </si>
  <si>
    <t>Multiple form windows (3 / 5 / 10 / season)</t>
  </si>
  <si>
    <t>Currently last-5 only. The corners measurement showed longer windows improve monotonically (3&lt;5&lt;10&lt;20). No new data needed</t>
  </si>
  <si>
    <t>Wire shots / shots-on-target / possession as features</t>
  </si>
  <si>
    <t>ALREADY FETCHED for the H2H panel, just not model inputs. Shots predict goals better than goals do at small samples</t>
  </si>
  <si>
    <t>BTTS market</t>
  </si>
  <si>
    <t>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</si>
  <si>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</si>
  <si>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</si>
  <si>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</si>
  <si>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~5 calls per league. 1X2 + goals + BTTS need ONLY the game log; corners/lineups are the expensive per-fixture extras</t>
  </si>
  <si>
    <t>Check Expo push RECEIPTS, not just tickets</t>
  </si>
  <si>
    <t>_send_push discards the ticket id, so DeviceNotRegistered / bad FCM credential are invisible today. Fix before real users</t>
  </si>
  <si>
    <t>Purge 141 fake push tokens from the dev DB</t>
  </si>
  <si>
    <t>140 share ExponentPushToken[abcDEF123] from the test suite. A broad notify run would fire 140 doomed sends</t>
  </si>
  <si>
    <t>Dedicated test database</t>
  </si>
  <si>
    <t>Suite writes to dev; fake sports reached the app's own dropdown once already</t>
  </si>
  <si>
    <t>Extend ruff/black to ml/</t>
  </si>
  <si>
    <t>CI sets working-directory: backend, so ml/ has never been linted</t>
  </si>
  <si>
    <t>DECIDE by 22 Sep: renew API-Football Ultra?</t>
  </si>
  <si>
    <t>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</si>
  <si>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</si>
  <si>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</si>
  <si>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</si>
  <si>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</si>
  <si>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</si>
  <si>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</si>
  <si>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</si>
  <si>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</si>
  <si>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</si>
  <si>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</si>
  <si>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</si>
  <si>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</si>
  <si>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</si>
  <si>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</si>
  <si>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</si>
  <si>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</si>
  <si>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</si>
  <si>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</si>
  <si>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</si>
  <si>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</si>
  <si>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</si>
  <si>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</si>
  <si>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</si>
  <si>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</si>
  <si>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</si>
  <si>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</si>
  <si>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</si>
  <si>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</si>
  <si>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</si>
  <si>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</si>
  <si>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</si>
  <si>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</si>
  <si>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</si>
  <si>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</si>
  <si>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</si>
  <si>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</si>
  <si>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</si>
  <si>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Legend</t>
  </si>
  <si>
    <t>In progress</t>
  </si>
  <si>
    <t>SportIQ — End-to-End Architecture</t>
  </si>
  <si>
    <t>Data flows top to bottom.  Green = live and working   Amber = works with a real gap   Red = stubbed or blocked.  Offline training track shown separately at the foot.</t>
  </si>
  <si>
    <t>1 · EXTERNAL DATA PROVIDERS</t>
  </si>
  <si>
    <t>Vendors</t>
  </si>
  <si>
    <t>API-Football (Pro)
fixtures · team stats · injuries
H2H · lineups · corners</t>
  </si>
  <si>
    <t>TheRundown
odds: NBA + 5 EU + MLS
QUOTA EXHAUSTED</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</si>
  <si>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</si>
  <si>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</si>
  <si>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</si>
  <si>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</si>
  <si>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</si>
  <si>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</si>
  <si>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</si>
  <si>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</si>
  <si>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</si>
  <si>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</si>
  <si>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</si>
  <si>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</si>
  <si>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</si>
  <si>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</si>
  <si>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</si>
  <si>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</si>
  <si>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</si>
  <si>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</si>
  <si>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</si>
  <si>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</si>
  <si>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</si>
  <si>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</si>
  <si>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</si>
  <si>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</si>
  <si>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</si>
  <si>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</si>
  <si>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(25)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</si>
  <si>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</si>
  <si>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</si>
  <si>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</si>
  <si>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</si>
  <si>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</si>
  <si>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</si>
  <si>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</si>
  <si>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</si>
  <si>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</si>
  <si>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</si>
  <si>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</si>
  <si>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</si>
  <si>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</si>
  <si>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</si>
  <si>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</si>
  <si>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NO EAS PROJECT
cannot mint tokens</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</si>
  <si>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</si>
  <si>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</si>
  <si>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</si>
  <si>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</si>
  <si>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</si>
  <si>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</si>
  <si>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</si>
  <si>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</si>
  <si>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</si>
  <si>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</si>
  <si>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</si>
  <si>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</si>
  <si>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</si>
  <si>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</si>
  <si>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</si>
  <si>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</si>
  <si>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</si>
  <si>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</si>
  <si>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</si>
  <si>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</si>
  <si>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</si>
  <si>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Epic Summary</t>
  </si>
  <si>
    <t>Total</t>
  </si>
  <si>
    <t>In progress / Planned</t>
  </si>
  <si>
    <t>% Complete</t>
  </si>
  <si>
    <t>OVERALL</t>
  </si>
  <si>
    <t>Unassigned (should be 0)</t>
  </si>
  <si>
    <t>Auto-calculated from the Delivery Board. Add an epic here if 'Unassigned' is ever non-zero.</t>
  </si>
  <si>
    <t>Risks, Blockers &amp; Open Decisions</t>
  </si>
  <si>
    <t>Item</t>
  </si>
  <si>
    <t>Type</t>
  </si>
  <si>
    <t>Impact</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</si>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</sst>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74"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s>
  <fills count="74">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283">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7" fillId="5" borderId="1" xfId="0" applyFont="1" applyFill="1" applyBorder="1" applyAlignment="1">
      <alignment horizontal="left"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7" fillId="7" borderId="1" xfId="0" applyFont="1" applyFill="1" applyBorder="1" applyAlignment="1">
      <alignment horizontal="left"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4" fillId="17" borderId="7" xfId="0" applyFont="1" applyFill="1" applyBorder="1" applyAlignment="1">
      <alignment horizontal="center"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5" fillId="16" borderId="7" xfId="0" applyFont="1" applyFill="1" applyBorder="1" applyAlignment="1">
      <alignment horizontal="left"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5" fillId="18" borderId="7" xfId="0" applyFont="1" applyFill="1" applyBorder="1" applyAlignment="1">
      <alignment horizontal="left"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8" fillId="21" borderId="8" xfId="0" applyFont="1" applyFill="1" applyBorder="1" applyAlignment="1">
      <alignment horizontal="center"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9" fillId="20" borderId="8" xfId="0" applyFont="1" applyFill="1" applyBorder="1" applyAlignment="1">
      <alignment horizontal="left"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9" fillId="22" borderId="8" xfId="0" applyFont="1" applyFill="1" applyBorder="1" applyAlignment="1">
      <alignment horizontal="left"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2" fillId="26" borderId="9" xfId="0" applyFont="1" applyFill="1" applyBorder="1" applyAlignment="1">
      <alignment horizontal="center"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3" fillId="25" borderId="9" xfId="0" applyFont="1" applyFill="1" applyBorder="1" applyAlignment="1">
      <alignment horizontal="left"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6" fillId="29" borderId="10" xfId="0" applyFont="1" applyFill="1" applyBorder="1" applyAlignment="1">
      <alignment horizontal="center"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7" fillId="28" borderId="10" xfId="0" applyFont="1" applyFill="1" applyBorder="1" applyAlignment="1">
      <alignment horizontal="left"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7" fillId="30" borderId="10" xfId="0" applyFont="1" applyFill="1" applyBorder="1" applyAlignment="1">
      <alignment horizontal="left"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40" fillId="33" borderId="11" xfId="0" applyFont="1" applyFill="1" applyBorder="1" applyAlignment="1">
      <alignment horizontal="center"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41" fillId="32" borderId="11" xfId="0" applyFont="1" applyFill="1" applyBorder="1" applyAlignment="1">
      <alignment horizontal="left"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1" fillId="34" borderId="11" xfId="0" applyFont="1" applyFill="1" applyBorder="1" applyAlignment="1">
      <alignment horizontal="left"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4" fillId="37" borderId="12" xfId="0" applyFont="1" applyFill="1" applyBorder="1" applyAlignment="1">
      <alignment horizontal="center"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5" fillId="36" borderId="12" xfId="0" applyFont="1" applyFill="1" applyBorder="1" applyAlignment="1">
      <alignment horizontal="left"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4" fillId="39" borderId="12" xfId="0" applyFont="1" applyFill="1" applyBorder="1" applyAlignment="1">
      <alignment horizontal="center"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5" fillId="38" borderId="12" xfId="0" applyFont="1" applyFill="1" applyBorder="1" applyAlignment="1">
      <alignment horizontal="left" vertical="center"/>
    </xf>
    <xf numFmtId="0" fontId="43" fillId="39" borderId="12" xfId="0" applyFont="1" applyFill="1" applyBorder="1" applyAlignment="1">
      <alignment horizontal="left" vertical="center"/>
    </xf>
    <xf numFmtId="0" fontId="46" fillId="40" borderId="13" xfId="0" applyFont="1" applyFill="1" applyBorder="1" applyAlignment="1">
      <alignment horizontal="left" vertical="center"/>
    </xf>
    <xf numFmtId="0" fontId="47" fillId="40" borderId="13" xfId="0" applyFont="1" applyFill="1" applyBorder="1" applyAlignment="1">
      <alignment horizontal="left" vertical="center"/>
    </xf>
    <xf numFmtId="0" fontId="48" fillId="41" borderId="13" xfId="0" applyFont="1" applyFill="1" applyBorder="1" applyAlignment="1">
      <alignment horizontal="center" vertical="center"/>
    </xf>
    <xf numFmtId="0" fontId="47" fillId="40" borderId="13" xfId="0" applyFont="1" applyFill="1" applyBorder="1" applyAlignment="1">
      <alignment horizontal="center" vertical="center"/>
    </xf>
    <xf numFmtId="164" fontId="47" fillId="40" borderId="13" xfId="0" applyNumberFormat="1" applyFont="1" applyFill="1" applyBorder="1" applyAlignment="1">
      <alignment horizontal="center" vertical="center"/>
    </xf>
    <xf numFmtId="0" fontId="49" fillId="40" borderId="13" xfId="0" applyFont="1" applyFill="1" applyBorder="1" applyAlignment="1">
      <alignment horizontal="left" vertical="center"/>
    </xf>
    <xf numFmtId="0" fontId="47" fillId="41" borderId="13" xfId="0" applyFont="1" applyFill="1" applyBorder="1" applyAlignment="1">
      <alignment horizontal="left" vertical="center"/>
    </xf>
    <xf numFmtId="0" fontId="46" fillId="42" borderId="13" xfId="0" applyFont="1" applyFill="1" applyBorder="1" applyAlignment="1">
      <alignment horizontal="left" vertical="center"/>
    </xf>
    <xf numFmtId="0" fontId="47" fillId="42" borderId="13" xfId="0" applyFont="1" applyFill="1" applyBorder="1" applyAlignment="1">
      <alignment horizontal="left" vertical="center"/>
    </xf>
    <xf numFmtId="0" fontId="48" fillId="43" borderId="13" xfId="0" applyFont="1" applyFill="1" applyBorder="1" applyAlignment="1">
      <alignment horizontal="center" vertical="center"/>
    </xf>
    <xf numFmtId="0" fontId="47" fillId="42" borderId="13" xfId="0" applyFont="1" applyFill="1" applyBorder="1" applyAlignment="1">
      <alignment horizontal="center" vertical="center"/>
    </xf>
    <xf numFmtId="164" fontId="47" fillId="42" borderId="13" xfId="0" applyNumberFormat="1" applyFont="1" applyFill="1" applyBorder="1" applyAlignment="1">
      <alignment horizontal="center" vertical="center"/>
    </xf>
    <xf numFmtId="0" fontId="49" fillId="42" borderId="13" xfId="0" applyFont="1" applyFill="1" applyBorder="1" applyAlignment="1">
      <alignment horizontal="left" vertical="center"/>
    </xf>
    <xf numFmtId="0" fontId="47" fillId="43" borderId="13" xfId="0" applyFont="1" applyFill="1" applyBorder="1" applyAlignment="1">
      <alignment horizontal="left" vertical="center"/>
    </xf>
    <xf numFmtId="0" fontId="48" fillId="44" borderId="13" xfId="0" applyFont="1" applyFill="1" applyBorder="1" applyAlignment="1">
      <alignment horizontal="center" vertical="center"/>
    </xf>
    <xf numFmtId="0" fontId="47" fillId="44" borderId="13" xfId="0" applyFont="1" applyFill="1" applyBorder="1" applyAlignment="1">
      <alignment horizontal="left" vertical="center"/>
    </xf>
    <xf numFmtId="0" fontId="46" fillId="42" borderId="13" xfId="0" applyFont="1" applyFill="1" applyBorder="1" applyAlignment="1">
      <alignment horizontal="left" vertical="center" wrapText="1"/>
    </xf>
    <xf numFmtId="0" fontId="47" fillId="42"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7" fillId="40" borderId="13" xfId="0" applyFont="1" applyFill="1" applyBorder="1" applyAlignment="1">
      <alignment horizontal="left" vertical="center" wrapText="1"/>
    </xf>
    <xf numFmtId="0" fontId="50" fillId="45" borderId="14" xfId="0" applyFont="1" applyFill="1" applyBorder="1" applyAlignment="1">
      <alignment horizontal="left" vertical="center"/>
    </xf>
    <xf numFmtId="0" fontId="51" fillId="45" borderId="14" xfId="0" applyFont="1" applyFill="1" applyBorder="1" applyAlignment="1">
      <alignment horizontal="left" vertical="center"/>
    </xf>
    <xf numFmtId="0" fontId="52" fillId="46" borderId="14" xfId="0" applyFont="1" applyFill="1" applyBorder="1" applyAlignment="1">
      <alignment horizontal="center" vertical="center"/>
    </xf>
    <xf numFmtId="0" fontId="51" fillId="45" borderId="14" xfId="0" applyFont="1" applyFill="1" applyBorder="1" applyAlignment="1">
      <alignment horizontal="center" vertical="center"/>
    </xf>
    <xf numFmtId="164" fontId="51" fillId="45" borderId="14" xfId="0" applyNumberFormat="1" applyFont="1" applyFill="1" applyBorder="1" applyAlignment="1">
      <alignment horizontal="center" vertical="center"/>
    </xf>
    <xf numFmtId="0" fontId="53" fillId="45" borderId="14" xfId="0" applyFont="1" applyFill="1" applyBorder="1" applyAlignment="1">
      <alignment horizontal="left" vertical="center"/>
    </xf>
    <xf numFmtId="0" fontId="51" fillId="46" borderId="14" xfId="0" applyFont="1" applyFill="1" applyBorder="1" applyAlignment="1">
      <alignment horizontal="left" vertical="center"/>
    </xf>
    <xf numFmtId="0" fontId="50" fillId="47" borderId="14" xfId="0" applyFont="1" applyFill="1" applyBorder="1" applyAlignment="1">
      <alignment horizontal="left" vertical="center"/>
    </xf>
    <xf numFmtId="0" fontId="51" fillId="47" borderId="14" xfId="0" applyFont="1" applyFill="1" applyBorder="1" applyAlignment="1">
      <alignment horizontal="left" vertical="center"/>
    </xf>
    <xf numFmtId="0" fontId="51" fillId="47" borderId="14" xfId="0" applyFont="1" applyFill="1" applyBorder="1" applyAlignment="1">
      <alignment horizontal="center" vertical="center"/>
    </xf>
    <xf numFmtId="164" fontId="51" fillId="47" borderId="14" xfId="0" applyNumberFormat="1" applyFont="1" applyFill="1" applyBorder="1" applyAlignment="1">
      <alignment horizontal="center" vertical="center"/>
    </xf>
    <xf numFmtId="0" fontId="53" fillId="47" borderId="14" xfId="0" applyFont="1" applyFill="1" applyBorder="1" applyAlignment="1">
      <alignment horizontal="left" vertical="center"/>
    </xf>
    <xf numFmtId="0" fontId="50" fillId="47" borderId="14" xfId="0" applyFont="1" applyFill="1" applyBorder="1" applyAlignment="1">
      <alignment horizontal="left" vertical="center" wrapText="1"/>
    </xf>
    <xf numFmtId="0" fontId="52" fillId="48" borderId="14" xfId="0" applyFont="1" applyFill="1" applyBorder="1" applyAlignment="1">
      <alignment horizontal="center" vertical="center"/>
    </xf>
    <xf numFmtId="0" fontId="51" fillId="47" borderId="14" xfId="0" applyFont="1" applyFill="1" applyBorder="1" applyAlignment="1">
      <alignment horizontal="left" vertical="center" wrapText="1"/>
    </xf>
    <xf numFmtId="0" fontId="50" fillId="45" borderId="14" xfId="0" applyFont="1" applyFill="1" applyBorder="1" applyAlignment="1">
      <alignment horizontal="left" vertical="center" wrapText="1"/>
    </xf>
    <xf numFmtId="0" fontId="52" fillId="49" borderId="14" xfId="0" applyFont="1" applyFill="1" applyBorder="1" applyAlignment="1">
      <alignment horizontal="center" vertical="center"/>
    </xf>
    <xf numFmtId="0" fontId="51" fillId="45" borderId="14" xfId="0" applyFont="1" applyFill="1" applyBorder="1" applyAlignment="1">
      <alignment horizontal="left" vertical="center" wrapText="1"/>
    </xf>
    <xf numFmtId="0" fontId="54" fillId="50" borderId="15" xfId="0" applyFont="1" applyFill="1" applyBorder="1" applyAlignment="1">
      <alignment horizontal="left" vertical="center" wrapText="1"/>
    </xf>
    <xf numFmtId="0" fontId="55" fillId="51" borderId="15" xfId="0" applyFont="1" applyFill="1" applyBorder="1" applyAlignment="1">
      <alignment horizontal="left" vertical="center"/>
    </xf>
    <xf numFmtId="0" fontId="54" fillId="51" borderId="15" xfId="0" applyFont="1" applyFill="1" applyBorder="1" applyAlignment="1">
      <alignment horizontal="left" vertical="center"/>
    </xf>
    <xf numFmtId="0" fontId="56" fillId="52" borderId="15" xfId="0" applyFont="1" applyFill="1" applyBorder="1" applyAlignment="1">
      <alignment horizontal="center" vertical="center"/>
    </xf>
    <xf numFmtId="0" fontId="54" fillId="51" borderId="15" xfId="0" applyFont="1" applyFill="1" applyBorder="1" applyAlignment="1">
      <alignment horizontal="center" vertical="center"/>
    </xf>
    <xf numFmtId="164" fontId="54" fillId="51" borderId="15" xfId="0" applyNumberFormat="1" applyFont="1" applyFill="1" applyBorder="1" applyAlignment="1">
      <alignment horizontal="center" vertical="center"/>
    </xf>
    <xf numFmtId="0" fontId="57" fillId="51" borderId="15" xfId="0" applyFont="1" applyFill="1" applyBorder="1" applyAlignment="1">
      <alignment horizontal="left" vertical="center"/>
    </xf>
    <xf numFmtId="0" fontId="54" fillId="52" borderId="15" xfId="0" applyFont="1" applyFill="1" applyBorder="1" applyAlignment="1">
      <alignment horizontal="left" vertical="center"/>
    </xf>
    <xf numFmtId="0" fontId="55" fillId="51" borderId="15" xfId="0" applyFont="1" applyFill="1" applyBorder="1" applyAlignment="1">
      <alignment horizontal="left" vertical="center" wrapText="1"/>
    </xf>
    <xf numFmtId="0" fontId="56" fillId="53" borderId="15" xfId="0" applyFont="1" applyFill="1" applyBorder="1" applyAlignment="1">
      <alignment horizontal="center" vertical="center"/>
    </xf>
    <xf numFmtId="0" fontId="54" fillId="51" borderId="15" xfId="0" applyFont="1" applyFill="1" applyBorder="1" applyAlignment="1">
      <alignment horizontal="left" vertical="center" wrapText="1"/>
    </xf>
    <xf numFmtId="0" fontId="58" fillId="54" borderId="16" xfId="0" applyFont="1" applyFill="1" applyBorder="1" applyAlignment="1">
      <alignment horizontal="left" vertical="center"/>
    </xf>
    <xf numFmtId="0" fontId="59" fillId="54" borderId="16" xfId="0" applyFont="1" applyFill="1" applyBorder="1" applyAlignment="1">
      <alignment horizontal="left" vertical="center"/>
    </xf>
    <xf numFmtId="0" fontId="60" fillId="55" borderId="16" xfId="0" applyFont="1" applyFill="1" applyBorder="1" applyAlignment="1">
      <alignment horizontal="center" vertical="center"/>
    </xf>
    <xf numFmtId="0" fontId="59" fillId="54" borderId="16" xfId="0" applyFont="1" applyFill="1" applyBorder="1" applyAlignment="1">
      <alignment horizontal="center" vertical="center"/>
    </xf>
    <xf numFmtId="164" fontId="59" fillId="54" borderId="16" xfId="0" applyNumberFormat="1" applyFont="1" applyFill="1" applyBorder="1" applyAlignment="1">
      <alignment horizontal="center" vertical="center"/>
    </xf>
    <xf numFmtId="0" fontId="61" fillId="54" borderId="16" xfId="0" applyFont="1" applyFill="1" applyBorder="1" applyAlignment="1">
      <alignment horizontal="left" vertical="center"/>
    </xf>
    <xf numFmtId="0" fontId="59" fillId="55" borderId="16" xfId="0" applyFont="1" applyFill="1" applyBorder="1" applyAlignment="1">
      <alignment horizontal="left" vertical="center"/>
    </xf>
    <xf numFmtId="0" fontId="58" fillId="54" borderId="16" xfId="0" applyFont="1" applyFill="1" applyBorder="1" applyAlignment="1">
      <alignment horizontal="left" vertical="center" wrapText="1"/>
    </xf>
    <xf numFmtId="0" fontId="60" fillId="56" borderId="16" xfId="0" applyFont="1" applyFill="1" applyBorder="1" applyAlignment="1">
      <alignment horizontal="center" vertical="center"/>
    </xf>
    <xf numFmtId="0" fontId="59" fillId="54" borderId="16" xfId="0" applyFont="1" applyFill="1" applyBorder="1" applyAlignment="1">
      <alignment horizontal="left" vertical="center" wrapText="1"/>
    </xf>
    <xf numFmtId="0" fontId="58" fillId="57" borderId="16" xfId="0" applyFont="1" applyFill="1" applyBorder="1" applyAlignment="1">
      <alignment horizontal="left" vertical="center" wrapText="1"/>
    </xf>
    <xf numFmtId="0" fontId="59" fillId="57" borderId="16" xfId="0" applyFont="1" applyFill="1" applyBorder="1" applyAlignment="1">
      <alignment horizontal="center" vertical="center"/>
    </xf>
    <xf numFmtId="0" fontId="60" fillId="58" borderId="16" xfId="0" applyFont="1" applyFill="1" applyBorder="1" applyAlignment="1">
      <alignment horizontal="center" vertical="center"/>
    </xf>
    <xf numFmtId="0" fontId="59" fillId="57" borderId="16" xfId="0" applyFont="1" applyFill="1" applyBorder="1" applyAlignment="1">
      <alignment horizontal="left" vertical="center" wrapText="1"/>
    </xf>
    <xf numFmtId="0" fontId="62" fillId="59" borderId="17" xfId="0" applyFont="1" applyFill="1" applyBorder="1" applyAlignment="1">
      <alignment horizontal="left" vertical="center"/>
    </xf>
    <xf numFmtId="0" fontId="63" fillId="59" borderId="17" xfId="0" applyFont="1" applyFill="1" applyBorder="1" applyAlignment="1">
      <alignment horizontal="left" vertical="center"/>
    </xf>
    <xf numFmtId="0" fontId="64" fillId="60" borderId="17" xfId="0" applyFont="1" applyFill="1" applyBorder="1" applyAlignment="1">
      <alignment horizontal="center" vertical="center"/>
    </xf>
    <xf numFmtId="0" fontId="63" fillId="59" borderId="17" xfId="0" applyFont="1" applyFill="1" applyBorder="1" applyAlignment="1">
      <alignment horizontal="center" vertical="center"/>
    </xf>
    <xf numFmtId="164" fontId="63" fillId="59" borderId="17" xfId="0" applyNumberFormat="1" applyFont="1" applyFill="1" applyBorder="1" applyAlignment="1">
      <alignment horizontal="center" vertical="center"/>
    </xf>
    <xf numFmtId="0" fontId="65" fillId="59" borderId="17" xfId="0" applyFont="1" applyFill="1" applyBorder="1" applyAlignment="1">
      <alignment horizontal="left" vertical="center"/>
    </xf>
    <xf numFmtId="0" fontId="63" fillId="60" borderId="17" xfId="0" applyFont="1" applyFill="1" applyBorder="1" applyAlignment="1">
      <alignment horizontal="left" vertical="center"/>
    </xf>
    <xf numFmtId="0" fontId="62" fillId="61" borderId="17" xfId="0" applyFont="1" applyFill="1" applyBorder="1" applyAlignment="1">
      <alignment horizontal="left" vertical="center"/>
    </xf>
    <xf numFmtId="0" fontId="63" fillId="61" borderId="17" xfId="0" applyFont="1" applyFill="1" applyBorder="1" applyAlignment="1">
      <alignment horizontal="left" vertical="center"/>
    </xf>
    <xf numFmtId="0" fontId="64" fillId="62" borderId="17" xfId="0" applyFont="1" applyFill="1" applyBorder="1" applyAlignment="1">
      <alignment horizontal="center" vertical="center"/>
    </xf>
    <xf numFmtId="0" fontId="63" fillId="61" borderId="17" xfId="0" applyFont="1" applyFill="1" applyBorder="1" applyAlignment="1">
      <alignment horizontal="center" vertical="center"/>
    </xf>
    <xf numFmtId="164" fontId="63" fillId="61" borderId="17" xfId="0" applyNumberFormat="1" applyFont="1" applyFill="1" applyBorder="1" applyAlignment="1">
      <alignment horizontal="center" vertical="center"/>
    </xf>
    <xf numFmtId="0" fontId="65" fillId="61" borderId="17" xfId="0" applyFont="1" applyFill="1" applyBorder="1" applyAlignment="1">
      <alignment horizontal="left" vertical="center"/>
    </xf>
    <xf numFmtId="0" fontId="63" fillId="62" borderId="17" xfId="0" applyFont="1" applyFill="1" applyBorder="1" applyAlignment="1">
      <alignment horizontal="left" vertical="center"/>
    </xf>
    <xf numFmtId="0" fontId="64" fillId="63" borderId="17" xfId="0" applyFont="1" applyFill="1" applyBorder="1" applyAlignment="1">
      <alignment horizontal="center" vertical="center"/>
    </xf>
    <xf numFmtId="0" fontId="63" fillId="63" borderId="17" xfId="0" applyFont="1" applyFill="1" applyBorder="1" applyAlignment="1">
      <alignment horizontal="left" vertical="center"/>
    </xf>
    <xf numFmtId="0" fontId="62" fillId="61" borderId="17" xfId="0" applyFont="1" applyFill="1" applyBorder="1" applyAlignment="1">
      <alignment horizontal="left" vertical="center" wrapText="1"/>
    </xf>
    <xf numFmtId="0" fontId="63" fillId="61"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3" fillId="59" borderId="17" xfId="0" applyFont="1" applyFill="1" applyBorder="1" applyAlignment="1">
      <alignment horizontal="left" vertical="center" wrapText="1"/>
    </xf>
    <xf numFmtId="0" fontId="66" fillId="64" borderId="18" xfId="0" applyFont="1" applyFill="1" applyBorder="1" applyAlignment="1">
      <alignment horizontal="left" vertical="center"/>
    </xf>
    <xf numFmtId="0" fontId="67" fillId="64" borderId="18" xfId="0" applyFont="1" applyFill="1" applyBorder="1" applyAlignment="1">
      <alignment horizontal="left" vertical="center"/>
    </xf>
    <xf numFmtId="0" fontId="68" fillId="65" borderId="18" xfId="0" applyFont="1" applyFill="1" applyBorder="1" applyAlignment="1">
      <alignment horizontal="center" vertical="center"/>
    </xf>
    <xf numFmtId="0" fontId="67" fillId="64" borderId="18" xfId="0" applyFont="1" applyFill="1" applyBorder="1" applyAlignment="1">
      <alignment horizontal="center" vertical="center"/>
    </xf>
    <xf numFmtId="164" fontId="67" fillId="64" borderId="18" xfId="0" applyNumberFormat="1" applyFont="1" applyFill="1" applyBorder="1" applyAlignment="1">
      <alignment horizontal="center" vertical="center"/>
    </xf>
    <xf numFmtId="0" fontId="69" fillId="64" borderId="18" xfId="0" applyFont="1" applyFill="1" applyBorder="1" applyAlignment="1">
      <alignment horizontal="left" vertical="center"/>
    </xf>
    <xf numFmtId="0" fontId="67" fillId="65"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6" borderId="18" xfId="0" applyFont="1" applyFill="1" applyBorder="1" applyAlignment="1">
      <alignment horizontal="left" vertical="center"/>
    </xf>
    <xf numFmtId="0" fontId="68" fillId="67" borderId="18" xfId="0" applyFont="1" applyFill="1" applyBorder="1" applyAlignment="1">
      <alignment horizontal="center" vertical="center"/>
    </xf>
    <xf numFmtId="0" fontId="67" fillId="66" borderId="18" xfId="0" applyFont="1" applyFill="1" applyBorder="1" applyAlignment="1">
      <alignment horizontal="center" vertical="center"/>
    </xf>
    <xf numFmtId="164" fontId="67" fillId="66" borderId="18" xfId="0" applyNumberFormat="1" applyFont="1" applyFill="1" applyBorder="1" applyAlignment="1">
      <alignment horizontal="center" vertical="center"/>
    </xf>
    <xf numFmtId="0" fontId="69" fillId="66" borderId="18" xfId="0" applyFont="1" applyFill="1" applyBorder="1" applyAlignment="1">
      <alignment horizontal="left" vertical="center"/>
    </xf>
    <xf numFmtId="0" fontId="67" fillId="67" borderId="18" xfId="0" applyFont="1" applyFill="1" applyBorder="1" applyAlignment="1">
      <alignment horizontal="left" vertical="center"/>
    </xf>
    <xf numFmtId="0" fontId="68" fillId="68" borderId="18" xfId="0" applyFont="1" applyFill="1" applyBorder="1" applyAlignment="1">
      <alignment horizontal="center" vertical="center"/>
    </xf>
    <xf numFmtId="0" fontId="67" fillId="68" borderId="18" xfId="0" applyFont="1" applyFill="1" applyBorder="1" applyAlignment="1">
      <alignment horizontal="left" vertical="center"/>
    </xf>
    <xf numFmtId="0" fontId="68" fillId="69" borderId="18" xfId="0" applyFont="1" applyFill="1" applyBorder="1" applyAlignment="1">
      <alignment horizontal="center" vertical="center"/>
    </xf>
    <xf numFmtId="0" fontId="67" fillId="69" borderId="18" xfId="0" applyFont="1" applyFill="1" applyBorder="1" applyAlignment="1">
      <alignment horizontal="left" vertical="center"/>
    </xf>
    <xf numFmtId="0" fontId="66" fillId="64" borderId="18" xfId="0" applyFont="1" applyFill="1" applyBorder="1" applyAlignment="1">
      <alignment horizontal="left" vertical="center" wrapText="1"/>
    </xf>
    <xf numFmtId="0" fontId="67" fillId="64"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0" fontId="67" fillId="66" borderId="18" xfId="0" applyFont="1" applyFill="1" applyBorder="1" applyAlignment="1">
      <alignment horizontal="left" vertical="center" wrapText="1"/>
    </xf>
    <xf numFmtId="165" fontId="0" fillId="0" borderId="0" xfId="0" applyNumberFormat="1"/>
    <xf numFmtId="0" fontId="70" fillId="0" borderId="0" xfId="0" applyFont="1"/>
    <xf numFmtId="0" fontId="71" fillId="0" borderId="0" xfId="0" applyFont="1"/>
    <xf numFmtId="0" fontId="72" fillId="70" borderId="0" xfId="0" applyFont="1" applyFill="1" applyAlignment="1">
      <alignment vertical="center" wrapText="1"/>
    </xf>
    <xf numFmtId="0" fontId="73" fillId="0" borderId="0" xfId="0" applyFont="1" applyAlignment="1">
      <alignment vertical="top" wrapText="1"/>
    </xf>
    <xf numFmtId="0" fontId="0" fillId="0" borderId="0" xfId="0" applyAlignment="1">
      <alignment vertical="top" wrapText="1"/>
    </xf>
    <xf numFmtId="0" fontId="73" fillId="71" borderId="0" xfId="0" applyFont="1" applyFill="1" applyAlignment="1">
      <alignment vertical="top" wrapText="1"/>
    </xf>
    <xf numFmtId="0" fontId="73" fillId="72" borderId="0" xfId="0" applyFont="1" applyFill="1" applyAlignment="1">
      <alignment vertical="top" wrapText="1"/>
    </xf>
    <xf numFmtId="0" fontId="73" fillId="73" borderId="0" xfId="0" applyFont="1" applyFill="1" applyAlignment="1">
      <alignment vertical="top" wrapText="1"/>
    </xf>
    <xf numFmtId="0" fontId="2" fillId="3" borderId="18" xfId="0" applyFont="1" applyFill="1" applyBorder="1" applyAlignment="1">
      <alignment horizontal="left" vertical="center"/>
    </xf>
    <xf numFmtId="0" fontId="0" fillId="0" borderId="2" xfId="0" applyBorder="1"/>
    <xf numFmtId="0" fontId="0" fillId="0" borderId="3" xfId="0" applyBorder="1"/>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6" fillId="0" borderId="0" xfId="0" applyFont="1" applyAlignment="1">
      <alignment horizontal="center" vertical="center"/>
    </xf>
    <xf numFmtId="0" fontId="0" fillId="0" borderId="0" xfId="0"/>
    <xf numFmtId="0" fontId="15" fillId="13" borderId="4" xfId="0" applyFont="1" applyFill="1" applyBorder="1" applyAlignment="1">
      <alignment horizontal="center" vertical="center" wrapText="1"/>
    </xf>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11" fillId="2" borderId="18" xfId="0" applyFont="1" applyFill="1" applyBorder="1" applyAlignment="1">
      <alignment horizontal="left" vertical="center"/>
    </xf>
    <xf numFmtId="0" fontId="71"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00"/>
  <sheetViews>
    <sheetView tabSelected="1" workbookViewId="0">
      <pane xSplit="7" ySplit="4" topLeftCell="H98" activePane="bottomRight" state="frozen"/>
      <selection pane="topRight"/>
      <selection pane="bottomLeft"/>
      <selection pane="bottomRight" activeCell="A108" sqref="A108:XFD108"/>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57" t="s">
        <v>0</v>
      </c>
      <c r="B1" s="255"/>
      <c r="C1" s="255"/>
      <c r="D1" s="255"/>
      <c r="E1" s="255"/>
      <c r="F1" s="255"/>
      <c r="G1" s="255"/>
      <c r="H1" s="255"/>
      <c r="I1" s="255"/>
      <c r="J1" s="255"/>
      <c r="K1" s="255"/>
      <c r="L1" s="255"/>
      <c r="M1" s="255"/>
      <c r="N1" s="255"/>
      <c r="O1" s="255"/>
      <c r="P1" s="255"/>
      <c r="Q1" s="256"/>
    </row>
    <row r="2" spans="1:18" ht="18" customHeight="1" x14ac:dyDescent="0.55000000000000004">
      <c r="A2" s="254" t="s">
        <v>1</v>
      </c>
      <c r="B2" s="255"/>
      <c r="C2" s="255"/>
      <c r="D2" s="255"/>
      <c r="E2" s="255"/>
      <c r="F2" s="255"/>
      <c r="G2" s="255"/>
      <c r="H2" s="255"/>
      <c r="I2" s="255"/>
      <c r="J2" s="255"/>
      <c r="K2" s="255"/>
      <c r="L2" s="255"/>
      <c r="M2" s="255"/>
      <c r="N2" s="255"/>
      <c r="O2" s="255"/>
      <c r="P2" s="255"/>
      <c r="Q2" s="256"/>
    </row>
    <row r="4" spans="1:18" x14ac:dyDescent="0.55000000000000004">
      <c r="A4" s="1" t="s">
        <v>2</v>
      </c>
      <c r="B4" s="1" t="s">
        <v>3</v>
      </c>
      <c r="C4" s="1" t="s">
        <v>4</v>
      </c>
      <c r="D4" s="1" t="s">
        <v>5</v>
      </c>
      <c r="E4" s="1" t="s">
        <v>6</v>
      </c>
      <c r="F4" s="1" t="s">
        <v>7</v>
      </c>
      <c r="G4" s="1" t="s">
        <v>8</v>
      </c>
      <c r="H4" s="2" t="s">
        <v>9</v>
      </c>
      <c r="I4" s="2" t="s">
        <v>10</v>
      </c>
      <c r="J4" s="2" t="s">
        <v>11</v>
      </c>
      <c r="K4" s="2" t="s">
        <v>12</v>
      </c>
      <c r="L4" s="2" t="s">
        <v>13</v>
      </c>
      <c r="M4" s="2" t="s">
        <v>14</v>
      </c>
      <c r="N4" s="2" t="s">
        <v>15</v>
      </c>
      <c r="O4" s="2" t="s">
        <v>16</v>
      </c>
      <c r="P4" s="2" t="s">
        <v>17</v>
      </c>
      <c r="Q4" s="2" t="s">
        <v>18</v>
      </c>
      <c r="R4" s="42" t="s">
        <v>19</v>
      </c>
    </row>
    <row r="5" spans="1:18" x14ac:dyDescent="0.55000000000000004">
      <c r="A5" s="3" t="s">
        <v>20</v>
      </c>
      <c r="B5" s="4" t="s">
        <v>21</v>
      </c>
      <c r="C5" s="5" t="s">
        <v>22</v>
      </c>
      <c r="D5" s="6" t="s">
        <v>23</v>
      </c>
      <c r="E5" s="7">
        <v>46231</v>
      </c>
      <c r="F5" s="7">
        <v>46231</v>
      </c>
      <c r="G5" s="8" t="s">
        <v>24</v>
      </c>
      <c r="H5" s="9"/>
      <c r="I5" s="10"/>
      <c r="J5" s="10"/>
      <c r="K5" s="10"/>
      <c r="L5" s="10"/>
      <c r="M5" s="10"/>
      <c r="N5" s="10"/>
      <c r="O5" s="10"/>
      <c r="P5" s="10"/>
      <c r="Q5" s="10"/>
      <c r="R5" t="str">
        <f>$A5</f>
        <v>E1 Foundation</v>
      </c>
    </row>
    <row r="6" spans="1:18" x14ac:dyDescent="0.55000000000000004">
      <c r="A6" s="11"/>
      <c r="B6" s="11" t="s">
        <v>25</v>
      </c>
      <c r="C6" s="5" t="s">
        <v>22</v>
      </c>
      <c r="D6" s="12" t="s">
        <v>23</v>
      </c>
      <c r="E6" s="13">
        <v>46231</v>
      </c>
      <c r="F6" s="13">
        <v>46232</v>
      </c>
      <c r="G6" s="14" t="s">
        <v>26</v>
      </c>
      <c r="H6" s="9"/>
      <c r="I6" s="15"/>
      <c r="J6" s="15"/>
      <c r="K6" s="15"/>
      <c r="L6" s="15"/>
      <c r="M6" s="15"/>
      <c r="N6" s="15"/>
      <c r="O6" s="15"/>
      <c r="P6" s="15"/>
      <c r="Q6" s="15"/>
      <c r="R6" t="str">
        <f t="shared" ref="R6:R37" si="0">IF($A6&lt;&gt;"",$A6,R5)</f>
        <v>E1 Foundation</v>
      </c>
    </row>
    <row r="7" spans="1:18" x14ac:dyDescent="0.55000000000000004">
      <c r="A7" s="4"/>
      <c r="B7" s="4" t="s">
        <v>27</v>
      </c>
      <c r="C7" s="5" t="s">
        <v>22</v>
      </c>
      <c r="D7" s="6" t="s">
        <v>23</v>
      </c>
      <c r="E7" s="7">
        <v>46231</v>
      </c>
      <c r="F7" s="7">
        <v>46231</v>
      </c>
      <c r="G7" s="8" t="s">
        <v>28</v>
      </c>
      <c r="H7" s="9"/>
      <c r="I7" s="10"/>
      <c r="J7" s="10"/>
      <c r="K7" s="10"/>
      <c r="L7" s="10"/>
      <c r="M7" s="10"/>
      <c r="N7" s="10"/>
      <c r="O7" s="10"/>
      <c r="P7" s="10"/>
      <c r="Q7" s="10"/>
      <c r="R7" t="str">
        <f t="shared" si="0"/>
        <v>E1 Foundation</v>
      </c>
    </row>
    <row r="8" spans="1:18" x14ac:dyDescent="0.55000000000000004">
      <c r="A8" s="11"/>
      <c r="B8" s="11" t="s">
        <v>29</v>
      </c>
      <c r="C8" s="5" t="s">
        <v>22</v>
      </c>
      <c r="D8" s="12" t="s">
        <v>23</v>
      </c>
      <c r="E8" s="13">
        <v>46233</v>
      </c>
      <c r="F8" s="13">
        <v>46233</v>
      </c>
      <c r="G8" s="14" t="s">
        <v>30</v>
      </c>
      <c r="H8" s="9"/>
      <c r="I8" s="15"/>
      <c r="J8" s="15"/>
      <c r="K8" s="15"/>
      <c r="L8" s="15"/>
      <c r="M8" s="15"/>
      <c r="N8" s="15"/>
      <c r="O8" s="15"/>
      <c r="P8" s="15"/>
      <c r="Q8" s="15"/>
      <c r="R8" t="str">
        <f t="shared" si="0"/>
        <v>E1 Foundation</v>
      </c>
    </row>
    <row r="9" spans="1:18" x14ac:dyDescent="0.55000000000000004">
      <c r="A9" s="3" t="s">
        <v>31</v>
      </c>
      <c r="B9" s="4" t="s">
        <v>32</v>
      </c>
      <c r="C9" s="5" t="s">
        <v>22</v>
      </c>
      <c r="D9" s="6" t="s">
        <v>33</v>
      </c>
      <c r="E9" s="7">
        <v>46231</v>
      </c>
      <c r="F9" s="7">
        <v>46231</v>
      </c>
      <c r="G9" s="8" t="s">
        <v>34</v>
      </c>
      <c r="H9" s="9"/>
      <c r="I9" s="10"/>
      <c r="J9" s="10"/>
      <c r="K9" s="10"/>
      <c r="L9" s="10"/>
      <c r="M9" s="10"/>
      <c r="N9" s="10"/>
      <c r="O9" s="10"/>
      <c r="P9" s="10"/>
      <c r="Q9" s="10"/>
      <c r="R9" t="str">
        <f t="shared" si="0"/>
        <v>E2 Ingestion</v>
      </c>
    </row>
    <row r="10" spans="1:18" x14ac:dyDescent="0.55000000000000004">
      <c r="A10" s="11"/>
      <c r="B10" s="11" t="s">
        <v>35</v>
      </c>
      <c r="C10" s="5" t="s">
        <v>22</v>
      </c>
      <c r="D10" s="12" t="s">
        <v>33</v>
      </c>
      <c r="E10" s="13">
        <v>46232</v>
      </c>
      <c r="F10" s="13">
        <v>46232</v>
      </c>
      <c r="G10" s="14" t="s">
        <v>36</v>
      </c>
      <c r="H10" s="9"/>
      <c r="I10" s="15"/>
      <c r="J10" s="15"/>
      <c r="K10" s="15"/>
      <c r="L10" s="15"/>
      <c r="M10" s="15"/>
      <c r="N10" s="15"/>
      <c r="O10" s="15"/>
      <c r="P10" s="15"/>
      <c r="Q10" s="15"/>
      <c r="R10" t="str">
        <f t="shared" si="0"/>
        <v>E2 Ingestion</v>
      </c>
    </row>
    <row r="11" spans="1:18" x14ac:dyDescent="0.55000000000000004">
      <c r="A11" s="4"/>
      <c r="B11" s="4" t="s">
        <v>37</v>
      </c>
      <c r="C11" s="5" t="s">
        <v>22</v>
      </c>
      <c r="D11" s="6" t="s">
        <v>33</v>
      </c>
      <c r="E11" s="7">
        <v>46232</v>
      </c>
      <c r="F11" s="7">
        <v>46233</v>
      </c>
      <c r="G11" s="8" t="s">
        <v>38</v>
      </c>
      <c r="H11" s="9"/>
      <c r="I11" s="10"/>
      <c r="J11" s="10"/>
      <c r="K11" s="10"/>
      <c r="L11" s="10"/>
      <c r="M11" s="10"/>
      <c r="N11" s="10"/>
      <c r="O11" s="10"/>
      <c r="P11" s="10"/>
      <c r="Q11" s="10"/>
      <c r="R11" t="str">
        <f t="shared" si="0"/>
        <v>E2 Ingestion</v>
      </c>
    </row>
    <row r="12" spans="1:18" x14ac:dyDescent="0.55000000000000004">
      <c r="A12" s="11"/>
      <c r="B12" s="11" t="s">
        <v>39</v>
      </c>
      <c r="C12" s="5" t="s">
        <v>22</v>
      </c>
      <c r="D12" s="12" t="s">
        <v>33</v>
      </c>
      <c r="E12" s="13">
        <v>46233</v>
      </c>
      <c r="F12" s="13">
        <v>46234</v>
      </c>
      <c r="G12" s="14" t="s">
        <v>40</v>
      </c>
      <c r="H12" s="9"/>
      <c r="I12" s="15"/>
      <c r="J12" s="15"/>
      <c r="K12" s="15"/>
      <c r="L12" s="15"/>
      <c r="M12" s="15"/>
      <c r="N12" s="15"/>
      <c r="O12" s="15"/>
      <c r="P12" s="15"/>
      <c r="Q12" s="15"/>
      <c r="R12" t="str">
        <f t="shared" si="0"/>
        <v>E2 Ingestion</v>
      </c>
    </row>
    <row r="13" spans="1:18" x14ac:dyDescent="0.55000000000000004">
      <c r="A13" s="4"/>
      <c r="B13" s="4" t="s">
        <v>41</v>
      </c>
      <c r="C13" s="5" t="s">
        <v>22</v>
      </c>
      <c r="D13" s="6" t="s">
        <v>33</v>
      </c>
      <c r="E13" s="7">
        <v>46236</v>
      </c>
      <c r="F13" s="7">
        <v>46237</v>
      </c>
      <c r="G13" s="8" t="s">
        <v>42</v>
      </c>
      <c r="H13" s="9"/>
      <c r="I13" s="9"/>
      <c r="J13" s="10"/>
      <c r="K13" s="10"/>
      <c r="L13" s="10"/>
      <c r="M13" s="10"/>
      <c r="N13" s="10"/>
      <c r="O13" s="10"/>
      <c r="P13" s="10"/>
      <c r="Q13" s="10"/>
      <c r="R13" t="str">
        <f t="shared" si="0"/>
        <v>E2 Ingestion</v>
      </c>
    </row>
    <row r="14" spans="1:18" x14ac:dyDescent="0.55000000000000004">
      <c r="A14" s="16" t="s">
        <v>43</v>
      </c>
      <c r="B14" s="11" t="s">
        <v>44</v>
      </c>
      <c r="C14" s="5" t="s">
        <v>22</v>
      </c>
      <c r="D14" s="12" t="s">
        <v>45</v>
      </c>
      <c r="E14" s="13">
        <v>46231</v>
      </c>
      <c r="F14" s="13">
        <v>46232</v>
      </c>
      <c r="G14" s="14" t="s">
        <v>46</v>
      </c>
      <c r="H14" s="9"/>
      <c r="I14" s="15"/>
      <c r="J14" s="15"/>
      <c r="K14" s="15"/>
      <c r="L14" s="15"/>
      <c r="M14" s="15"/>
      <c r="N14" s="15"/>
      <c r="O14" s="15"/>
      <c r="P14" s="15"/>
      <c r="Q14" s="15"/>
      <c r="R14" t="str">
        <f t="shared" si="0"/>
        <v>E3 ML NBA</v>
      </c>
    </row>
    <row r="15" spans="1:18" x14ac:dyDescent="0.55000000000000004">
      <c r="A15" s="4"/>
      <c r="B15" s="4" t="s">
        <v>47</v>
      </c>
      <c r="C15" s="5" t="s">
        <v>22</v>
      </c>
      <c r="D15" s="6" t="s">
        <v>45</v>
      </c>
      <c r="E15" s="7">
        <v>46232</v>
      </c>
      <c r="F15" s="7">
        <v>46232</v>
      </c>
      <c r="G15" s="8" t="s">
        <v>48</v>
      </c>
      <c r="H15" s="9"/>
      <c r="I15" s="10"/>
      <c r="J15" s="10"/>
      <c r="K15" s="10"/>
      <c r="L15" s="10"/>
      <c r="M15" s="10"/>
      <c r="N15" s="10"/>
      <c r="O15" s="10"/>
      <c r="P15" s="10"/>
      <c r="Q15" s="10"/>
      <c r="R15" t="str">
        <f t="shared" si="0"/>
        <v>E3 ML NBA</v>
      </c>
    </row>
    <row r="16" spans="1:18" x14ac:dyDescent="0.55000000000000004">
      <c r="A16" s="11"/>
      <c r="B16" s="11" t="s">
        <v>49</v>
      </c>
      <c r="C16" s="5" t="s">
        <v>22</v>
      </c>
      <c r="D16" s="12" t="s">
        <v>45</v>
      </c>
      <c r="E16" s="13">
        <v>46232</v>
      </c>
      <c r="F16" s="13">
        <v>46233</v>
      </c>
      <c r="G16" s="14" t="s">
        <v>50</v>
      </c>
      <c r="H16" s="9"/>
      <c r="I16" s="15"/>
      <c r="J16" s="15"/>
      <c r="K16" s="15"/>
      <c r="L16" s="15"/>
      <c r="M16" s="15"/>
      <c r="N16" s="15"/>
      <c r="O16" s="15"/>
      <c r="P16" s="15"/>
      <c r="Q16" s="15"/>
      <c r="R16" t="str">
        <f t="shared" si="0"/>
        <v>E3 ML NBA</v>
      </c>
    </row>
    <row r="17" spans="1:18" x14ac:dyDescent="0.55000000000000004">
      <c r="A17" s="3" t="s">
        <v>51</v>
      </c>
      <c r="B17" s="4" t="s">
        <v>52</v>
      </c>
      <c r="C17" s="5" t="s">
        <v>22</v>
      </c>
      <c r="D17" s="6" t="s">
        <v>45</v>
      </c>
      <c r="E17" s="7">
        <v>46232</v>
      </c>
      <c r="F17" s="7">
        <v>46233</v>
      </c>
      <c r="G17" s="8" t="s">
        <v>53</v>
      </c>
      <c r="H17" s="9"/>
      <c r="I17" s="10"/>
      <c r="J17" s="10"/>
      <c r="K17" s="10"/>
      <c r="L17" s="10"/>
      <c r="M17" s="10"/>
      <c r="N17" s="10"/>
      <c r="O17" s="10"/>
      <c r="P17" s="10"/>
      <c r="Q17" s="10"/>
      <c r="R17" t="str">
        <f t="shared" si="0"/>
        <v>E4 ML Football</v>
      </c>
    </row>
    <row r="18" spans="1:18" x14ac:dyDescent="0.55000000000000004">
      <c r="A18" s="11"/>
      <c r="B18" s="11" t="s">
        <v>54</v>
      </c>
      <c r="C18" s="5" t="s">
        <v>22</v>
      </c>
      <c r="D18" s="12" t="s">
        <v>45</v>
      </c>
      <c r="E18" s="13">
        <v>46233</v>
      </c>
      <c r="F18" s="13">
        <v>46233</v>
      </c>
      <c r="G18" s="14" t="s">
        <v>55</v>
      </c>
      <c r="H18" s="9"/>
      <c r="I18" s="15"/>
      <c r="J18" s="15"/>
      <c r="K18" s="15"/>
      <c r="L18" s="15"/>
      <c r="M18" s="15"/>
      <c r="N18" s="15"/>
      <c r="O18" s="15"/>
      <c r="P18" s="15"/>
      <c r="Q18" s="15"/>
      <c r="R18" t="str">
        <f t="shared" si="0"/>
        <v>E4 ML Football</v>
      </c>
    </row>
    <row r="19" spans="1:18" x14ac:dyDescent="0.55000000000000004">
      <c r="A19" s="4"/>
      <c r="B19" s="4" t="s">
        <v>56</v>
      </c>
      <c r="C19" s="5" t="s">
        <v>22</v>
      </c>
      <c r="D19" s="6" t="s">
        <v>45</v>
      </c>
      <c r="E19" s="7">
        <v>46233</v>
      </c>
      <c r="F19" s="7">
        <v>46233</v>
      </c>
      <c r="G19" s="8" t="s">
        <v>57</v>
      </c>
      <c r="H19" s="9"/>
      <c r="I19" s="10"/>
      <c r="J19" s="10"/>
      <c r="K19" s="10"/>
      <c r="L19" s="10"/>
      <c r="M19" s="10"/>
      <c r="N19" s="10"/>
      <c r="O19" s="10"/>
      <c r="P19" s="10"/>
      <c r="Q19" s="10"/>
      <c r="R19" t="str">
        <f t="shared" si="0"/>
        <v>E4 ML Football</v>
      </c>
    </row>
    <row r="20" spans="1:18" x14ac:dyDescent="0.55000000000000004">
      <c r="A20" s="11"/>
      <c r="B20" s="11" t="s">
        <v>58</v>
      </c>
      <c r="C20" s="5" t="s">
        <v>22</v>
      </c>
      <c r="D20" s="12" t="s">
        <v>45</v>
      </c>
      <c r="E20" s="13">
        <v>46236</v>
      </c>
      <c r="F20" s="13">
        <v>46236</v>
      </c>
      <c r="G20" s="14" t="s">
        <v>59</v>
      </c>
      <c r="H20" s="9"/>
      <c r="I20" s="15"/>
      <c r="J20" s="15"/>
      <c r="K20" s="15"/>
      <c r="L20" s="15"/>
      <c r="M20" s="15"/>
      <c r="N20" s="15"/>
      <c r="O20" s="15"/>
      <c r="P20" s="15"/>
      <c r="Q20" s="15"/>
      <c r="R20" t="str">
        <f t="shared" si="0"/>
        <v>E4 ML Football</v>
      </c>
    </row>
    <row r="21" spans="1:18" x14ac:dyDescent="0.55000000000000004">
      <c r="A21" s="4"/>
      <c r="B21" s="4" t="s">
        <v>60</v>
      </c>
      <c r="C21" s="5" t="s">
        <v>22</v>
      </c>
      <c r="D21" s="6" t="s">
        <v>45</v>
      </c>
      <c r="E21" s="7">
        <v>46234</v>
      </c>
      <c r="F21" s="7">
        <v>46234</v>
      </c>
      <c r="G21" s="8" t="s">
        <v>61</v>
      </c>
      <c r="H21" s="9"/>
      <c r="I21" s="10"/>
      <c r="J21" s="10"/>
      <c r="K21" s="10"/>
      <c r="L21" s="10"/>
      <c r="M21" s="10"/>
      <c r="N21" s="10"/>
      <c r="O21" s="10"/>
      <c r="P21" s="10"/>
      <c r="Q21" s="10"/>
      <c r="R21" t="str">
        <f t="shared" si="0"/>
        <v>E4 ML Football</v>
      </c>
    </row>
    <row r="22" spans="1:18" x14ac:dyDescent="0.55000000000000004">
      <c r="A22" s="16" t="s">
        <v>62</v>
      </c>
      <c r="B22" s="11" t="s">
        <v>63</v>
      </c>
      <c r="C22" s="5" t="s">
        <v>22</v>
      </c>
      <c r="D22" s="12" t="s">
        <v>45</v>
      </c>
      <c r="E22" s="13">
        <v>46235</v>
      </c>
      <c r="F22" s="13">
        <v>46235</v>
      </c>
      <c r="G22" s="14" t="s">
        <v>64</v>
      </c>
      <c r="H22" s="9"/>
      <c r="I22" s="15"/>
      <c r="J22" s="15"/>
      <c r="K22" s="15"/>
      <c r="L22" s="15"/>
      <c r="M22" s="15"/>
      <c r="N22" s="15"/>
      <c r="O22" s="15"/>
      <c r="P22" s="15"/>
      <c r="Q22" s="15"/>
      <c r="R22" t="str">
        <f t="shared" si="0"/>
        <v>E5 ML Tennis</v>
      </c>
    </row>
    <row r="23" spans="1:18" x14ac:dyDescent="0.55000000000000004">
      <c r="A23" s="4"/>
      <c r="B23" s="4" t="s">
        <v>65</v>
      </c>
      <c r="C23" s="5" t="s">
        <v>22</v>
      </c>
      <c r="D23" s="6" t="s">
        <v>45</v>
      </c>
      <c r="E23" s="7">
        <v>46235</v>
      </c>
      <c r="F23" s="7">
        <v>46235</v>
      </c>
      <c r="G23" s="8" t="s">
        <v>66</v>
      </c>
      <c r="H23" s="9"/>
      <c r="I23" s="10"/>
      <c r="J23" s="10"/>
      <c r="K23" s="10"/>
      <c r="L23" s="10"/>
      <c r="M23" s="10"/>
      <c r="N23" s="10"/>
      <c r="O23" s="10"/>
      <c r="P23" s="10"/>
      <c r="Q23" s="10"/>
      <c r="R23" t="str">
        <f t="shared" si="0"/>
        <v>E5 ML Tennis</v>
      </c>
    </row>
    <row r="24" spans="1:18" x14ac:dyDescent="0.55000000000000004">
      <c r="A24" s="11"/>
      <c r="B24" s="11" t="s">
        <v>67</v>
      </c>
      <c r="C24" s="5" t="s">
        <v>22</v>
      </c>
      <c r="D24" s="12" t="s">
        <v>45</v>
      </c>
      <c r="E24" s="13">
        <v>46235</v>
      </c>
      <c r="F24" s="13">
        <v>46235</v>
      </c>
      <c r="G24" s="14" t="s">
        <v>68</v>
      </c>
      <c r="H24" s="9"/>
      <c r="I24" s="15"/>
      <c r="J24" s="15"/>
      <c r="K24" s="15"/>
      <c r="L24" s="15"/>
      <c r="M24" s="15"/>
      <c r="N24" s="15"/>
      <c r="O24" s="15"/>
      <c r="P24" s="15"/>
      <c r="Q24" s="15"/>
      <c r="R24" t="str">
        <f t="shared" si="0"/>
        <v>E5 ML Tennis</v>
      </c>
    </row>
    <row r="25" spans="1:18" x14ac:dyDescent="0.55000000000000004">
      <c r="A25" s="4"/>
      <c r="B25" s="4" t="s">
        <v>69</v>
      </c>
      <c r="C25" s="5" t="s">
        <v>22</v>
      </c>
      <c r="D25" s="6" t="s">
        <v>45</v>
      </c>
      <c r="E25" s="7">
        <v>46236</v>
      </c>
      <c r="F25" s="7">
        <v>46236</v>
      </c>
      <c r="G25" s="8" t="s">
        <v>70</v>
      </c>
      <c r="H25" s="9"/>
      <c r="I25" s="10"/>
      <c r="J25" s="10"/>
      <c r="K25" s="10"/>
      <c r="L25" s="10"/>
      <c r="M25" s="10"/>
      <c r="N25" s="10"/>
      <c r="O25" s="10"/>
      <c r="P25" s="10"/>
      <c r="Q25" s="10"/>
      <c r="R25" t="str">
        <f t="shared" si="0"/>
        <v>E5 ML Tennis</v>
      </c>
    </row>
    <row r="26" spans="1:18" x14ac:dyDescent="0.55000000000000004">
      <c r="A26" s="11"/>
      <c r="B26" s="11" t="s">
        <v>71</v>
      </c>
      <c r="C26" s="5" t="s">
        <v>22</v>
      </c>
      <c r="D26" s="12" t="s">
        <v>33</v>
      </c>
      <c r="E26" s="13">
        <v>46237</v>
      </c>
      <c r="F26" s="13">
        <v>46237</v>
      </c>
      <c r="G26" s="14" t="s">
        <v>72</v>
      </c>
      <c r="H26" s="15"/>
      <c r="I26" s="9"/>
      <c r="J26" s="15"/>
      <c r="K26" s="15"/>
      <c r="L26" s="15"/>
      <c r="M26" s="15"/>
      <c r="N26" s="15"/>
      <c r="O26" s="15"/>
      <c r="P26" s="15"/>
      <c r="Q26" s="15"/>
      <c r="R26" t="str">
        <f t="shared" si="0"/>
        <v>E5 ML Tennis</v>
      </c>
    </row>
    <row r="27" spans="1:18" x14ac:dyDescent="0.55000000000000004">
      <c r="A27" s="3" t="s">
        <v>73</v>
      </c>
      <c r="B27" s="4" t="s">
        <v>74</v>
      </c>
      <c r="C27" s="5" t="s">
        <v>22</v>
      </c>
      <c r="D27" s="6" t="s">
        <v>75</v>
      </c>
      <c r="E27" s="7">
        <v>46232</v>
      </c>
      <c r="F27" s="7">
        <v>46233</v>
      </c>
      <c r="G27" s="8" t="s">
        <v>76</v>
      </c>
      <c r="H27" s="9"/>
      <c r="I27" s="10"/>
      <c r="J27" s="10"/>
      <c r="K27" s="10"/>
      <c r="L27" s="10"/>
      <c r="M27" s="10"/>
      <c r="N27" s="10"/>
      <c r="O27" s="10"/>
      <c r="P27" s="10"/>
      <c r="Q27" s="10"/>
      <c r="R27" t="str">
        <f t="shared" si="0"/>
        <v>E6 Picks</v>
      </c>
    </row>
    <row r="28" spans="1:18" x14ac:dyDescent="0.55000000000000004">
      <c r="A28" s="11"/>
      <c r="B28" s="11" t="s">
        <v>77</v>
      </c>
      <c r="C28" s="5" t="s">
        <v>22</v>
      </c>
      <c r="D28" s="12" t="s">
        <v>75</v>
      </c>
      <c r="E28" s="13">
        <v>46234</v>
      </c>
      <c r="F28" s="13">
        <v>46235</v>
      </c>
      <c r="G28" s="14" t="s">
        <v>78</v>
      </c>
      <c r="H28" s="9"/>
      <c r="I28" s="15"/>
      <c r="J28" s="15"/>
      <c r="K28" s="15"/>
      <c r="L28" s="15"/>
      <c r="M28" s="15"/>
      <c r="N28" s="15"/>
      <c r="O28" s="15"/>
      <c r="P28" s="15"/>
      <c r="Q28" s="15"/>
      <c r="R28" t="str">
        <f t="shared" si="0"/>
        <v>E6 Picks</v>
      </c>
    </row>
    <row r="29" spans="1:18" x14ac:dyDescent="0.55000000000000004">
      <c r="A29" s="4"/>
      <c r="B29" s="4" t="s">
        <v>79</v>
      </c>
      <c r="C29" s="5" t="s">
        <v>22</v>
      </c>
      <c r="D29" s="6" t="s">
        <v>75</v>
      </c>
      <c r="E29" s="7">
        <v>46236</v>
      </c>
      <c r="F29" s="7">
        <v>46236</v>
      </c>
      <c r="G29" s="8" t="s">
        <v>80</v>
      </c>
      <c r="H29" s="9"/>
      <c r="I29" s="10"/>
      <c r="J29" s="10"/>
      <c r="K29" s="10"/>
      <c r="L29" s="10"/>
      <c r="M29" s="10"/>
      <c r="N29" s="10"/>
      <c r="O29" s="10"/>
      <c r="P29" s="10"/>
      <c r="Q29" s="10"/>
      <c r="R29" t="str">
        <f t="shared" si="0"/>
        <v>E6 Picks</v>
      </c>
    </row>
    <row r="30" spans="1:18" x14ac:dyDescent="0.55000000000000004">
      <c r="A30" s="11"/>
      <c r="B30" s="11" t="s">
        <v>81</v>
      </c>
      <c r="C30" s="5" t="s">
        <v>22</v>
      </c>
      <c r="D30" s="12" t="s">
        <v>75</v>
      </c>
      <c r="E30" s="13">
        <v>46236</v>
      </c>
      <c r="F30" s="13">
        <v>46236</v>
      </c>
      <c r="G30" s="14" t="s">
        <v>82</v>
      </c>
      <c r="H30" s="9"/>
      <c r="I30" s="15"/>
      <c r="J30" s="15"/>
      <c r="K30" s="15"/>
      <c r="L30" s="15"/>
      <c r="M30" s="15"/>
      <c r="N30" s="15"/>
      <c r="O30" s="15"/>
      <c r="P30" s="15"/>
      <c r="Q30" s="15"/>
      <c r="R30" t="str">
        <f t="shared" si="0"/>
        <v>E6 Picks</v>
      </c>
    </row>
    <row r="31" spans="1:18" x14ac:dyDescent="0.55000000000000004">
      <c r="A31" s="3" t="s">
        <v>83</v>
      </c>
      <c r="B31" s="4" t="s">
        <v>84</v>
      </c>
      <c r="C31" s="5" t="s">
        <v>22</v>
      </c>
      <c r="D31" s="6" t="s">
        <v>85</v>
      </c>
      <c r="E31" s="7">
        <v>46233</v>
      </c>
      <c r="F31" s="7">
        <v>46234</v>
      </c>
      <c r="G31" s="8" t="s">
        <v>86</v>
      </c>
      <c r="H31" s="9"/>
      <c r="I31" s="10"/>
      <c r="J31" s="10"/>
      <c r="K31" s="10"/>
      <c r="L31" s="10"/>
      <c r="M31" s="10"/>
      <c r="N31" s="10"/>
      <c r="O31" s="10"/>
      <c r="P31" s="10"/>
      <c r="Q31" s="10"/>
      <c r="R31" t="str">
        <f t="shared" si="0"/>
        <v>E7 Mobile</v>
      </c>
    </row>
    <row r="32" spans="1:18" x14ac:dyDescent="0.55000000000000004">
      <c r="A32" s="11"/>
      <c r="B32" s="11" t="s">
        <v>87</v>
      </c>
      <c r="C32" s="5" t="s">
        <v>22</v>
      </c>
      <c r="D32" s="12" t="s">
        <v>85</v>
      </c>
      <c r="E32" s="13">
        <v>46234</v>
      </c>
      <c r="F32" s="13">
        <v>46234</v>
      </c>
      <c r="G32" s="14" t="s">
        <v>88</v>
      </c>
      <c r="H32" s="9"/>
      <c r="I32" s="15"/>
      <c r="J32" s="15"/>
      <c r="K32" s="15"/>
      <c r="L32" s="15"/>
      <c r="M32" s="15"/>
      <c r="N32" s="15"/>
      <c r="O32" s="15"/>
      <c r="P32" s="15"/>
      <c r="Q32" s="15"/>
      <c r="R32" t="str">
        <f t="shared" si="0"/>
        <v>E7 Mobile</v>
      </c>
    </row>
    <row r="33" spans="1:18" x14ac:dyDescent="0.55000000000000004">
      <c r="A33" s="4"/>
      <c r="B33" s="4" t="s">
        <v>89</v>
      </c>
      <c r="C33" s="5" t="s">
        <v>22</v>
      </c>
      <c r="D33" s="6" t="s">
        <v>85</v>
      </c>
      <c r="E33" s="7">
        <v>46235</v>
      </c>
      <c r="F33" s="7">
        <v>46236</v>
      </c>
      <c r="G33" s="8" t="s">
        <v>90</v>
      </c>
      <c r="H33" s="9"/>
      <c r="I33" s="10"/>
      <c r="J33" s="10"/>
      <c r="K33" s="10"/>
      <c r="L33" s="10"/>
      <c r="M33" s="10"/>
      <c r="N33" s="10"/>
      <c r="O33" s="10"/>
      <c r="P33" s="10"/>
      <c r="Q33" s="10"/>
      <c r="R33" t="str">
        <f t="shared" si="0"/>
        <v>E7 Mobile</v>
      </c>
    </row>
    <row r="34" spans="1:18" x14ac:dyDescent="0.55000000000000004">
      <c r="A34" s="11"/>
      <c r="B34" s="11" t="s">
        <v>91</v>
      </c>
      <c r="C34" s="5" t="s">
        <v>22</v>
      </c>
      <c r="D34" s="12" t="s">
        <v>85</v>
      </c>
      <c r="E34" s="13">
        <v>46237</v>
      </c>
      <c r="F34" s="13">
        <v>46237</v>
      </c>
      <c r="G34" s="14" t="s">
        <v>92</v>
      </c>
      <c r="H34" s="15"/>
      <c r="I34" s="9"/>
      <c r="J34" s="15"/>
      <c r="K34" s="15"/>
      <c r="L34" s="15"/>
      <c r="M34" s="15"/>
      <c r="N34" s="15"/>
      <c r="O34" s="15"/>
      <c r="P34" s="15"/>
      <c r="Q34" s="15"/>
      <c r="R34" t="str">
        <f t="shared" si="0"/>
        <v>E7 Mobile</v>
      </c>
    </row>
    <row r="35" spans="1:18" x14ac:dyDescent="0.55000000000000004">
      <c r="A35" s="4"/>
      <c r="B35" s="4" t="s">
        <v>93</v>
      </c>
      <c r="C35" s="5" t="s">
        <v>22</v>
      </c>
      <c r="D35" s="6" t="s">
        <v>85</v>
      </c>
      <c r="E35" s="7">
        <v>46237</v>
      </c>
      <c r="F35" s="7">
        <v>46237</v>
      </c>
      <c r="G35" s="8" t="s">
        <v>94</v>
      </c>
      <c r="H35" s="10"/>
      <c r="I35" s="9"/>
      <c r="J35" s="10"/>
      <c r="K35" s="10"/>
      <c r="L35" s="10"/>
      <c r="M35" s="10"/>
      <c r="N35" s="10"/>
      <c r="O35" s="10"/>
      <c r="P35" s="10"/>
      <c r="Q35" s="10"/>
      <c r="R35" t="str">
        <f t="shared" si="0"/>
        <v>E7 Mobile</v>
      </c>
    </row>
    <row r="36" spans="1:18" x14ac:dyDescent="0.55000000000000004">
      <c r="A36" s="11"/>
      <c r="B36" s="11" t="s">
        <v>95</v>
      </c>
      <c r="C36" s="5" t="s">
        <v>22</v>
      </c>
      <c r="D36" s="12" t="s">
        <v>85</v>
      </c>
      <c r="E36" s="13">
        <v>46238</v>
      </c>
      <c r="F36" s="13">
        <v>46238</v>
      </c>
      <c r="G36" s="14" t="s">
        <v>96</v>
      </c>
      <c r="H36" s="15"/>
      <c r="I36" s="9"/>
      <c r="J36" s="15"/>
      <c r="K36" s="15"/>
      <c r="L36" s="15"/>
      <c r="M36" s="15"/>
      <c r="N36" s="15"/>
      <c r="O36" s="15"/>
      <c r="P36" s="15"/>
      <c r="Q36" s="15"/>
      <c r="R36" t="str">
        <f t="shared" si="0"/>
        <v>E7 Mobile</v>
      </c>
    </row>
    <row r="37" spans="1:18" x14ac:dyDescent="0.55000000000000004">
      <c r="A37" s="4"/>
      <c r="B37" s="4" t="s">
        <v>97</v>
      </c>
      <c r="C37" s="5" t="s">
        <v>22</v>
      </c>
      <c r="D37" s="6" t="s">
        <v>85</v>
      </c>
      <c r="E37" s="7">
        <v>46238</v>
      </c>
      <c r="F37" s="7">
        <v>46238</v>
      </c>
      <c r="G37" s="8" t="s">
        <v>98</v>
      </c>
      <c r="H37" s="10"/>
      <c r="I37" s="9"/>
      <c r="J37" s="10"/>
      <c r="K37" s="10"/>
      <c r="L37" s="10"/>
      <c r="M37" s="10"/>
      <c r="N37" s="10"/>
      <c r="O37" s="10"/>
      <c r="P37" s="10"/>
      <c r="Q37" s="10"/>
      <c r="R37" t="str">
        <f t="shared" si="0"/>
        <v>E7 Mobile</v>
      </c>
    </row>
    <row r="38" spans="1:18" x14ac:dyDescent="0.55000000000000004">
      <c r="A38" s="16" t="s">
        <v>99</v>
      </c>
      <c r="B38" s="11" t="s">
        <v>100</v>
      </c>
      <c r="C38" s="5" t="s">
        <v>22</v>
      </c>
      <c r="D38" s="12" t="s">
        <v>45</v>
      </c>
      <c r="E38" s="13">
        <v>46236</v>
      </c>
      <c r="F38" s="13">
        <v>46236</v>
      </c>
      <c r="G38" s="14" t="s">
        <v>101</v>
      </c>
      <c r="H38" s="9"/>
      <c r="I38" s="15"/>
      <c r="J38" s="15"/>
      <c r="K38" s="15"/>
      <c r="L38" s="15"/>
      <c r="M38" s="15"/>
      <c r="N38" s="15"/>
      <c r="O38" s="15"/>
      <c r="P38" s="15"/>
      <c r="Q38" s="15"/>
      <c r="R38" t="str">
        <f t="shared" ref="R38:R69" si="1">IF($A38&lt;&gt;"",$A38,R37)</f>
        <v>E8 Model Quality</v>
      </c>
    </row>
    <row r="39" spans="1:18" x14ac:dyDescent="0.55000000000000004">
      <c r="A39" s="4"/>
      <c r="B39" s="4" t="s">
        <v>102</v>
      </c>
      <c r="C39" s="5" t="s">
        <v>22</v>
      </c>
      <c r="D39" s="6" t="s">
        <v>45</v>
      </c>
      <c r="E39" s="7">
        <v>46236</v>
      </c>
      <c r="F39" s="7">
        <v>46236</v>
      </c>
      <c r="G39" s="8" t="s">
        <v>103</v>
      </c>
      <c r="H39" s="9"/>
      <c r="I39" s="10"/>
      <c r="J39" s="10"/>
      <c r="K39" s="10"/>
      <c r="L39" s="10"/>
      <c r="M39" s="10"/>
      <c r="N39" s="10"/>
      <c r="O39" s="10"/>
      <c r="P39" s="10"/>
      <c r="Q39" s="10"/>
      <c r="R39" t="str">
        <f t="shared" si="1"/>
        <v>E8 Model Quality</v>
      </c>
    </row>
    <row r="40" spans="1:18" x14ac:dyDescent="0.55000000000000004">
      <c r="A40" s="11"/>
      <c r="B40" s="11" t="s">
        <v>104</v>
      </c>
      <c r="C40" s="5" t="s">
        <v>22</v>
      </c>
      <c r="D40" s="12" t="s">
        <v>45</v>
      </c>
      <c r="E40" s="13">
        <v>46237</v>
      </c>
      <c r="F40" s="13">
        <v>46237</v>
      </c>
      <c r="G40" s="14" t="s">
        <v>105</v>
      </c>
      <c r="H40" s="15"/>
      <c r="I40" s="9"/>
      <c r="J40" s="15"/>
      <c r="K40" s="15"/>
      <c r="L40" s="15"/>
      <c r="M40" s="15"/>
      <c r="N40" s="15"/>
      <c r="O40" s="15"/>
      <c r="P40" s="15"/>
      <c r="Q40" s="15"/>
      <c r="R40" t="str">
        <f t="shared" si="1"/>
        <v>E8 Model Quality</v>
      </c>
    </row>
    <row r="41" spans="1:18" x14ac:dyDescent="0.55000000000000004">
      <c r="A41" s="4"/>
      <c r="B41" s="4" t="s">
        <v>106</v>
      </c>
      <c r="C41" s="5" t="s">
        <v>22</v>
      </c>
      <c r="D41" s="6" t="s">
        <v>45</v>
      </c>
      <c r="E41" s="7">
        <v>46237</v>
      </c>
      <c r="F41" s="7">
        <v>46238</v>
      </c>
      <c r="G41" s="8" t="s">
        <v>107</v>
      </c>
      <c r="H41" s="10"/>
      <c r="I41" s="18"/>
      <c r="J41" s="10"/>
      <c r="K41" s="10"/>
      <c r="L41" s="10"/>
      <c r="M41" s="10"/>
      <c r="N41" s="10"/>
      <c r="O41" s="10"/>
      <c r="P41" s="10"/>
      <c r="Q41" s="10"/>
      <c r="R41" t="str">
        <f t="shared" si="1"/>
        <v>E8 Model Quality</v>
      </c>
    </row>
    <row r="42" spans="1:18" x14ac:dyDescent="0.55000000000000004">
      <c r="A42" s="11"/>
      <c r="B42" s="11" t="s">
        <v>108</v>
      </c>
      <c r="C42" s="5" t="s">
        <v>22</v>
      </c>
      <c r="D42" s="12" t="s">
        <v>45</v>
      </c>
      <c r="E42" s="13">
        <v>46238</v>
      </c>
      <c r="F42" s="13">
        <v>46239</v>
      </c>
      <c r="G42" s="14" t="s">
        <v>109</v>
      </c>
      <c r="H42" s="15"/>
      <c r="I42" s="20"/>
      <c r="J42" s="15"/>
      <c r="K42" s="15"/>
      <c r="L42" s="15"/>
      <c r="M42" s="15"/>
      <c r="N42" s="15"/>
      <c r="O42" s="15"/>
      <c r="P42" s="15"/>
      <c r="Q42" s="15"/>
      <c r="R42" t="str">
        <f t="shared" si="1"/>
        <v>E8 Model Quality</v>
      </c>
    </row>
    <row r="43" spans="1:18" x14ac:dyDescent="0.55000000000000004">
      <c r="A43" s="4"/>
      <c r="B43" s="4" t="s">
        <v>110</v>
      </c>
      <c r="C43" s="5" t="s">
        <v>22</v>
      </c>
      <c r="D43" s="6" t="s">
        <v>45</v>
      </c>
      <c r="E43" s="7">
        <v>46239</v>
      </c>
      <c r="F43" s="7">
        <v>46241</v>
      </c>
      <c r="G43" s="8" t="s">
        <v>111</v>
      </c>
      <c r="H43" s="10"/>
      <c r="I43" s="20"/>
      <c r="J43" s="10"/>
      <c r="K43" s="10"/>
      <c r="L43" s="10"/>
      <c r="M43" s="10"/>
      <c r="N43" s="10"/>
      <c r="O43" s="10"/>
      <c r="P43" s="10"/>
      <c r="Q43" s="10"/>
      <c r="R43" t="str">
        <f t="shared" si="1"/>
        <v>E8 Model Quality</v>
      </c>
    </row>
    <row r="44" spans="1:18" x14ac:dyDescent="0.55000000000000004">
      <c r="A44" s="11"/>
      <c r="B44" s="11" t="s">
        <v>112</v>
      </c>
      <c r="C44" s="5" t="s">
        <v>22</v>
      </c>
      <c r="D44" s="12" t="s">
        <v>45</v>
      </c>
      <c r="E44" s="13">
        <v>46240</v>
      </c>
      <c r="F44" s="13">
        <v>46243</v>
      </c>
      <c r="G44" s="14" t="s">
        <v>113</v>
      </c>
      <c r="H44" s="15"/>
      <c r="I44" s="20"/>
      <c r="J44" s="15"/>
      <c r="K44" s="15"/>
      <c r="L44" s="15"/>
      <c r="M44" s="15"/>
      <c r="N44" s="15"/>
      <c r="O44" s="15"/>
      <c r="P44" s="15"/>
      <c r="Q44" s="15"/>
      <c r="R44" t="str">
        <f t="shared" si="1"/>
        <v>E8 Model Quality</v>
      </c>
    </row>
    <row r="45" spans="1:18" x14ac:dyDescent="0.55000000000000004">
      <c r="A45" s="4"/>
      <c r="B45" s="4" t="s">
        <v>114</v>
      </c>
      <c r="C45" s="5" t="s">
        <v>22</v>
      </c>
      <c r="D45" s="6" t="s">
        <v>45</v>
      </c>
      <c r="E45" s="7">
        <v>46241</v>
      </c>
      <c r="F45" s="7">
        <v>46244</v>
      </c>
      <c r="G45" s="8" t="s">
        <v>115</v>
      </c>
      <c r="H45" s="10"/>
      <c r="I45" s="20"/>
      <c r="J45" s="20"/>
      <c r="K45" s="10"/>
      <c r="L45" s="10"/>
      <c r="M45" s="10"/>
      <c r="N45" s="10"/>
      <c r="O45" s="10"/>
      <c r="P45" s="10"/>
      <c r="Q45" s="10"/>
      <c r="R45" t="str">
        <f t="shared" si="1"/>
        <v>E8 Model Quality</v>
      </c>
    </row>
    <row r="46" spans="1:18" x14ac:dyDescent="0.55000000000000004">
      <c r="A46" s="11"/>
      <c r="B46" s="11" t="s">
        <v>116</v>
      </c>
      <c r="C46" s="5" t="s">
        <v>22</v>
      </c>
      <c r="D46" s="12" t="s">
        <v>45</v>
      </c>
      <c r="E46" s="13">
        <v>46244</v>
      </c>
      <c r="F46" s="13">
        <v>46244</v>
      </c>
      <c r="G46" s="14" t="s">
        <v>117</v>
      </c>
      <c r="H46" s="15"/>
      <c r="I46" s="15"/>
      <c r="J46" s="22" t="s">
        <v>118</v>
      </c>
      <c r="K46" s="15"/>
      <c r="L46" s="15"/>
      <c r="M46" s="15"/>
      <c r="N46" s="15"/>
      <c r="O46" s="15"/>
      <c r="P46" s="15"/>
      <c r="Q46" s="15"/>
      <c r="R46" t="str">
        <f t="shared" si="1"/>
        <v>E8 Model Quality</v>
      </c>
    </row>
    <row r="47" spans="1:18" x14ac:dyDescent="0.55000000000000004">
      <c r="A47" s="4"/>
      <c r="B47" s="4" t="s">
        <v>119</v>
      </c>
      <c r="C47" s="5" t="s">
        <v>22</v>
      </c>
      <c r="D47" s="6" t="s">
        <v>45</v>
      </c>
      <c r="E47" s="7">
        <v>46237</v>
      </c>
      <c r="F47" s="7">
        <v>46238</v>
      </c>
      <c r="G47" s="8" t="s">
        <v>120</v>
      </c>
      <c r="H47" s="10"/>
      <c r="I47" s="9"/>
      <c r="J47" s="10"/>
      <c r="K47" s="10"/>
      <c r="L47" s="10"/>
      <c r="M47" s="10"/>
      <c r="N47" s="10"/>
      <c r="O47" s="10"/>
      <c r="P47" s="10"/>
      <c r="Q47" s="10"/>
      <c r="R47" t="str">
        <f t="shared" si="1"/>
        <v>E8 Model Quality</v>
      </c>
    </row>
    <row r="48" spans="1:18" x14ac:dyDescent="0.55000000000000004">
      <c r="A48" s="11"/>
      <c r="B48" s="11" t="s">
        <v>121</v>
      </c>
      <c r="C48" s="5" t="s">
        <v>22</v>
      </c>
      <c r="D48" s="12" t="s">
        <v>45</v>
      </c>
      <c r="E48" s="13">
        <v>46238</v>
      </c>
      <c r="F48" s="13">
        <v>46238</v>
      </c>
      <c r="G48" s="14" t="s">
        <v>122</v>
      </c>
      <c r="H48" s="15"/>
      <c r="I48" s="9"/>
      <c r="J48" s="15"/>
      <c r="K48" s="15"/>
      <c r="L48" s="15"/>
      <c r="M48" s="15"/>
      <c r="N48" s="15"/>
      <c r="O48" s="15"/>
      <c r="P48" s="15"/>
      <c r="Q48" s="15"/>
      <c r="R48" t="str">
        <f t="shared" si="1"/>
        <v>E8 Model Quality</v>
      </c>
    </row>
    <row r="49" spans="1:18" x14ac:dyDescent="0.55000000000000004">
      <c r="A49" s="4"/>
      <c r="B49" s="4" t="s">
        <v>123</v>
      </c>
      <c r="C49" s="5" t="s">
        <v>22</v>
      </c>
      <c r="D49" s="6" t="s">
        <v>45</v>
      </c>
      <c r="E49" s="7">
        <v>46238</v>
      </c>
      <c r="F49" s="7">
        <v>46238</v>
      </c>
      <c r="G49" s="8" t="s">
        <v>124</v>
      </c>
      <c r="H49" s="10"/>
      <c r="I49" s="9"/>
      <c r="J49" s="10"/>
      <c r="K49" s="10"/>
      <c r="L49" s="10"/>
      <c r="M49" s="10"/>
      <c r="N49" s="10"/>
      <c r="O49" s="10"/>
      <c r="P49" s="10"/>
      <c r="Q49" s="10"/>
      <c r="R49" t="str">
        <f t="shared" si="1"/>
        <v>E8 Model Quality</v>
      </c>
    </row>
    <row r="50" spans="1:18" x14ac:dyDescent="0.55000000000000004">
      <c r="A50" s="11"/>
      <c r="B50" s="11" t="s">
        <v>125</v>
      </c>
      <c r="C50" s="5" t="s">
        <v>22</v>
      </c>
      <c r="D50" s="12" t="s">
        <v>45</v>
      </c>
      <c r="E50" s="13">
        <v>46238</v>
      </c>
      <c r="F50" s="13">
        <v>46238</v>
      </c>
      <c r="G50" s="14" t="s">
        <v>126</v>
      </c>
      <c r="H50" s="15"/>
      <c r="I50" s="9"/>
      <c r="J50" s="15"/>
      <c r="K50" s="15"/>
      <c r="L50" s="15"/>
      <c r="M50" s="15"/>
      <c r="N50" s="15"/>
      <c r="O50" s="15"/>
      <c r="P50" s="15"/>
      <c r="Q50" s="15"/>
      <c r="R50" t="str">
        <f t="shared" si="1"/>
        <v>E8 Model Quality</v>
      </c>
    </row>
    <row r="51" spans="1:18" x14ac:dyDescent="0.55000000000000004">
      <c r="A51" s="4"/>
      <c r="B51" s="4" t="s">
        <v>127</v>
      </c>
      <c r="C51" s="19" t="s">
        <v>128</v>
      </c>
      <c r="D51" s="6" t="s">
        <v>45</v>
      </c>
      <c r="E51" s="7">
        <v>46239</v>
      </c>
      <c r="F51" s="7">
        <v>46242</v>
      </c>
      <c r="G51" s="8" t="s">
        <v>129</v>
      </c>
      <c r="H51" s="10"/>
      <c r="I51" s="20"/>
      <c r="J51" s="10"/>
      <c r="K51" s="10"/>
      <c r="L51" s="10"/>
      <c r="M51" s="10"/>
      <c r="N51" s="10"/>
      <c r="O51" s="10"/>
      <c r="P51" s="10"/>
      <c r="Q51" s="10"/>
      <c r="R51" t="str">
        <f t="shared" si="1"/>
        <v>E8 Model Quality</v>
      </c>
    </row>
    <row r="52" spans="1:18" x14ac:dyDescent="0.55000000000000004">
      <c r="A52" s="16" t="s">
        <v>130</v>
      </c>
      <c r="B52" s="11" t="s">
        <v>131</v>
      </c>
      <c r="C52" s="19" t="s">
        <v>22</v>
      </c>
      <c r="D52" s="12" t="s">
        <v>33</v>
      </c>
      <c r="E52" s="13">
        <v>46244</v>
      </c>
      <c r="F52" s="13">
        <v>46245</v>
      </c>
      <c r="G52" s="14" t="s">
        <v>132</v>
      </c>
      <c r="H52" s="15"/>
      <c r="I52" s="15"/>
      <c r="J52" s="20"/>
      <c r="K52" s="15"/>
      <c r="L52" s="15"/>
      <c r="M52" s="15"/>
      <c r="N52" s="15"/>
      <c r="O52" s="15"/>
      <c r="P52" s="15"/>
      <c r="Q52" s="15"/>
      <c r="R52" t="str">
        <f t="shared" si="1"/>
        <v>E9 Data Ops</v>
      </c>
    </row>
    <row r="53" spans="1:18" x14ac:dyDescent="0.55000000000000004">
      <c r="A53" s="4"/>
      <c r="B53" s="4" t="s">
        <v>133</v>
      </c>
      <c r="C53" s="19" t="s">
        <v>128</v>
      </c>
      <c r="D53" s="6" t="s">
        <v>33</v>
      </c>
      <c r="E53" s="7">
        <v>46239</v>
      </c>
      <c r="F53" s="7">
        <v>46240</v>
      </c>
      <c r="G53" s="8" t="s">
        <v>134</v>
      </c>
      <c r="H53" s="10"/>
      <c r="I53" s="20"/>
      <c r="J53" s="10"/>
      <c r="K53" s="10"/>
      <c r="L53" s="10"/>
      <c r="M53" s="10"/>
      <c r="N53" s="10"/>
      <c r="O53" s="10"/>
      <c r="P53" s="10"/>
      <c r="Q53" s="10"/>
      <c r="R53" t="str">
        <f t="shared" si="1"/>
        <v>E9 Data Ops</v>
      </c>
    </row>
    <row r="54" spans="1:18" x14ac:dyDescent="0.55000000000000004">
      <c r="A54" s="11"/>
      <c r="B54" s="11" t="s">
        <v>135</v>
      </c>
      <c r="C54" s="21" t="s">
        <v>22</v>
      </c>
      <c r="D54" s="12" t="s">
        <v>33</v>
      </c>
      <c r="E54" s="13">
        <v>46255</v>
      </c>
      <c r="F54" s="13">
        <v>46255</v>
      </c>
      <c r="G54" s="14" t="s">
        <v>136</v>
      </c>
      <c r="H54" s="15"/>
      <c r="I54" s="15"/>
      <c r="J54" s="15"/>
      <c r="K54" s="22" t="s">
        <v>118</v>
      </c>
      <c r="L54" s="15"/>
      <c r="M54" s="15"/>
      <c r="N54" s="15"/>
      <c r="O54" s="15"/>
      <c r="P54" s="15"/>
      <c r="Q54" s="15"/>
      <c r="R54" t="str">
        <f t="shared" si="1"/>
        <v>E9 Data Ops</v>
      </c>
    </row>
    <row r="55" spans="1:18" x14ac:dyDescent="0.55000000000000004">
      <c r="A55" s="4"/>
      <c r="B55" s="4" t="s">
        <v>137</v>
      </c>
      <c r="C55" s="21" t="s">
        <v>138</v>
      </c>
      <c r="D55" s="6" t="s">
        <v>33</v>
      </c>
      <c r="E55" s="7">
        <v>46255</v>
      </c>
      <c r="F55" s="7">
        <v>46255</v>
      </c>
      <c r="G55" s="8" t="s">
        <v>139</v>
      </c>
      <c r="H55" s="10"/>
      <c r="I55" s="10"/>
      <c r="J55" s="10"/>
      <c r="K55" s="22" t="s">
        <v>118</v>
      </c>
      <c r="L55" s="10"/>
      <c r="M55" s="10"/>
      <c r="N55" s="10"/>
      <c r="O55" s="10"/>
      <c r="P55" s="10"/>
      <c r="Q55" s="10"/>
      <c r="R55" t="str">
        <f t="shared" si="1"/>
        <v>E9 Data Ops</v>
      </c>
    </row>
    <row r="56" spans="1:18" x14ac:dyDescent="0.55000000000000004">
      <c r="A56" s="11"/>
      <c r="B56" s="11" t="s">
        <v>140</v>
      </c>
      <c r="C56" s="21" t="s">
        <v>138</v>
      </c>
      <c r="D56" s="12" t="s">
        <v>33</v>
      </c>
      <c r="E56" s="13">
        <v>46263</v>
      </c>
      <c r="F56" s="13">
        <v>46263</v>
      </c>
      <c r="G56" s="14" t="s">
        <v>141</v>
      </c>
      <c r="H56" s="15"/>
      <c r="I56" s="15"/>
      <c r="J56" s="15"/>
      <c r="K56" s="15"/>
      <c r="L56" s="22" t="s">
        <v>118</v>
      </c>
      <c r="M56" s="15"/>
      <c r="N56" s="15"/>
      <c r="O56" s="15"/>
      <c r="P56" s="15"/>
      <c r="Q56" s="15"/>
      <c r="R56" t="str">
        <f t="shared" si="1"/>
        <v>E9 Data Ops</v>
      </c>
    </row>
    <row r="57" spans="1:18" x14ac:dyDescent="0.55000000000000004">
      <c r="A57" s="4"/>
      <c r="B57" s="4" t="s">
        <v>142</v>
      </c>
      <c r="C57" s="19" t="s">
        <v>128</v>
      </c>
      <c r="D57" s="6" t="s">
        <v>75</v>
      </c>
      <c r="E57" s="7">
        <v>46238</v>
      </c>
      <c r="F57" s="7">
        <v>46238</v>
      </c>
      <c r="G57" s="8" t="s">
        <v>143</v>
      </c>
      <c r="H57" s="10"/>
      <c r="I57" s="20"/>
      <c r="J57" s="10"/>
      <c r="K57" s="10"/>
      <c r="L57" s="10"/>
      <c r="M57" s="10"/>
      <c r="N57" s="10"/>
      <c r="O57" s="10"/>
      <c r="P57" s="10"/>
      <c r="Q57" s="10"/>
      <c r="R57" t="str">
        <f t="shared" si="1"/>
        <v>E9 Data Ops</v>
      </c>
    </row>
    <row r="58" spans="1:18" x14ac:dyDescent="0.55000000000000004">
      <c r="A58" s="11"/>
      <c r="B58" s="11" t="s">
        <v>144</v>
      </c>
      <c r="C58" s="23" t="s">
        <v>145</v>
      </c>
      <c r="D58" s="12" t="s">
        <v>45</v>
      </c>
      <c r="E58" s="13">
        <v>46246</v>
      </c>
      <c r="F58" s="13">
        <v>46249</v>
      </c>
      <c r="G58" s="14" t="s">
        <v>146</v>
      </c>
      <c r="H58" s="15"/>
      <c r="I58" s="15"/>
      <c r="J58" s="24"/>
      <c r="K58" s="15"/>
      <c r="L58" s="15"/>
      <c r="M58" s="15"/>
      <c r="N58" s="15"/>
      <c r="O58" s="15"/>
      <c r="P58" s="15"/>
      <c r="Q58" s="15"/>
      <c r="R58" t="str">
        <f t="shared" si="1"/>
        <v>E9 Data Ops</v>
      </c>
    </row>
    <row r="59" spans="1:18" x14ac:dyDescent="0.55000000000000004">
      <c r="A59" s="4"/>
      <c r="B59" s="4" t="s">
        <v>147</v>
      </c>
      <c r="C59" s="23" t="s">
        <v>22</v>
      </c>
      <c r="D59" s="6" t="s">
        <v>33</v>
      </c>
      <c r="E59" s="7">
        <v>46249</v>
      </c>
      <c r="F59" s="7">
        <v>46252</v>
      </c>
      <c r="G59" s="8" t="s">
        <v>148</v>
      </c>
      <c r="H59" s="10"/>
      <c r="I59" s="10"/>
      <c r="J59" s="24"/>
      <c r="K59" s="24"/>
      <c r="L59" s="10"/>
      <c r="M59" s="10"/>
      <c r="N59" s="10"/>
      <c r="O59" s="10"/>
      <c r="P59" s="10"/>
      <c r="Q59" s="10"/>
      <c r="R59" t="str">
        <f t="shared" si="1"/>
        <v>E9 Data Ops</v>
      </c>
    </row>
    <row r="60" spans="1:18" x14ac:dyDescent="0.55000000000000004">
      <c r="A60" s="11"/>
      <c r="B60" s="11" t="s">
        <v>149</v>
      </c>
      <c r="C60" s="5" t="s">
        <v>22</v>
      </c>
      <c r="D60" s="12" t="s">
        <v>33</v>
      </c>
      <c r="E60" s="13">
        <v>46237</v>
      </c>
      <c r="F60" s="13">
        <v>46238</v>
      </c>
      <c r="G60" s="14" t="s">
        <v>150</v>
      </c>
      <c r="H60" s="15"/>
      <c r="I60" s="9"/>
      <c r="J60" s="15"/>
      <c r="K60" s="15"/>
      <c r="L60" s="15"/>
      <c r="M60" s="15"/>
      <c r="N60" s="15"/>
      <c r="O60" s="15"/>
      <c r="P60" s="15"/>
      <c r="Q60" s="15"/>
      <c r="R60" t="str">
        <f t="shared" si="1"/>
        <v>E9 Data Ops</v>
      </c>
    </row>
    <row r="61" spans="1:18" x14ac:dyDescent="0.55000000000000004">
      <c r="A61" s="4"/>
      <c r="B61" s="4" t="s">
        <v>151</v>
      </c>
      <c r="C61" s="5" t="s">
        <v>22</v>
      </c>
      <c r="D61" s="6" t="s">
        <v>75</v>
      </c>
      <c r="E61" s="7">
        <v>46237</v>
      </c>
      <c r="F61" s="7">
        <v>46238</v>
      </c>
      <c r="G61" s="8" t="s">
        <v>152</v>
      </c>
      <c r="H61" s="10"/>
      <c r="I61" s="9"/>
      <c r="J61" s="10"/>
      <c r="K61" s="10"/>
      <c r="L61" s="10"/>
      <c r="M61" s="10"/>
      <c r="N61" s="10"/>
      <c r="O61" s="10"/>
      <c r="P61" s="10"/>
      <c r="Q61" s="10"/>
      <c r="R61" t="str">
        <f t="shared" si="1"/>
        <v>E9 Data Ops</v>
      </c>
    </row>
    <row r="62" spans="1:18" x14ac:dyDescent="0.55000000000000004">
      <c r="A62" s="11"/>
      <c r="B62" s="11" t="s">
        <v>153</v>
      </c>
      <c r="C62" s="19" t="s">
        <v>22</v>
      </c>
      <c r="D62" s="12" t="s">
        <v>23</v>
      </c>
      <c r="E62" s="13">
        <v>46239</v>
      </c>
      <c r="F62" s="13">
        <v>46239</v>
      </c>
      <c r="G62" s="14" t="s">
        <v>154</v>
      </c>
      <c r="H62" s="15"/>
      <c r="I62" s="20"/>
      <c r="J62" s="15"/>
      <c r="K62" s="15"/>
      <c r="L62" s="15"/>
      <c r="M62" s="15"/>
      <c r="N62" s="15"/>
      <c r="O62" s="15"/>
      <c r="P62" s="15"/>
      <c r="Q62" s="15"/>
      <c r="R62" t="str">
        <f t="shared" si="1"/>
        <v>E9 Data Ops</v>
      </c>
    </row>
    <row r="63" spans="1:18" x14ac:dyDescent="0.55000000000000004">
      <c r="A63" s="4"/>
      <c r="B63" s="4" t="s">
        <v>155</v>
      </c>
      <c r="C63" s="19" t="s">
        <v>22</v>
      </c>
      <c r="D63" s="6" t="s">
        <v>23</v>
      </c>
      <c r="E63" s="7">
        <v>46239</v>
      </c>
      <c r="F63" s="7">
        <v>46240</v>
      </c>
      <c r="G63" s="8" t="s">
        <v>156</v>
      </c>
      <c r="H63" s="10"/>
      <c r="I63" s="20"/>
      <c r="J63" s="10"/>
      <c r="K63" s="10"/>
      <c r="L63" s="10"/>
      <c r="M63" s="10"/>
      <c r="N63" s="10"/>
      <c r="O63" s="10"/>
      <c r="P63" s="10"/>
      <c r="Q63" s="10"/>
      <c r="R63" t="str">
        <f t="shared" si="1"/>
        <v>E9 Data Ops</v>
      </c>
    </row>
    <row r="64" spans="1:18" x14ac:dyDescent="0.55000000000000004">
      <c r="A64" s="11"/>
      <c r="B64" s="11" t="s">
        <v>157</v>
      </c>
      <c r="C64" s="19" t="s">
        <v>22</v>
      </c>
      <c r="D64" s="12" t="s">
        <v>23</v>
      </c>
      <c r="E64" s="13">
        <v>46240</v>
      </c>
      <c r="F64" s="13">
        <v>46240</v>
      </c>
      <c r="G64" s="14" t="s">
        <v>158</v>
      </c>
      <c r="H64" s="15"/>
      <c r="I64" s="20"/>
      <c r="J64" s="15"/>
      <c r="K64" s="15"/>
      <c r="L64" s="15"/>
      <c r="M64" s="15"/>
      <c r="N64" s="15"/>
      <c r="O64" s="15"/>
      <c r="P64" s="15"/>
      <c r="Q64" s="15"/>
      <c r="R64" t="str">
        <f t="shared" si="1"/>
        <v>E9 Data Ops</v>
      </c>
    </row>
    <row r="65" spans="1:18" x14ac:dyDescent="0.55000000000000004">
      <c r="A65" s="4"/>
      <c r="B65" s="4" t="s">
        <v>159</v>
      </c>
      <c r="C65" s="21" t="s">
        <v>138</v>
      </c>
      <c r="D65" s="6" t="s">
        <v>160</v>
      </c>
      <c r="E65" s="7">
        <v>46246</v>
      </c>
      <c r="F65" s="7">
        <v>46246</v>
      </c>
      <c r="G65" s="8" t="s">
        <v>161</v>
      </c>
      <c r="H65" s="10"/>
      <c r="I65" s="10"/>
      <c r="J65" s="22" t="s">
        <v>118</v>
      </c>
      <c r="K65" s="10"/>
      <c r="L65" s="10"/>
      <c r="M65" s="10"/>
      <c r="N65" s="10"/>
      <c r="O65" s="10"/>
      <c r="P65" s="10"/>
      <c r="Q65" s="10"/>
      <c r="R65" t="str">
        <f t="shared" si="1"/>
        <v>E9 Data Ops</v>
      </c>
    </row>
    <row r="66" spans="1:18" x14ac:dyDescent="0.55000000000000004">
      <c r="A66" s="16" t="s">
        <v>162</v>
      </c>
      <c r="B66" s="11" t="s">
        <v>163</v>
      </c>
      <c r="C66" s="19" t="s">
        <v>22</v>
      </c>
      <c r="D66" s="12" t="s">
        <v>23</v>
      </c>
      <c r="E66" s="13">
        <v>46245</v>
      </c>
      <c r="F66" s="13">
        <v>46245</v>
      </c>
      <c r="G66" s="14" t="s">
        <v>164</v>
      </c>
      <c r="H66" s="15"/>
      <c r="I66" s="15"/>
      <c r="J66" s="20"/>
      <c r="K66" s="15"/>
      <c r="L66" s="15"/>
      <c r="M66" s="15"/>
      <c r="N66" s="15"/>
      <c r="O66" s="15"/>
      <c r="P66" s="15"/>
      <c r="Q66" s="15"/>
      <c r="R66" t="str">
        <f t="shared" si="1"/>
        <v>E10 Deploy</v>
      </c>
    </row>
    <row r="67" spans="1:18" x14ac:dyDescent="0.55000000000000004">
      <c r="A67" s="4"/>
      <c r="B67" s="4" t="s">
        <v>165</v>
      </c>
      <c r="C67" s="19" t="s">
        <v>22</v>
      </c>
      <c r="D67" s="6" t="s">
        <v>23</v>
      </c>
      <c r="E67" s="7">
        <v>46245</v>
      </c>
      <c r="F67" s="7">
        <v>46248</v>
      </c>
      <c r="G67" s="8" t="s">
        <v>166</v>
      </c>
      <c r="H67" s="10"/>
      <c r="I67" s="10"/>
      <c r="J67" s="20"/>
      <c r="K67" s="10"/>
      <c r="L67" s="10"/>
      <c r="M67" s="10"/>
      <c r="N67" s="10"/>
      <c r="O67" s="10"/>
      <c r="P67" s="10"/>
      <c r="Q67" s="10"/>
      <c r="R67" t="str">
        <f t="shared" si="1"/>
        <v>E10 Deploy</v>
      </c>
    </row>
    <row r="68" spans="1:18" x14ac:dyDescent="0.55000000000000004">
      <c r="A68" s="11"/>
      <c r="B68" s="11" t="s">
        <v>167</v>
      </c>
      <c r="C68" s="19" t="s">
        <v>128</v>
      </c>
      <c r="D68" s="12" t="s">
        <v>23</v>
      </c>
      <c r="E68" s="13">
        <v>46247</v>
      </c>
      <c r="F68" s="13">
        <v>46249</v>
      </c>
      <c r="G68" s="14" t="s">
        <v>168</v>
      </c>
      <c r="H68" s="15"/>
      <c r="I68" s="15"/>
      <c r="J68" s="20"/>
      <c r="K68" s="15"/>
      <c r="L68" s="15"/>
      <c r="M68" s="15"/>
      <c r="N68" s="15"/>
      <c r="O68" s="15"/>
      <c r="P68" s="15"/>
      <c r="Q68" s="15"/>
      <c r="R68" t="str">
        <f t="shared" si="1"/>
        <v>E10 Deploy</v>
      </c>
    </row>
    <row r="69" spans="1:18" x14ac:dyDescent="0.55000000000000004">
      <c r="A69" s="4"/>
      <c r="B69" s="4" t="s">
        <v>169</v>
      </c>
      <c r="C69" s="19" t="s">
        <v>128</v>
      </c>
      <c r="D69" s="6" t="s">
        <v>23</v>
      </c>
      <c r="E69" s="7">
        <v>46248</v>
      </c>
      <c r="F69" s="7">
        <v>46252</v>
      </c>
      <c r="G69" s="8" t="s">
        <v>170</v>
      </c>
      <c r="H69" s="10"/>
      <c r="I69" s="10"/>
      <c r="J69" s="20"/>
      <c r="K69" s="20"/>
      <c r="L69" s="10"/>
      <c r="M69" s="10"/>
      <c r="N69" s="10"/>
      <c r="O69" s="10"/>
      <c r="P69" s="10"/>
      <c r="Q69" s="10"/>
      <c r="R69" t="str">
        <f t="shared" si="1"/>
        <v>E10 Deploy</v>
      </c>
    </row>
    <row r="70" spans="1:18" x14ac:dyDescent="0.55000000000000004">
      <c r="A70" s="11"/>
      <c r="B70" s="11" t="s">
        <v>171</v>
      </c>
      <c r="C70" s="19" t="s">
        <v>22</v>
      </c>
      <c r="D70" s="12" t="s">
        <v>23</v>
      </c>
      <c r="E70" s="13">
        <v>46251</v>
      </c>
      <c r="F70" s="13">
        <v>46255</v>
      </c>
      <c r="G70" s="14" t="s">
        <v>172</v>
      </c>
      <c r="H70" s="15"/>
      <c r="I70" s="15"/>
      <c r="J70" s="15"/>
      <c r="K70" s="20"/>
      <c r="L70" s="15"/>
      <c r="M70" s="15"/>
      <c r="N70" s="15"/>
      <c r="O70" s="15"/>
      <c r="P70" s="15"/>
      <c r="Q70" s="15"/>
      <c r="R70" t="str">
        <f t="shared" ref="R70:R101" si="2">IF($A70&lt;&gt;"",$A70,R69)</f>
        <v>E10 Deploy</v>
      </c>
    </row>
    <row r="71" spans="1:18" x14ac:dyDescent="0.55000000000000004">
      <c r="A71" s="4"/>
      <c r="B71" s="4" t="s">
        <v>173</v>
      </c>
      <c r="C71" s="19" t="s">
        <v>22</v>
      </c>
      <c r="D71" s="6" t="s">
        <v>75</v>
      </c>
      <c r="E71" s="7">
        <v>46252</v>
      </c>
      <c r="F71" s="7">
        <v>46255</v>
      </c>
      <c r="G71" s="8" t="s">
        <v>174</v>
      </c>
      <c r="H71" s="10"/>
      <c r="I71" s="10"/>
      <c r="J71" s="10"/>
      <c r="K71" s="20"/>
      <c r="L71" s="10"/>
      <c r="M71" s="10"/>
      <c r="N71" s="10"/>
      <c r="O71" s="10"/>
      <c r="P71" s="10"/>
      <c r="Q71" s="10"/>
      <c r="R71" t="str">
        <f t="shared" si="2"/>
        <v>E10 Deploy</v>
      </c>
    </row>
    <row r="72" spans="1:18" x14ac:dyDescent="0.55000000000000004">
      <c r="A72" s="11"/>
      <c r="B72" s="11" t="s">
        <v>175</v>
      </c>
      <c r="C72" s="19" t="s">
        <v>22</v>
      </c>
      <c r="D72" s="12" t="s">
        <v>85</v>
      </c>
      <c r="E72" s="13">
        <v>46253</v>
      </c>
      <c r="F72" s="13">
        <v>46258</v>
      </c>
      <c r="G72" s="14" t="s">
        <v>176</v>
      </c>
      <c r="H72" s="15"/>
      <c r="I72" s="15"/>
      <c r="J72" s="15"/>
      <c r="K72" s="20"/>
      <c r="L72" s="20"/>
      <c r="M72" s="15"/>
      <c r="N72" s="15"/>
      <c r="O72" s="15"/>
      <c r="P72" s="15"/>
      <c r="Q72" s="15"/>
      <c r="R72" t="str">
        <f t="shared" si="2"/>
        <v>E10 Deploy</v>
      </c>
    </row>
    <row r="73" spans="1:18" x14ac:dyDescent="0.55000000000000004">
      <c r="A73" s="4"/>
      <c r="B73" s="4" t="s">
        <v>177</v>
      </c>
      <c r="C73" s="19" t="s">
        <v>22</v>
      </c>
      <c r="D73" s="6" t="s">
        <v>85</v>
      </c>
      <c r="E73" s="7">
        <v>46258</v>
      </c>
      <c r="F73" s="7">
        <v>46261</v>
      </c>
      <c r="G73" s="8" t="s">
        <v>178</v>
      </c>
      <c r="H73" s="10"/>
      <c r="I73" s="10"/>
      <c r="J73" s="10"/>
      <c r="K73" s="10"/>
      <c r="L73" s="20"/>
      <c r="M73" s="10"/>
      <c r="N73" s="10"/>
      <c r="O73" s="10"/>
      <c r="P73" s="10"/>
      <c r="Q73" s="10"/>
      <c r="R73" t="str">
        <f t="shared" si="2"/>
        <v>E10 Deploy</v>
      </c>
    </row>
    <row r="74" spans="1:18" x14ac:dyDescent="0.55000000000000004">
      <c r="A74" s="11"/>
      <c r="B74" s="11" t="s">
        <v>179</v>
      </c>
      <c r="C74" s="19" t="s">
        <v>128</v>
      </c>
      <c r="D74" s="12" t="s">
        <v>85</v>
      </c>
      <c r="E74" s="13">
        <v>46259</v>
      </c>
      <c r="F74" s="13">
        <v>46261</v>
      </c>
      <c r="G74" s="14" t="s">
        <v>180</v>
      </c>
      <c r="H74" s="15"/>
      <c r="I74" s="15"/>
      <c r="J74" s="15"/>
      <c r="K74" s="15"/>
      <c r="L74" s="20"/>
      <c r="M74" s="15"/>
      <c r="N74" s="15"/>
      <c r="O74" s="15"/>
      <c r="P74" s="15"/>
      <c r="Q74" s="15"/>
      <c r="R74" t="str">
        <f t="shared" si="2"/>
        <v>E10 Deploy</v>
      </c>
    </row>
    <row r="75" spans="1:18" x14ac:dyDescent="0.55000000000000004">
      <c r="A75" s="4"/>
      <c r="B75" s="4" t="s">
        <v>181</v>
      </c>
      <c r="C75" s="21" t="s">
        <v>138</v>
      </c>
      <c r="D75" s="6" t="s">
        <v>23</v>
      </c>
      <c r="E75" s="7">
        <v>46269</v>
      </c>
      <c r="F75" s="7">
        <v>46269</v>
      </c>
      <c r="G75" s="8" t="s">
        <v>182</v>
      </c>
      <c r="H75" s="10"/>
      <c r="I75" s="10"/>
      <c r="J75" s="10"/>
      <c r="K75" s="10"/>
      <c r="L75" s="10"/>
      <c r="M75" s="22" t="s">
        <v>118</v>
      </c>
      <c r="N75" s="10"/>
      <c r="O75" s="10"/>
      <c r="P75" s="10"/>
      <c r="Q75" s="10"/>
      <c r="R75" t="str">
        <f t="shared" si="2"/>
        <v>E10 Deploy</v>
      </c>
    </row>
    <row r="76" spans="1:18" x14ac:dyDescent="0.55000000000000004">
      <c r="A76" s="11"/>
      <c r="B76" s="11" t="s">
        <v>183</v>
      </c>
      <c r="C76" s="19" t="s">
        <v>128</v>
      </c>
      <c r="D76" s="12" t="s">
        <v>160</v>
      </c>
      <c r="E76" s="13">
        <v>46272</v>
      </c>
      <c r="F76" s="13">
        <v>46283</v>
      </c>
      <c r="G76" s="14" t="s">
        <v>184</v>
      </c>
      <c r="H76" s="15"/>
      <c r="I76" s="15"/>
      <c r="J76" s="15"/>
      <c r="K76" s="15"/>
      <c r="L76" s="15"/>
      <c r="M76" s="15"/>
      <c r="N76" s="20"/>
      <c r="O76" s="20"/>
      <c r="P76" s="15"/>
      <c r="Q76" s="15"/>
      <c r="R76" t="str">
        <f t="shared" si="2"/>
        <v>E10 Deploy</v>
      </c>
    </row>
    <row r="77" spans="1:18" x14ac:dyDescent="0.55000000000000004">
      <c r="A77" s="4"/>
      <c r="B77" s="4" t="s">
        <v>185</v>
      </c>
      <c r="C77" s="21" t="s">
        <v>138</v>
      </c>
      <c r="D77" s="6" t="s">
        <v>160</v>
      </c>
      <c r="E77" s="7">
        <v>46290</v>
      </c>
      <c r="F77" s="7">
        <v>46290</v>
      </c>
      <c r="G77" s="8" t="s">
        <v>186</v>
      </c>
      <c r="H77" s="10"/>
      <c r="I77" s="10"/>
      <c r="J77" s="10"/>
      <c r="K77" s="10"/>
      <c r="L77" s="10"/>
      <c r="M77" s="10"/>
      <c r="N77" s="10"/>
      <c r="O77" s="10"/>
      <c r="P77" s="22" t="s">
        <v>118</v>
      </c>
      <c r="Q77" s="10"/>
      <c r="R77" t="str">
        <f t="shared" si="2"/>
        <v>E10 Deploy</v>
      </c>
    </row>
    <row r="78" spans="1:18" x14ac:dyDescent="0.55000000000000004">
      <c r="A78" s="11"/>
      <c r="B78" s="11" t="s">
        <v>187</v>
      </c>
      <c r="C78" s="5" t="s">
        <v>22</v>
      </c>
      <c r="D78" s="12" t="s">
        <v>23</v>
      </c>
      <c r="E78" s="13">
        <v>46237</v>
      </c>
      <c r="F78" s="13">
        <v>46237</v>
      </c>
      <c r="G78" s="14" t="s">
        <v>188</v>
      </c>
      <c r="H78" s="15"/>
      <c r="I78" s="9"/>
      <c r="J78" s="15"/>
      <c r="K78" s="15"/>
      <c r="L78" s="15"/>
      <c r="M78" s="15"/>
      <c r="N78" s="15"/>
      <c r="O78" s="15"/>
      <c r="P78" s="15"/>
      <c r="Q78" s="15"/>
      <c r="R78" t="str">
        <f t="shared" si="2"/>
        <v>E10 Deploy</v>
      </c>
    </row>
    <row r="79" spans="1:18" x14ac:dyDescent="0.55000000000000004">
      <c r="A79" s="4"/>
      <c r="B79" s="4" t="s">
        <v>189</v>
      </c>
      <c r="C79" s="5" t="s">
        <v>22</v>
      </c>
      <c r="D79" s="6" t="s">
        <v>160</v>
      </c>
      <c r="E79" s="7">
        <v>46237</v>
      </c>
      <c r="F79" s="7">
        <v>46238</v>
      </c>
      <c r="G79" s="8" t="s">
        <v>190</v>
      </c>
      <c r="H79" s="10"/>
      <c r="I79" s="9"/>
      <c r="J79" s="10"/>
      <c r="K79" s="10"/>
      <c r="L79" s="10"/>
      <c r="M79" s="10"/>
      <c r="N79" s="10"/>
      <c r="O79" s="10"/>
      <c r="P79" s="10"/>
      <c r="Q79" s="10"/>
      <c r="R79" t="str">
        <f t="shared" si="2"/>
        <v>E10 Deploy</v>
      </c>
    </row>
    <row r="80" spans="1:18" x14ac:dyDescent="0.55000000000000004">
      <c r="A80" s="16" t="s">
        <v>191</v>
      </c>
      <c r="B80" s="11" t="s">
        <v>192</v>
      </c>
      <c r="C80" s="5" t="s">
        <v>22</v>
      </c>
      <c r="D80" s="12" t="s">
        <v>23</v>
      </c>
      <c r="E80" s="13">
        <v>46238</v>
      </c>
      <c r="F80" s="13">
        <v>46238</v>
      </c>
      <c r="G80" s="14" t="s">
        <v>193</v>
      </c>
      <c r="H80" s="15"/>
      <c r="I80" s="9"/>
      <c r="J80" s="15"/>
      <c r="K80" s="15"/>
      <c r="L80" s="15"/>
      <c r="M80" s="15"/>
      <c r="N80" s="15"/>
      <c r="O80" s="15"/>
      <c r="P80" s="15"/>
      <c r="Q80" s="15"/>
      <c r="R80" t="str">
        <f t="shared" si="2"/>
        <v>E11 Ops Resilience</v>
      </c>
    </row>
    <row r="81" spans="1:18" x14ac:dyDescent="0.55000000000000004">
      <c r="A81" s="4"/>
      <c r="B81" s="4" t="s">
        <v>194</v>
      </c>
      <c r="C81" s="5" t="s">
        <v>22</v>
      </c>
      <c r="D81" s="6" t="s">
        <v>23</v>
      </c>
      <c r="E81" s="7">
        <v>46238</v>
      </c>
      <c r="F81" s="7">
        <v>46238</v>
      </c>
      <c r="G81" s="8" t="s">
        <v>195</v>
      </c>
      <c r="H81" s="10"/>
      <c r="I81" s="9"/>
      <c r="J81" s="10"/>
      <c r="K81" s="10"/>
      <c r="L81" s="10"/>
      <c r="M81" s="10"/>
      <c r="N81" s="10"/>
      <c r="O81" s="10"/>
      <c r="P81" s="10"/>
      <c r="Q81" s="10"/>
      <c r="R81" t="str">
        <f t="shared" si="2"/>
        <v>E11 Ops Resilience</v>
      </c>
    </row>
    <row r="82" spans="1:18" x14ac:dyDescent="0.55000000000000004">
      <c r="A82" s="11"/>
      <c r="B82" s="11" t="s">
        <v>196</v>
      </c>
      <c r="C82" s="19" t="s">
        <v>128</v>
      </c>
      <c r="D82" s="12" t="s">
        <v>23</v>
      </c>
      <c r="E82" s="13">
        <v>46246</v>
      </c>
      <c r="F82" s="13">
        <v>46247</v>
      </c>
      <c r="G82" s="14" t="s">
        <v>197</v>
      </c>
      <c r="H82" s="15"/>
      <c r="I82" s="15"/>
      <c r="J82" s="20"/>
      <c r="K82" s="15"/>
      <c r="L82" s="15"/>
      <c r="M82" s="15"/>
      <c r="N82" s="15"/>
      <c r="O82" s="15"/>
      <c r="P82" s="15"/>
      <c r="Q82" s="15"/>
      <c r="R82" t="str">
        <f t="shared" si="2"/>
        <v>E11 Ops Resilience</v>
      </c>
    </row>
    <row r="83" spans="1:18" x14ac:dyDescent="0.55000000000000004">
      <c r="A83" s="4"/>
      <c r="B83" s="4" t="s">
        <v>198</v>
      </c>
      <c r="C83" s="19" t="s">
        <v>128</v>
      </c>
      <c r="D83" s="6" t="s">
        <v>23</v>
      </c>
      <c r="E83" s="7">
        <v>46247</v>
      </c>
      <c r="F83" s="7">
        <v>46247</v>
      </c>
      <c r="G83" s="8" t="s">
        <v>199</v>
      </c>
      <c r="H83" s="10"/>
      <c r="I83" s="10"/>
      <c r="J83" s="20"/>
      <c r="K83" s="10"/>
      <c r="L83" s="10"/>
      <c r="M83" s="10"/>
      <c r="N83" s="10"/>
      <c r="O83" s="10"/>
      <c r="P83" s="10"/>
      <c r="Q83" s="10"/>
      <c r="R83" t="str">
        <f t="shared" si="2"/>
        <v>E11 Ops Resilience</v>
      </c>
    </row>
    <row r="84" spans="1:18" x14ac:dyDescent="0.55000000000000004">
      <c r="A84" s="11"/>
      <c r="B84" s="11" t="s">
        <v>200</v>
      </c>
      <c r="C84" s="19" t="s">
        <v>128</v>
      </c>
      <c r="D84" s="12" t="s">
        <v>23</v>
      </c>
      <c r="E84" s="13">
        <v>46248</v>
      </c>
      <c r="F84" s="13">
        <v>46252</v>
      </c>
      <c r="G84" s="14" t="s">
        <v>201</v>
      </c>
      <c r="H84" s="15"/>
      <c r="I84" s="15"/>
      <c r="J84" s="20"/>
      <c r="K84" s="20"/>
      <c r="L84" s="15"/>
      <c r="M84" s="15"/>
      <c r="N84" s="15"/>
      <c r="O84" s="15"/>
      <c r="P84" s="15"/>
      <c r="Q84" s="15"/>
      <c r="R84" t="str">
        <f t="shared" si="2"/>
        <v>E11 Ops Resilience</v>
      </c>
    </row>
    <row r="85" spans="1:18" x14ac:dyDescent="0.55000000000000004">
      <c r="A85" s="4"/>
      <c r="B85" s="4" t="s">
        <v>202</v>
      </c>
      <c r="C85" s="19" t="s">
        <v>128</v>
      </c>
      <c r="D85" s="6" t="s">
        <v>23</v>
      </c>
      <c r="E85" s="7">
        <v>46253</v>
      </c>
      <c r="F85" s="7">
        <v>46254</v>
      </c>
      <c r="G85" s="8" t="s">
        <v>203</v>
      </c>
      <c r="H85" s="10"/>
      <c r="I85" s="10"/>
      <c r="J85" s="10"/>
      <c r="K85" s="20"/>
      <c r="L85" s="10"/>
      <c r="M85" s="10"/>
      <c r="N85" s="10"/>
      <c r="O85" s="10"/>
      <c r="P85" s="10"/>
      <c r="Q85" s="10"/>
      <c r="R85" t="str">
        <f t="shared" si="2"/>
        <v>E11 Ops Resilience</v>
      </c>
    </row>
    <row r="86" spans="1:18" x14ac:dyDescent="0.55000000000000004">
      <c r="A86" s="16" t="s">
        <v>99</v>
      </c>
      <c r="B86" s="11" t="s">
        <v>204</v>
      </c>
      <c r="C86" s="5" t="s">
        <v>22</v>
      </c>
      <c r="D86" s="12" t="s">
        <v>45</v>
      </c>
      <c r="E86" s="13">
        <v>46238</v>
      </c>
      <c r="F86" s="13">
        <v>46238</v>
      </c>
      <c r="G86" s="14" t="s">
        <v>205</v>
      </c>
      <c r="H86" s="11"/>
      <c r="I86" s="39"/>
      <c r="J86" s="11"/>
      <c r="K86" s="11"/>
      <c r="L86" s="11"/>
      <c r="M86" s="11"/>
      <c r="N86" s="11"/>
      <c r="O86" s="11"/>
      <c r="P86" s="11"/>
      <c r="Q86" s="11"/>
      <c r="R86" t="str">
        <f t="shared" si="2"/>
        <v>E8 Model Quality</v>
      </c>
    </row>
    <row r="87" spans="1:18" x14ac:dyDescent="0.55000000000000004">
      <c r="A87" s="3" t="s">
        <v>99</v>
      </c>
      <c r="B87" s="4" t="s">
        <v>206</v>
      </c>
      <c r="C87" s="5" t="s">
        <v>22</v>
      </c>
      <c r="D87" s="6" t="s">
        <v>45</v>
      </c>
      <c r="E87" s="7">
        <v>46238</v>
      </c>
      <c r="F87" s="7">
        <v>46238</v>
      </c>
      <c r="G87" s="8" t="s">
        <v>207</v>
      </c>
      <c r="H87" s="4"/>
      <c r="I87" s="39"/>
      <c r="J87" s="4"/>
      <c r="K87" s="4"/>
      <c r="L87" s="4"/>
      <c r="M87" s="4"/>
      <c r="N87" s="4"/>
      <c r="O87" s="4"/>
      <c r="P87" s="4"/>
      <c r="Q87" s="4"/>
      <c r="R87" t="str">
        <f t="shared" si="2"/>
        <v>E8 Model Quality</v>
      </c>
    </row>
    <row r="88" spans="1:18" x14ac:dyDescent="0.55000000000000004">
      <c r="A88" s="16" t="s">
        <v>99</v>
      </c>
      <c r="B88" s="11" t="s">
        <v>208</v>
      </c>
      <c r="C88" s="5" t="s">
        <v>22</v>
      </c>
      <c r="D88" s="12" t="s">
        <v>45</v>
      </c>
      <c r="E88" s="13">
        <v>46238</v>
      </c>
      <c r="F88" s="13">
        <v>46238</v>
      </c>
      <c r="G88" s="14" t="s">
        <v>209</v>
      </c>
      <c r="H88" s="11"/>
      <c r="I88" s="39"/>
      <c r="J88" s="11"/>
      <c r="K88" s="11"/>
      <c r="L88" s="11"/>
      <c r="M88" s="11"/>
      <c r="N88" s="11"/>
      <c r="O88" s="11"/>
      <c r="P88" s="11"/>
      <c r="Q88" s="11"/>
      <c r="R88" t="str">
        <f t="shared" si="2"/>
        <v>E8 Model Quality</v>
      </c>
    </row>
    <row r="89" spans="1:18" x14ac:dyDescent="0.55000000000000004">
      <c r="A89" s="3" t="s">
        <v>99</v>
      </c>
      <c r="B89" s="4" t="s">
        <v>210</v>
      </c>
      <c r="C89" s="5" t="s">
        <v>22</v>
      </c>
      <c r="D89" s="6" t="s">
        <v>45</v>
      </c>
      <c r="E89" s="7">
        <v>46238</v>
      </c>
      <c r="F89" s="7">
        <v>46238</v>
      </c>
      <c r="G89" s="8" t="s">
        <v>211</v>
      </c>
      <c r="H89" s="4"/>
      <c r="I89" s="39"/>
      <c r="J89" s="4"/>
      <c r="K89" s="4"/>
      <c r="L89" s="4"/>
      <c r="M89" s="4"/>
      <c r="N89" s="4"/>
      <c r="O89" s="4"/>
      <c r="P89" s="4"/>
      <c r="Q89" s="4"/>
      <c r="R89" t="str">
        <f t="shared" si="2"/>
        <v>E8 Model Quality</v>
      </c>
    </row>
    <row r="90" spans="1:18" x14ac:dyDescent="0.55000000000000004">
      <c r="A90" s="16" t="s">
        <v>99</v>
      </c>
      <c r="B90" s="11" t="s">
        <v>212</v>
      </c>
      <c r="C90" s="5" t="s">
        <v>22</v>
      </c>
      <c r="D90" s="12" t="s">
        <v>45</v>
      </c>
      <c r="E90" s="13">
        <v>46238</v>
      </c>
      <c r="F90" s="13">
        <v>46238</v>
      </c>
      <c r="G90" s="14" t="s">
        <v>213</v>
      </c>
      <c r="H90" s="11"/>
      <c r="I90" s="39"/>
      <c r="J90" s="11"/>
      <c r="K90" s="11"/>
      <c r="L90" s="11"/>
      <c r="M90" s="11"/>
      <c r="N90" s="11"/>
      <c r="O90" s="11"/>
      <c r="P90" s="11"/>
      <c r="Q90" s="11"/>
      <c r="R90" t="str">
        <f t="shared" si="2"/>
        <v>E8 Model Quality</v>
      </c>
    </row>
    <row r="91" spans="1:18" x14ac:dyDescent="0.55000000000000004">
      <c r="A91" s="3" t="s">
        <v>99</v>
      </c>
      <c r="B91" s="4" t="s">
        <v>214</v>
      </c>
      <c r="C91" s="5" t="s">
        <v>22</v>
      </c>
      <c r="D91" s="6" t="s">
        <v>45</v>
      </c>
      <c r="E91" s="7">
        <v>46238</v>
      </c>
      <c r="F91" s="7">
        <v>46238</v>
      </c>
      <c r="G91" s="8" t="s">
        <v>215</v>
      </c>
      <c r="H91" s="4"/>
      <c r="I91" s="39"/>
      <c r="J91" s="4"/>
      <c r="K91" s="4"/>
      <c r="L91" s="4"/>
      <c r="M91" s="4"/>
      <c r="N91" s="4"/>
      <c r="O91" s="4"/>
      <c r="P91" s="4"/>
      <c r="Q91" s="4"/>
      <c r="R91" t="str">
        <f t="shared" si="2"/>
        <v>E8 Model Quality</v>
      </c>
    </row>
    <row r="92" spans="1:18" x14ac:dyDescent="0.55000000000000004">
      <c r="A92" s="16" t="s">
        <v>191</v>
      </c>
      <c r="B92" s="11" t="s">
        <v>216</v>
      </c>
      <c r="C92" s="5" t="s">
        <v>22</v>
      </c>
      <c r="D92" s="12" t="s">
        <v>23</v>
      </c>
      <c r="E92" s="13">
        <v>46238</v>
      </c>
      <c r="F92" s="13">
        <v>46238</v>
      </c>
      <c r="G92" s="14" t="s">
        <v>217</v>
      </c>
      <c r="H92" s="11"/>
      <c r="I92" s="39"/>
      <c r="J92" s="11"/>
      <c r="K92" s="11"/>
      <c r="L92" s="11"/>
      <c r="M92" s="11"/>
      <c r="N92" s="11"/>
      <c r="O92" s="11"/>
      <c r="P92" s="11"/>
      <c r="Q92" s="11"/>
      <c r="R92" t="str">
        <f t="shared" si="2"/>
        <v>E11 Ops Resilience</v>
      </c>
    </row>
    <row r="93" spans="1:18" x14ac:dyDescent="0.55000000000000004">
      <c r="A93" s="3" t="s">
        <v>130</v>
      </c>
      <c r="B93" s="4" t="s">
        <v>218</v>
      </c>
      <c r="C93" s="19" t="s">
        <v>128</v>
      </c>
      <c r="D93" s="6" t="s">
        <v>75</v>
      </c>
      <c r="E93" s="7">
        <v>46239</v>
      </c>
      <c r="F93" s="7">
        <v>46239</v>
      </c>
      <c r="G93" s="8" t="s">
        <v>219</v>
      </c>
      <c r="H93" s="4"/>
      <c r="I93" s="41"/>
      <c r="J93" s="4"/>
      <c r="K93" s="4"/>
      <c r="L93" s="4"/>
      <c r="M93" s="4"/>
      <c r="N93" s="4"/>
      <c r="O93" s="4"/>
      <c r="P93" s="4"/>
      <c r="Q93" s="4"/>
      <c r="R93" t="str">
        <f t="shared" si="2"/>
        <v>E9 Data Ops</v>
      </c>
    </row>
    <row r="94" spans="1:18" x14ac:dyDescent="0.55000000000000004">
      <c r="A94" s="16" t="s">
        <v>130</v>
      </c>
      <c r="B94" s="11" t="s">
        <v>220</v>
      </c>
      <c r="C94" s="5" t="s">
        <v>22</v>
      </c>
      <c r="D94" s="12" t="s">
        <v>23</v>
      </c>
      <c r="E94" s="13">
        <v>46239</v>
      </c>
      <c r="F94" s="13">
        <v>46239</v>
      </c>
      <c r="G94" s="14" t="s">
        <v>221</v>
      </c>
      <c r="H94" s="11"/>
      <c r="I94" s="39"/>
      <c r="J94" s="11"/>
      <c r="K94" s="11"/>
      <c r="L94" s="11"/>
      <c r="M94" s="11"/>
      <c r="N94" s="11"/>
      <c r="O94" s="11"/>
      <c r="P94" s="11"/>
      <c r="Q94" s="11"/>
      <c r="R94" t="str">
        <f t="shared" si="2"/>
        <v>E9 Data Ops</v>
      </c>
    </row>
    <row r="95" spans="1:18" x14ac:dyDescent="0.55000000000000004">
      <c r="A95" s="3" t="s">
        <v>99</v>
      </c>
      <c r="B95" s="4" t="s">
        <v>222</v>
      </c>
      <c r="C95" s="19" t="s">
        <v>128</v>
      </c>
      <c r="D95" s="6" t="s">
        <v>33</v>
      </c>
      <c r="E95" s="7">
        <v>46240</v>
      </c>
      <c r="F95" s="7">
        <v>46240</v>
      </c>
      <c r="G95" s="8" t="s">
        <v>223</v>
      </c>
      <c r="H95" s="4"/>
      <c r="I95" s="41"/>
      <c r="J95" s="4"/>
      <c r="K95" s="4"/>
      <c r="L95" s="4"/>
      <c r="M95" s="4"/>
      <c r="N95" s="4"/>
      <c r="O95" s="4"/>
      <c r="P95" s="4"/>
      <c r="Q95" s="4"/>
      <c r="R95" t="str">
        <f t="shared" si="2"/>
        <v>E8 Model Quality</v>
      </c>
    </row>
    <row r="96" spans="1:18" x14ac:dyDescent="0.55000000000000004">
      <c r="A96" s="16" t="s">
        <v>99</v>
      </c>
      <c r="B96" s="11" t="s">
        <v>224</v>
      </c>
      <c r="C96" s="5" t="s">
        <v>22</v>
      </c>
      <c r="D96" s="12" t="s">
        <v>45</v>
      </c>
      <c r="E96" s="13">
        <v>46238</v>
      </c>
      <c r="F96" s="13">
        <v>46238</v>
      </c>
      <c r="G96" s="14" t="s">
        <v>225</v>
      </c>
      <c r="H96" s="11"/>
      <c r="I96" s="39"/>
      <c r="J96" s="11"/>
      <c r="K96" s="11"/>
      <c r="L96" s="11"/>
      <c r="M96" s="11"/>
      <c r="N96" s="11"/>
      <c r="O96" s="11"/>
      <c r="P96" s="11"/>
      <c r="Q96" s="11"/>
      <c r="R96" t="str">
        <f t="shared" si="2"/>
        <v>E8 Model Quality</v>
      </c>
    </row>
    <row r="97" spans="1:18" x14ac:dyDescent="0.55000000000000004">
      <c r="A97" s="3" t="s">
        <v>99</v>
      </c>
      <c r="B97" s="4" t="s">
        <v>226</v>
      </c>
      <c r="C97" s="5" t="s">
        <v>22</v>
      </c>
      <c r="D97" s="6" t="s">
        <v>33</v>
      </c>
      <c r="E97" s="7">
        <v>46238</v>
      </c>
      <c r="F97" s="7">
        <v>46238</v>
      </c>
      <c r="G97" s="8" t="s">
        <v>227</v>
      </c>
      <c r="H97" s="4"/>
      <c r="I97" s="39"/>
      <c r="J97" s="4"/>
      <c r="K97" s="4"/>
      <c r="L97" s="4"/>
      <c r="M97" s="4"/>
      <c r="N97" s="4"/>
      <c r="O97" s="4"/>
      <c r="P97" s="4"/>
      <c r="Q97" s="4"/>
      <c r="R97" t="str">
        <f t="shared" si="2"/>
        <v>E8 Model Quality</v>
      </c>
    </row>
    <row r="98" spans="1:18" x14ac:dyDescent="0.55000000000000004">
      <c r="A98" s="16" t="s">
        <v>99</v>
      </c>
      <c r="B98" s="11" t="s">
        <v>228</v>
      </c>
      <c r="C98" s="5" t="s">
        <v>22</v>
      </c>
      <c r="D98" s="12" t="s">
        <v>45</v>
      </c>
      <c r="E98" s="13">
        <v>46238</v>
      </c>
      <c r="F98" s="13">
        <v>46238</v>
      </c>
      <c r="G98" s="14" t="s">
        <v>229</v>
      </c>
      <c r="H98" s="11"/>
      <c r="I98" s="39"/>
      <c r="J98" s="11"/>
      <c r="K98" s="11"/>
      <c r="L98" s="11"/>
      <c r="M98" s="11"/>
      <c r="N98" s="11"/>
      <c r="O98" s="11"/>
      <c r="P98" s="11"/>
      <c r="Q98" s="11"/>
      <c r="R98" t="str">
        <f t="shared" si="2"/>
        <v>E8 Model Quality</v>
      </c>
    </row>
    <row r="99" spans="1:18" x14ac:dyDescent="0.55000000000000004">
      <c r="A99" s="3" t="s">
        <v>99</v>
      </c>
      <c r="B99" s="4" t="s">
        <v>230</v>
      </c>
      <c r="C99" s="21" t="s">
        <v>22</v>
      </c>
      <c r="D99" s="6" t="s">
        <v>33</v>
      </c>
      <c r="E99" s="7">
        <v>46238</v>
      </c>
      <c r="F99" s="7">
        <v>46239</v>
      </c>
      <c r="G99" s="8" t="s">
        <v>231</v>
      </c>
      <c r="H99" s="4"/>
      <c r="I99" s="40"/>
      <c r="J99" s="4"/>
      <c r="K99" s="4"/>
      <c r="L99" s="4"/>
      <c r="M99" s="4"/>
      <c r="N99" s="4"/>
      <c r="O99" s="4"/>
      <c r="P99" s="4"/>
      <c r="Q99" s="4"/>
      <c r="R99" t="str">
        <f t="shared" si="2"/>
        <v>E8 Model Quality</v>
      </c>
    </row>
    <row r="100" spans="1:18" x14ac:dyDescent="0.55000000000000004">
      <c r="A100" s="16" t="s">
        <v>99</v>
      </c>
      <c r="B100" s="11" t="s">
        <v>232</v>
      </c>
      <c r="C100" s="19" t="s">
        <v>22</v>
      </c>
      <c r="D100" s="12" t="s">
        <v>45</v>
      </c>
      <c r="E100" s="13">
        <v>46239</v>
      </c>
      <c r="F100" s="13">
        <v>46239</v>
      </c>
      <c r="G100" s="14" t="s">
        <v>233</v>
      </c>
      <c r="H100" s="11"/>
      <c r="I100" s="41"/>
      <c r="J100" s="11"/>
      <c r="K100" s="11"/>
      <c r="L100" s="11"/>
      <c r="M100" s="11"/>
      <c r="N100" s="11"/>
      <c r="O100" s="11"/>
      <c r="P100" s="11"/>
      <c r="Q100" s="11"/>
      <c r="R100" t="str">
        <f t="shared" si="2"/>
        <v>E8 Model Quality</v>
      </c>
    </row>
    <row r="101" spans="1:18" x14ac:dyDescent="0.55000000000000004">
      <c r="A101" s="3" t="s">
        <v>130</v>
      </c>
      <c r="B101" s="4" t="s">
        <v>234</v>
      </c>
      <c r="C101" s="19" t="s">
        <v>128</v>
      </c>
      <c r="D101" s="6" t="s">
        <v>33</v>
      </c>
      <c r="E101" s="7">
        <v>46246</v>
      </c>
      <c r="F101" s="7">
        <v>46248</v>
      </c>
      <c r="G101" s="8" t="s">
        <v>235</v>
      </c>
      <c r="H101" s="4"/>
      <c r="I101" s="4"/>
      <c r="J101" s="41"/>
      <c r="K101" s="4"/>
      <c r="L101" s="4"/>
      <c r="M101" s="4"/>
      <c r="N101" s="4"/>
      <c r="O101" s="4"/>
      <c r="P101" s="4"/>
      <c r="Q101" s="4"/>
      <c r="R101" t="str">
        <f t="shared" si="2"/>
        <v>E9 Data Ops</v>
      </c>
    </row>
    <row r="102" spans="1:18" x14ac:dyDescent="0.55000000000000004">
      <c r="A102" s="16" t="s">
        <v>130</v>
      </c>
      <c r="B102" s="11" t="s">
        <v>236</v>
      </c>
      <c r="C102" s="19" t="s">
        <v>22</v>
      </c>
      <c r="D102" s="12" t="s">
        <v>23</v>
      </c>
      <c r="E102" s="13">
        <v>46239</v>
      </c>
      <c r="F102" s="13">
        <v>46239</v>
      </c>
      <c r="G102" s="14" t="s">
        <v>237</v>
      </c>
      <c r="H102" s="11"/>
      <c r="I102" s="41"/>
      <c r="J102" s="11"/>
      <c r="K102" s="11"/>
      <c r="L102" s="11"/>
      <c r="M102" s="11"/>
      <c r="N102" s="11"/>
      <c r="O102" s="11"/>
      <c r="P102" s="11"/>
      <c r="Q102" s="11"/>
      <c r="R102" t="str">
        <f t="shared" ref="R102:R133" si="3">IF($A102&lt;&gt;"",$A102,R101)</f>
        <v>E9 Data Ops</v>
      </c>
    </row>
    <row r="103" spans="1:18" x14ac:dyDescent="0.55000000000000004">
      <c r="A103" s="3" t="s">
        <v>191</v>
      </c>
      <c r="B103" s="4" t="s">
        <v>238</v>
      </c>
      <c r="C103" s="5" t="s">
        <v>22</v>
      </c>
      <c r="D103" s="6" t="s">
        <v>23</v>
      </c>
      <c r="E103" s="7">
        <v>46238</v>
      </c>
      <c r="F103" s="7">
        <v>46238</v>
      </c>
      <c r="G103" s="8" t="s">
        <v>239</v>
      </c>
      <c r="H103" s="4"/>
      <c r="I103" s="39"/>
      <c r="J103" s="4"/>
      <c r="K103" s="4"/>
      <c r="L103" s="4"/>
      <c r="M103" s="4"/>
      <c r="N103" s="4"/>
      <c r="O103" s="4"/>
      <c r="P103" s="4"/>
      <c r="Q103" s="4"/>
      <c r="R103" t="str">
        <f t="shared" si="3"/>
        <v>E11 Ops Resilience</v>
      </c>
    </row>
    <row r="104" spans="1:18" x14ac:dyDescent="0.55000000000000004">
      <c r="A104" s="16" t="s">
        <v>62</v>
      </c>
      <c r="B104" s="11" t="s">
        <v>240</v>
      </c>
      <c r="C104" s="5" t="s">
        <v>22</v>
      </c>
      <c r="D104" s="12" t="s">
        <v>75</v>
      </c>
      <c r="E104" s="13">
        <v>46238</v>
      </c>
      <c r="F104" s="13">
        <v>46238</v>
      </c>
      <c r="G104" s="14" t="s">
        <v>241</v>
      </c>
      <c r="H104" s="11"/>
      <c r="I104" s="39"/>
      <c r="J104" s="11"/>
      <c r="K104" s="11"/>
      <c r="L104" s="11"/>
      <c r="M104" s="11"/>
      <c r="N104" s="11"/>
      <c r="O104" s="11"/>
      <c r="P104" s="11"/>
      <c r="Q104" s="11"/>
      <c r="R104" t="str">
        <f t="shared" si="3"/>
        <v>E5 ML Tennis</v>
      </c>
    </row>
    <row r="105" spans="1:18" x14ac:dyDescent="0.55000000000000004">
      <c r="A105" s="3" t="s">
        <v>62</v>
      </c>
      <c r="B105" s="4" t="s">
        <v>242</v>
      </c>
      <c r="C105" s="5" t="s">
        <v>22</v>
      </c>
      <c r="D105" s="6" t="s">
        <v>75</v>
      </c>
      <c r="E105" s="7">
        <v>46238</v>
      </c>
      <c r="F105" s="7">
        <v>46238</v>
      </c>
      <c r="G105" s="8" t="s">
        <v>243</v>
      </c>
      <c r="H105" s="4"/>
      <c r="I105" s="39"/>
      <c r="J105" s="4"/>
      <c r="K105" s="4"/>
      <c r="L105" s="4"/>
      <c r="M105" s="4"/>
      <c r="N105" s="4"/>
      <c r="O105" s="4"/>
      <c r="P105" s="4"/>
      <c r="Q105" s="4"/>
      <c r="R105" t="str">
        <f t="shared" si="3"/>
        <v>E5 ML Tennis</v>
      </c>
    </row>
    <row r="106" spans="1:18" x14ac:dyDescent="0.55000000000000004">
      <c r="A106" s="16" t="s">
        <v>130</v>
      </c>
      <c r="B106" s="11" t="s">
        <v>244</v>
      </c>
      <c r="C106" s="5" t="s">
        <v>22</v>
      </c>
      <c r="D106" s="12" t="s">
        <v>33</v>
      </c>
      <c r="E106" s="13">
        <v>46238</v>
      </c>
      <c r="F106" s="13">
        <v>46238</v>
      </c>
      <c r="G106" s="14" t="s">
        <v>245</v>
      </c>
      <c r="H106" s="11"/>
      <c r="I106" s="39"/>
      <c r="J106" s="11"/>
      <c r="K106" s="11"/>
      <c r="L106" s="11"/>
      <c r="M106" s="11"/>
      <c r="N106" s="11"/>
      <c r="O106" s="11"/>
      <c r="P106" s="11"/>
      <c r="Q106" s="11"/>
      <c r="R106" t="str">
        <f t="shared" si="3"/>
        <v>E9 Data Ops</v>
      </c>
    </row>
    <row r="107" spans="1:18" x14ac:dyDescent="0.55000000000000004">
      <c r="A107" s="3" t="s">
        <v>191</v>
      </c>
      <c r="B107" s="4" t="s">
        <v>246</v>
      </c>
      <c r="C107" s="5" t="s">
        <v>22</v>
      </c>
      <c r="D107" s="6" t="s">
        <v>23</v>
      </c>
      <c r="E107" s="7">
        <v>46238</v>
      </c>
      <c r="F107" s="7">
        <v>46238</v>
      </c>
      <c r="G107" s="8" t="s">
        <v>247</v>
      </c>
      <c r="H107" s="4"/>
      <c r="I107" s="39"/>
      <c r="J107" s="4"/>
      <c r="K107" s="4"/>
      <c r="L107" s="4"/>
      <c r="M107" s="4"/>
      <c r="N107" s="4"/>
      <c r="O107" s="4"/>
      <c r="P107" s="4"/>
      <c r="Q107" s="4"/>
      <c r="R107" t="str">
        <f t="shared" si="3"/>
        <v>E11 Ops Resilience</v>
      </c>
    </row>
    <row r="108" spans="1:18" x14ac:dyDescent="0.55000000000000004">
      <c r="A108" s="46" t="s">
        <v>162</v>
      </c>
      <c r="B108" s="47" t="s">
        <v>248</v>
      </c>
      <c r="C108" s="48" t="s">
        <v>22</v>
      </c>
      <c r="D108" s="49" t="s">
        <v>23</v>
      </c>
      <c r="E108" s="50">
        <v>46238</v>
      </c>
      <c r="F108" s="50">
        <v>46238</v>
      </c>
      <c r="G108" s="51" t="s">
        <v>249</v>
      </c>
      <c r="H108" s="47"/>
      <c r="I108" s="52"/>
      <c r="J108" s="47"/>
      <c r="K108" s="47"/>
      <c r="L108" s="47"/>
      <c r="M108" s="47"/>
      <c r="N108" s="47"/>
      <c r="O108" s="47"/>
      <c r="P108" s="47"/>
      <c r="Q108" s="47"/>
      <c r="R108" t="str">
        <f t="shared" si="3"/>
        <v>E10 Deploy</v>
      </c>
    </row>
    <row r="109" spans="1:18" x14ac:dyDescent="0.55000000000000004">
      <c r="A109" s="53" t="s">
        <v>162</v>
      </c>
      <c r="B109" s="54" t="s">
        <v>250</v>
      </c>
      <c r="C109" s="48" t="s">
        <v>22</v>
      </c>
      <c r="D109" s="55" t="s">
        <v>23</v>
      </c>
      <c r="E109" s="56">
        <v>46238</v>
      </c>
      <c r="F109" s="56">
        <v>46238</v>
      </c>
      <c r="G109" s="57" t="s">
        <v>251</v>
      </c>
      <c r="H109" s="54"/>
      <c r="I109" s="52"/>
      <c r="J109" s="54"/>
      <c r="K109" s="54"/>
      <c r="L109" s="54"/>
      <c r="M109" s="54"/>
      <c r="N109" s="54"/>
      <c r="O109" s="54"/>
      <c r="P109" s="54"/>
      <c r="Q109" s="54"/>
      <c r="R109" t="str">
        <f t="shared" si="3"/>
        <v>E10 Deploy</v>
      </c>
    </row>
    <row r="110" spans="1:18" x14ac:dyDescent="0.55000000000000004">
      <c r="A110" s="46" t="s">
        <v>162</v>
      </c>
      <c r="B110" s="47" t="s">
        <v>252</v>
      </c>
      <c r="C110" s="48" t="s">
        <v>22</v>
      </c>
      <c r="D110" s="49" t="s">
        <v>23</v>
      </c>
      <c r="E110" s="50">
        <v>46238</v>
      </c>
      <c r="F110" s="50">
        <v>46238</v>
      </c>
      <c r="G110" s="51" t="s">
        <v>253</v>
      </c>
      <c r="H110" s="47"/>
      <c r="I110" s="52"/>
      <c r="J110" s="47"/>
      <c r="K110" s="47"/>
      <c r="L110" s="47"/>
      <c r="M110" s="47"/>
      <c r="N110" s="47"/>
      <c r="O110" s="47"/>
      <c r="P110" s="47"/>
      <c r="Q110" s="47"/>
      <c r="R110" t="str">
        <f t="shared" si="3"/>
        <v>E10 Deploy</v>
      </c>
    </row>
    <row r="111" spans="1:18" x14ac:dyDescent="0.55000000000000004">
      <c r="A111" s="53" t="s">
        <v>162</v>
      </c>
      <c r="B111" s="54" t="s">
        <v>254</v>
      </c>
      <c r="C111" s="48" t="s">
        <v>22</v>
      </c>
      <c r="D111" s="55" t="s">
        <v>75</v>
      </c>
      <c r="E111" s="56">
        <v>46238</v>
      </c>
      <c r="F111" s="56">
        <v>46238</v>
      </c>
      <c r="G111" s="57" t="s">
        <v>255</v>
      </c>
      <c r="H111" s="54"/>
      <c r="I111" s="52"/>
      <c r="J111" s="54"/>
      <c r="K111" s="54"/>
      <c r="L111" s="54"/>
      <c r="M111" s="54"/>
      <c r="N111" s="54"/>
      <c r="O111" s="54"/>
      <c r="P111" s="54"/>
      <c r="Q111" s="54"/>
      <c r="R111" t="str">
        <f t="shared" si="3"/>
        <v>E10 Deploy</v>
      </c>
    </row>
    <row r="112" spans="1:18" x14ac:dyDescent="0.55000000000000004">
      <c r="A112" s="63" t="s">
        <v>162</v>
      </c>
      <c r="B112" s="64" t="s">
        <v>256</v>
      </c>
      <c r="C112" s="65" t="s">
        <v>22</v>
      </c>
      <c r="D112" s="66" t="s">
        <v>85</v>
      </c>
      <c r="E112" s="67">
        <v>46238</v>
      </c>
      <c r="F112" s="67">
        <v>46238</v>
      </c>
      <c r="G112" s="68" t="s">
        <v>257</v>
      </c>
      <c r="H112" s="64"/>
      <c r="I112" s="69"/>
      <c r="J112" s="64"/>
      <c r="K112" s="64"/>
      <c r="L112" s="64"/>
      <c r="M112" s="64"/>
      <c r="N112" s="64"/>
      <c r="O112" s="64"/>
      <c r="P112" s="64"/>
      <c r="Q112" s="64"/>
      <c r="R112" t="str">
        <f t="shared" si="3"/>
        <v>E10 Deploy</v>
      </c>
    </row>
    <row r="113" spans="1:18" x14ac:dyDescent="0.55000000000000004">
      <c r="A113" s="70" t="s">
        <v>162</v>
      </c>
      <c r="B113" s="71" t="s">
        <v>258</v>
      </c>
      <c r="C113" s="65" t="s">
        <v>22</v>
      </c>
      <c r="D113" s="72" t="s">
        <v>23</v>
      </c>
      <c r="E113" s="73">
        <v>46238</v>
      </c>
      <c r="F113" s="73">
        <v>46238</v>
      </c>
      <c r="G113" s="74" t="s">
        <v>259</v>
      </c>
      <c r="H113" s="71"/>
      <c r="I113" s="69"/>
      <c r="J113" s="71"/>
      <c r="K113" s="71"/>
      <c r="L113" s="71"/>
      <c r="M113" s="71"/>
      <c r="N113" s="71"/>
      <c r="O113" s="71"/>
      <c r="P113" s="71"/>
      <c r="Q113" s="71"/>
      <c r="R113" t="str">
        <f t="shared" si="3"/>
        <v>E10 Deploy</v>
      </c>
    </row>
    <row r="114" spans="1:18" x14ac:dyDescent="0.55000000000000004">
      <c r="A114" s="63" t="s">
        <v>162</v>
      </c>
      <c r="B114" s="64" t="s">
        <v>260</v>
      </c>
      <c r="C114" s="75" t="s">
        <v>138</v>
      </c>
      <c r="D114" s="66" t="s">
        <v>23</v>
      </c>
      <c r="E114" s="67">
        <v>46238</v>
      </c>
      <c r="F114" s="67">
        <v>46238</v>
      </c>
      <c r="G114" s="68" t="s">
        <v>261</v>
      </c>
      <c r="H114" s="64"/>
      <c r="I114" s="76"/>
      <c r="J114" s="64"/>
      <c r="K114" s="64"/>
      <c r="L114" s="64"/>
      <c r="M114" s="64"/>
      <c r="N114" s="64"/>
      <c r="O114" s="64"/>
      <c r="P114" s="64"/>
      <c r="Q114" s="64"/>
      <c r="R114" t="str">
        <f t="shared" si="3"/>
        <v>E10 Deploy</v>
      </c>
    </row>
    <row r="115" spans="1:18" x14ac:dyDescent="0.55000000000000004">
      <c r="A115" s="70" t="s">
        <v>162</v>
      </c>
      <c r="B115" s="71" t="s">
        <v>262</v>
      </c>
      <c r="C115" s="77" t="s">
        <v>22</v>
      </c>
      <c r="D115" s="72" t="s">
        <v>85</v>
      </c>
      <c r="E115" s="73">
        <v>46239</v>
      </c>
      <c r="F115" s="73">
        <v>46239</v>
      </c>
      <c r="G115" s="74" t="s">
        <v>263</v>
      </c>
      <c r="H115" s="71"/>
      <c r="I115" s="78"/>
      <c r="J115" s="71"/>
      <c r="K115" s="71"/>
      <c r="L115" s="71"/>
      <c r="M115" s="71"/>
      <c r="N115" s="71"/>
      <c r="O115" s="71"/>
      <c r="P115" s="71"/>
      <c r="Q115" s="71"/>
      <c r="R115" t="str">
        <f t="shared" si="3"/>
        <v>E10 Deploy</v>
      </c>
    </row>
    <row r="116" spans="1:18" x14ac:dyDescent="0.55000000000000004">
      <c r="A116" s="81" t="s">
        <v>162</v>
      </c>
      <c r="B116" s="82" t="s">
        <v>264</v>
      </c>
      <c r="C116" s="83" t="s">
        <v>22</v>
      </c>
      <c r="D116" s="84" t="s">
        <v>85</v>
      </c>
      <c r="E116" s="85">
        <v>46238</v>
      </c>
      <c r="F116" s="85">
        <v>46238</v>
      </c>
      <c r="G116" s="86" t="s">
        <v>265</v>
      </c>
      <c r="H116" s="82"/>
      <c r="I116" s="87"/>
      <c r="J116" s="82"/>
      <c r="K116" s="82"/>
      <c r="L116" s="82"/>
      <c r="M116" s="82"/>
      <c r="N116" s="82"/>
      <c r="O116" s="82"/>
      <c r="P116" s="82"/>
      <c r="Q116" s="82"/>
      <c r="R116" t="str">
        <f t="shared" si="3"/>
        <v>E10 Deploy</v>
      </c>
    </row>
    <row r="117" spans="1:18" x14ac:dyDescent="0.55000000000000004">
      <c r="A117" s="91" t="s">
        <v>83</v>
      </c>
      <c r="B117" s="92" t="s">
        <v>266</v>
      </c>
      <c r="C117" s="93" t="s">
        <v>22</v>
      </c>
      <c r="D117" s="94" t="s">
        <v>85</v>
      </c>
      <c r="E117" s="95">
        <v>46238</v>
      </c>
      <c r="F117" s="95">
        <v>46238</v>
      </c>
      <c r="G117" s="96" t="s">
        <v>267</v>
      </c>
      <c r="H117" s="92"/>
      <c r="I117" s="97"/>
      <c r="J117" s="92"/>
      <c r="K117" s="92"/>
      <c r="L117" s="92"/>
      <c r="M117" s="92"/>
      <c r="N117" s="92"/>
      <c r="O117" s="92"/>
      <c r="P117" s="92"/>
      <c r="Q117" s="92"/>
      <c r="R117" t="str">
        <f t="shared" si="3"/>
        <v>E7 Mobile</v>
      </c>
    </row>
    <row r="118" spans="1:18" x14ac:dyDescent="0.55000000000000004">
      <c r="A118" s="98" t="s">
        <v>83</v>
      </c>
      <c r="B118" s="99" t="s">
        <v>268</v>
      </c>
      <c r="C118" s="93" t="s">
        <v>22</v>
      </c>
      <c r="D118" s="100" t="s">
        <v>160</v>
      </c>
      <c r="E118" s="101">
        <v>46238</v>
      </c>
      <c r="F118" s="101">
        <v>46238</v>
      </c>
      <c r="G118" s="102" t="s">
        <v>269</v>
      </c>
      <c r="H118" s="99"/>
      <c r="I118" s="97"/>
      <c r="J118" s="99"/>
      <c r="K118" s="99"/>
      <c r="L118" s="99"/>
      <c r="M118" s="99"/>
      <c r="N118" s="99"/>
      <c r="O118" s="99"/>
      <c r="P118" s="99"/>
      <c r="Q118" s="99"/>
      <c r="R118" t="str">
        <f t="shared" si="3"/>
        <v>E7 Mobile</v>
      </c>
    </row>
    <row r="119" spans="1:18" x14ac:dyDescent="0.55000000000000004">
      <c r="A119" s="91" t="s">
        <v>162</v>
      </c>
      <c r="B119" s="92" t="s">
        <v>270</v>
      </c>
      <c r="C119" s="103" t="s">
        <v>128</v>
      </c>
      <c r="D119" s="94" t="s">
        <v>85</v>
      </c>
      <c r="E119" s="95">
        <v>46239</v>
      </c>
      <c r="F119" s="95">
        <v>46239</v>
      </c>
      <c r="G119" s="96" t="s">
        <v>271</v>
      </c>
      <c r="H119" s="92"/>
      <c r="I119" s="104"/>
      <c r="J119" s="92"/>
      <c r="K119" s="92"/>
      <c r="L119" s="92"/>
      <c r="M119" s="92"/>
      <c r="N119" s="92"/>
      <c r="O119" s="92"/>
      <c r="P119" s="92"/>
      <c r="Q119" s="92"/>
      <c r="R119" t="str">
        <f t="shared" si="3"/>
        <v>E10 Deploy</v>
      </c>
    </row>
    <row r="120" spans="1:18" x14ac:dyDescent="0.55000000000000004">
      <c r="A120" s="98" t="s">
        <v>83</v>
      </c>
      <c r="B120" s="99" t="s">
        <v>272</v>
      </c>
      <c r="C120" s="103" t="s">
        <v>128</v>
      </c>
      <c r="D120" s="100" t="s">
        <v>160</v>
      </c>
      <c r="E120" s="101">
        <v>46244</v>
      </c>
      <c r="F120" s="101">
        <v>46248</v>
      </c>
      <c r="G120" s="102" t="s">
        <v>273</v>
      </c>
      <c r="H120" s="99"/>
      <c r="I120" s="99"/>
      <c r="J120" s="104"/>
      <c r="K120" s="99"/>
      <c r="L120" s="99"/>
      <c r="M120" s="99"/>
      <c r="N120" s="99"/>
      <c r="O120" s="99"/>
      <c r="P120" s="99"/>
      <c r="Q120" s="99"/>
      <c r="R120" t="str">
        <f t="shared" si="3"/>
        <v>E7 Mobile</v>
      </c>
    </row>
    <row r="121" spans="1:18" x14ac:dyDescent="0.55000000000000004">
      <c r="A121" s="108" t="s">
        <v>162</v>
      </c>
      <c r="B121" s="109" t="s">
        <v>274</v>
      </c>
      <c r="C121" s="110" t="s">
        <v>22</v>
      </c>
      <c r="D121" s="111" t="s">
        <v>85</v>
      </c>
      <c r="E121" s="112">
        <v>46238</v>
      </c>
      <c r="F121" s="112">
        <v>46238</v>
      </c>
      <c r="G121" s="113" t="s">
        <v>275</v>
      </c>
      <c r="H121" s="109"/>
      <c r="I121" s="114"/>
      <c r="J121" s="109"/>
      <c r="K121" s="109"/>
      <c r="L121" s="109"/>
      <c r="M121" s="109"/>
      <c r="N121" s="109"/>
      <c r="O121" s="109"/>
      <c r="P121" s="109"/>
      <c r="Q121" s="109"/>
      <c r="R121" t="str">
        <f t="shared" si="3"/>
        <v>E10 Deploy</v>
      </c>
    </row>
    <row r="122" spans="1:18" x14ac:dyDescent="0.55000000000000004">
      <c r="A122" s="115" t="s">
        <v>162</v>
      </c>
      <c r="B122" s="116" t="s">
        <v>276</v>
      </c>
      <c r="C122" s="110" t="s">
        <v>22</v>
      </c>
      <c r="D122" s="117" t="s">
        <v>85</v>
      </c>
      <c r="E122" s="118">
        <v>46238</v>
      </c>
      <c r="F122" s="118">
        <v>46238</v>
      </c>
      <c r="G122" s="119" t="s">
        <v>277</v>
      </c>
      <c r="H122" s="116"/>
      <c r="I122" s="114"/>
      <c r="J122" s="116"/>
      <c r="K122" s="116"/>
      <c r="L122" s="116"/>
      <c r="M122" s="116"/>
      <c r="N122" s="116"/>
      <c r="O122" s="116"/>
      <c r="P122" s="116"/>
      <c r="Q122" s="116"/>
      <c r="R122" t="str">
        <f t="shared" si="3"/>
        <v>E10 Deploy</v>
      </c>
    </row>
    <row r="123" spans="1:18" x14ac:dyDescent="0.55000000000000004">
      <c r="A123" s="108" t="s">
        <v>162</v>
      </c>
      <c r="B123" s="109" t="s">
        <v>278</v>
      </c>
      <c r="C123" s="120" t="s">
        <v>22</v>
      </c>
      <c r="D123" s="111" t="s">
        <v>85</v>
      </c>
      <c r="E123" s="112">
        <v>46239</v>
      </c>
      <c r="F123" s="112">
        <v>46239</v>
      </c>
      <c r="G123" s="113" t="s">
        <v>279</v>
      </c>
      <c r="H123" s="109"/>
      <c r="I123" s="121"/>
      <c r="J123" s="109"/>
      <c r="K123" s="109"/>
      <c r="L123" s="109"/>
      <c r="M123" s="109"/>
      <c r="N123" s="109"/>
      <c r="O123" s="109"/>
      <c r="P123" s="109"/>
      <c r="Q123" s="109"/>
      <c r="R123" t="str">
        <f t="shared" si="3"/>
        <v>E10 Deploy</v>
      </c>
    </row>
    <row r="124" spans="1:18" x14ac:dyDescent="0.55000000000000004">
      <c r="A124" s="115" t="s">
        <v>162</v>
      </c>
      <c r="B124" s="116" t="s">
        <v>280</v>
      </c>
      <c r="C124" s="120" t="s">
        <v>22</v>
      </c>
      <c r="D124" s="117" t="s">
        <v>85</v>
      </c>
      <c r="E124" s="118">
        <v>46239</v>
      </c>
      <c r="F124" s="118">
        <v>46240</v>
      </c>
      <c r="G124" s="119" t="s">
        <v>281</v>
      </c>
      <c r="H124" s="116"/>
      <c r="I124" s="121"/>
      <c r="J124" s="116"/>
      <c r="K124" s="116"/>
      <c r="L124" s="116"/>
      <c r="M124" s="116"/>
      <c r="N124" s="116"/>
      <c r="O124" s="116"/>
      <c r="P124" s="116"/>
      <c r="Q124" s="116"/>
      <c r="R124" t="str">
        <f t="shared" si="3"/>
        <v>E10 Deploy</v>
      </c>
    </row>
    <row r="125" spans="1:18" x14ac:dyDescent="0.55000000000000004">
      <c r="A125" s="126" t="s">
        <v>162</v>
      </c>
      <c r="B125" s="127" t="s">
        <v>282</v>
      </c>
      <c r="C125" s="128" t="s">
        <v>22</v>
      </c>
      <c r="D125" s="129" t="s">
        <v>85</v>
      </c>
      <c r="E125" s="130">
        <v>46238</v>
      </c>
      <c r="F125" s="130">
        <v>46238</v>
      </c>
      <c r="G125" s="131" t="s">
        <v>283</v>
      </c>
      <c r="H125" s="127"/>
      <c r="I125" s="132"/>
      <c r="J125" s="127"/>
      <c r="K125" s="127"/>
      <c r="L125" s="127"/>
      <c r="M125" s="127"/>
      <c r="N125" s="127"/>
      <c r="O125" s="127"/>
      <c r="P125" s="127"/>
      <c r="Q125" s="127"/>
      <c r="R125" t="str">
        <f t="shared" si="3"/>
        <v>E10 Deploy</v>
      </c>
    </row>
    <row r="126" spans="1:18" x14ac:dyDescent="0.55000000000000004">
      <c r="A126" s="133" t="s">
        <v>162</v>
      </c>
      <c r="B126" s="134" t="s">
        <v>284</v>
      </c>
      <c r="C126" s="135" t="s">
        <v>128</v>
      </c>
      <c r="D126" s="136" t="s">
        <v>85</v>
      </c>
      <c r="E126" s="137">
        <v>46239</v>
      </c>
      <c r="F126" s="137">
        <v>46239</v>
      </c>
      <c r="G126" s="138" t="s">
        <v>285</v>
      </c>
      <c r="H126" s="134"/>
      <c r="I126" s="139"/>
      <c r="J126" s="134"/>
      <c r="K126" s="134"/>
      <c r="L126" s="134"/>
      <c r="M126" s="134"/>
      <c r="N126" s="134"/>
      <c r="O126" s="134"/>
      <c r="P126" s="134"/>
      <c r="Q126" s="134"/>
      <c r="R126" t="str">
        <f t="shared" si="3"/>
        <v>E10 Deploy</v>
      </c>
    </row>
    <row r="127" spans="1:18" x14ac:dyDescent="0.55000000000000004">
      <c r="A127" s="140" t="s">
        <v>83</v>
      </c>
      <c r="B127" s="141" t="s">
        <v>286</v>
      </c>
      <c r="C127" s="142" t="s">
        <v>138</v>
      </c>
      <c r="D127" s="143" t="s">
        <v>85</v>
      </c>
      <c r="E127" s="144">
        <v>46239</v>
      </c>
      <c r="F127" s="144">
        <v>46239</v>
      </c>
      <c r="G127" s="145" t="s">
        <v>287</v>
      </c>
      <c r="H127" s="141"/>
      <c r="I127" s="146"/>
      <c r="J127" s="141"/>
      <c r="K127" s="141"/>
      <c r="L127" s="141"/>
      <c r="M127" s="141"/>
      <c r="N127" s="141"/>
      <c r="O127" s="141"/>
      <c r="P127" s="141"/>
      <c r="Q127" s="141"/>
      <c r="R127" t="str">
        <f t="shared" si="3"/>
        <v>E7 Mobile</v>
      </c>
    </row>
    <row r="128" spans="1:18" x14ac:dyDescent="0.55000000000000004">
      <c r="A128" s="147" t="s">
        <v>83</v>
      </c>
      <c r="B128" s="148" t="s">
        <v>288</v>
      </c>
      <c r="C128" s="149" t="s">
        <v>22</v>
      </c>
      <c r="D128" s="150" t="s">
        <v>85</v>
      </c>
      <c r="E128" s="151">
        <v>46239</v>
      </c>
      <c r="F128" s="151">
        <v>46239</v>
      </c>
      <c r="G128" s="152" t="s">
        <v>289</v>
      </c>
      <c r="H128" s="148"/>
      <c r="I128" s="153"/>
      <c r="J128" s="148"/>
      <c r="K128" s="148"/>
      <c r="L128" s="148"/>
      <c r="M128" s="148"/>
      <c r="N128" s="148"/>
      <c r="O128" s="148"/>
      <c r="P128" s="148"/>
      <c r="Q128" s="148"/>
      <c r="R128" t="str">
        <f t="shared" si="3"/>
        <v>E7 Mobile</v>
      </c>
    </row>
    <row r="129" spans="1:18" x14ac:dyDescent="0.55000000000000004">
      <c r="A129" s="140" t="s">
        <v>83</v>
      </c>
      <c r="B129" s="141" t="s">
        <v>290</v>
      </c>
      <c r="C129" s="149" t="s">
        <v>22</v>
      </c>
      <c r="D129" s="143" t="s">
        <v>85</v>
      </c>
      <c r="E129" s="144">
        <v>46239</v>
      </c>
      <c r="F129" s="144">
        <v>46239</v>
      </c>
      <c r="G129" s="145" t="s">
        <v>291</v>
      </c>
      <c r="H129" s="141"/>
      <c r="I129" s="153"/>
      <c r="J129" s="141"/>
      <c r="K129" s="141"/>
      <c r="L129" s="141"/>
      <c r="M129" s="141"/>
      <c r="N129" s="141"/>
      <c r="O129" s="141"/>
      <c r="P129" s="141"/>
      <c r="Q129" s="141"/>
      <c r="R129" t="str">
        <f t="shared" si="3"/>
        <v>E7 Mobile</v>
      </c>
    </row>
    <row r="130" spans="1:18" x14ac:dyDescent="0.55000000000000004">
      <c r="A130" s="147" t="s">
        <v>191</v>
      </c>
      <c r="B130" s="148" t="s">
        <v>292</v>
      </c>
      <c r="C130" s="149" t="s">
        <v>22</v>
      </c>
      <c r="D130" s="150" t="s">
        <v>75</v>
      </c>
      <c r="E130" s="151">
        <v>46239</v>
      </c>
      <c r="F130" s="151">
        <v>46239</v>
      </c>
      <c r="G130" s="152" t="s">
        <v>293</v>
      </c>
      <c r="H130" s="148"/>
      <c r="I130" s="153"/>
      <c r="J130" s="148"/>
      <c r="K130" s="148"/>
      <c r="L130" s="148"/>
      <c r="M130" s="148"/>
      <c r="N130" s="148"/>
      <c r="O130" s="148"/>
      <c r="P130" s="148"/>
      <c r="Q130" s="148"/>
      <c r="R130" t="str">
        <f t="shared" si="3"/>
        <v>E11 Ops Resilience</v>
      </c>
    </row>
    <row r="131" spans="1:18" x14ac:dyDescent="0.55000000000000004">
      <c r="A131" s="140" t="s">
        <v>83</v>
      </c>
      <c r="B131" s="141" t="s">
        <v>294</v>
      </c>
      <c r="C131" s="154" t="s">
        <v>22</v>
      </c>
      <c r="D131" s="143" t="s">
        <v>85</v>
      </c>
      <c r="E131" s="144">
        <v>46239</v>
      </c>
      <c r="F131" s="144">
        <v>46239</v>
      </c>
      <c r="G131" s="145" t="s">
        <v>295</v>
      </c>
      <c r="H131" s="141"/>
      <c r="I131" s="155"/>
      <c r="J131" s="141"/>
      <c r="K131" s="141"/>
      <c r="L131" s="141"/>
      <c r="M131" s="141"/>
      <c r="N131" s="141"/>
      <c r="O131" s="141"/>
      <c r="P131" s="141"/>
      <c r="Q131" s="141"/>
      <c r="R131" t="str">
        <f t="shared" si="3"/>
        <v>E7 Mobile</v>
      </c>
    </row>
    <row r="132" spans="1:18" x14ac:dyDescent="0.55000000000000004">
      <c r="A132" s="147" t="s">
        <v>83</v>
      </c>
      <c r="B132" s="148" t="s">
        <v>296</v>
      </c>
      <c r="C132" s="154" t="s">
        <v>128</v>
      </c>
      <c r="D132" s="150" t="s">
        <v>85</v>
      </c>
      <c r="E132" s="151">
        <v>46240</v>
      </c>
      <c r="F132" s="151">
        <v>46240</v>
      </c>
      <c r="G132" s="152" t="s">
        <v>297</v>
      </c>
      <c r="H132" s="148"/>
      <c r="I132" s="155"/>
      <c r="J132" s="148"/>
      <c r="K132" s="148"/>
      <c r="L132" s="148"/>
      <c r="M132" s="148"/>
      <c r="N132" s="148"/>
      <c r="O132" s="148"/>
      <c r="P132" s="148"/>
      <c r="Q132" s="148"/>
      <c r="R132" t="str">
        <f t="shared" si="3"/>
        <v>E7 Mobile</v>
      </c>
    </row>
    <row r="133" spans="1:18" x14ac:dyDescent="0.55000000000000004">
      <c r="A133" s="160" t="s">
        <v>130</v>
      </c>
      <c r="B133" s="161" t="s">
        <v>298</v>
      </c>
      <c r="C133" s="162" t="s">
        <v>22</v>
      </c>
      <c r="D133" s="163" t="s">
        <v>33</v>
      </c>
      <c r="E133" s="164">
        <v>46239</v>
      </c>
      <c r="F133" s="164">
        <v>46239</v>
      </c>
      <c r="G133" s="165" t="s">
        <v>299</v>
      </c>
      <c r="H133" s="161"/>
      <c r="I133" s="166"/>
      <c r="J133" s="161"/>
      <c r="K133" s="161"/>
      <c r="L133" s="161"/>
      <c r="M133" s="161"/>
      <c r="N133" s="161"/>
      <c r="O133" s="161"/>
      <c r="P133" s="161"/>
      <c r="Q133" s="161"/>
      <c r="R133" t="str">
        <f t="shared" si="3"/>
        <v>E9 Data Ops</v>
      </c>
    </row>
    <row r="134" spans="1:18" x14ac:dyDescent="0.55000000000000004">
      <c r="A134" s="167" t="s">
        <v>130</v>
      </c>
      <c r="B134" s="168" t="s">
        <v>300</v>
      </c>
      <c r="C134" s="162" t="s">
        <v>22</v>
      </c>
      <c r="D134" s="169" t="s">
        <v>33</v>
      </c>
      <c r="E134" s="170">
        <v>46239</v>
      </c>
      <c r="F134" s="170">
        <v>46239</v>
      </c>
      <c r="G134" s="171" t="s">
        <v>301</v>
      </c>
      <c r="H134" s="168"/>
      <c r="I134" s="166"/>
      <c r="J134" s="168"/>
      <c r="K134" s="168"/>
      <c r="L134" s="168"/>
      <c r="M134" s="168"/>
      <c r="N134" s="168"/>
      <c r="O134" s="168"/>
      <c r="P134" s="168"/>
      <c r="Q134" s="168"/>
      <c r="R134" t="str">
        <f t="shared" ref="R134:R165" si="4">IF($A134&lt;&gt;"",$A134,R133)</f>
        <v>E9 Data Ops</v>
      </c>
    </row>
    <row r="135" spans="1:18" x14ac:dyDescent="0.55000000000000004">
      <c r="A135" s="179" t="s">
        <v>130</v>
      </c>
      <c r="B135" s="180" t="s">
        <v>302</v>
      </c>
      <c r="C135" s="181" t="s">
        <v>128</v>
      </c>
      <c r="D135" s="182" t="s">
        <v>33</v>
      </c>
      <c r="E135" s="183">
        <v>46255</v>
      </c>
      <c r="F135" s="183">
        <v>46255</v>
      </c>
      <c r="G135" s="184" t="s">
        <v>303</v>
      </c>
      <c r="H135" s="180"/>
      <c r="I135" s="180"/>
      <c r="J135" s="180"/>
      <c r="K135" s="185"/>
      <c r="L135" s="180"/>
      <c r="M135" s="180"/>
      <c r="N135" s="180"/>
      <c r="O135" s="180"/>
      <c r="P135" s="180"/>
      <c r="Q135" s="180"/>
      <c r="R135" t="str">
        <f t="shared" si="4"/>
        <v>E9 Data Ops</v>
      </c>
    </row>
    <row r="136" spans="1:18" x14ac:dyDescent="0.55000000000000004">
      <c r="A136" s="189" t="s">
        <v>130</v>
      </c>
      <c r="B136" s="190" t="s">
        <v>304</v>
      </c>
      <c r="C136" s="191" t="s">
        <v>22</v>
      </c>
      <c r="D136" s="192" t="s">
        <v>33</v>
      </c>
      <c r="E136" s="193">
        <v>46239</v>
      </c>
      <c r="F136" s="193">
        <v>46239</v>
      </c>
      <c r="G136" s="194" t="s">
        <v>305</v>
      </c>
      <c r="H136" s="190"/>
      <c r="I136" s="195"/>
      <c r="J136" s="190"/>
      <c r="K136" s="190"/>
      <c r="L136" s="190"/>
      <c r="M136" s="190"/>
      <c r="N136" s="190"/>
      <c r="O136" s="190"/>
      <c r="P136" s="190"/>
      <c r="Q136" s="190"/>
      <c r="R136" t="str">
        <f t="shared" si="4"/>
        <v>E9 Data Ops</v>
      </c>
    </row>
    <row r="137" spans="1:18" x14ac:dyDescent="0.55000000000000004">
      <c r="A137" s="203" t="s">
        <v>62</v>
      </c>
      <c r="B137" s="204" t="s">
        <v>306</v>
      </c>
      <c r="C137" s="205" t="s">
        <v>138</v>
      </c>
      <c r="D137" s="206" t="s">
        <v>33</v>
      </c>
      <c r="E137" s="207">
        <v>46239</v>
      </c>
      <c r="F137" s="207">
        <v>46239</v>
      </c>
      <c r="G137" s="208" t="s">
        <v>307</v>
      </c>
      <c r="H137" s="204"/>
      <c r="I137" s="209"/>
      <c r="J137" s="204"/>
      <c r="K137" s="204"/>
      <c r="L137" s="204"/>
      <c r="M137" s="204"/>
      <c r="N137" s="204"/>
      <c r="O137" s="204"/>
      <c r="P137" s="204"/>
      <c r="Q137" s="204"/>
      <c r="R137" t="str">
        <f t="shared" si="4"/>
        <v>E5 ML Tennis</v>
      </c>
    </row>
    <row r="138" spans="1:18" x14ac:dyDescent="0.55000000000000004">
      <c r="A138" s="210" t="s">
        <v>62</v>
      </c>
      <c r="B138" s="211" t="s">
        <v>308</v>
      </c>
      <c r="C138" s="212" t="s">
        <v>22</v>
      </c>
      <c r="D138" s="213" t="s">
        <v>75</v>
      </c>
      <c r="E138" s="214">
        <v>46239</v>
      </c>
      <c r="F138" s="214">
        <v>46239</v>
      </c>
      <c r="G138" s="215" t="s">
        <v>309</v>
      </c>
      <c r="H138" s="211"/>
      <c r="I138" s="216"/>
      <c r="J138" s="211"/>
      <c r="K138" s="211"/>
      <c r="L138" s="211"/>
      <c r="M138" s="211"/>
      <c r="N138" s="211"/>
      <c r="O138" s="211"/>
      <c r="P138" s="211"/>
      <c r="Q138" s="211"/>
      <c r="R138" t="str">
        <f t="shared" si="4"/>
        <v>E5 ML Tennis</v>
      </c>
    </row>
    <row r="139" spans="1:18" x14ac:dyDescent="0.55000000000000004">
      <c r="A139" s="203" t="s">
        <v>62</v>
      </c>
      <c r="B139" s="204" t="s">
        <v>310</v>
      </c>
      <c r="C139" s="212" t="s">
        <v>22</v>
      </c>
      <c r="D139" s="206" t="s">
        <v>75</v>
      </c>
      <c r="E139" s="207">
        <v>46239</v>
      </c>
      <c r="F139" s="207">
        <v>46239</v>
      </c>
      <c r="G139" s="208" t="s">
        <v>311</v>
      </c>
      <c r="H139" s="204"/>
      <c r="I139" s="216"/>
      <c r="J139" s="204"/>
      <c r="K139" s="204"/>
      <c r="L139" s="204"/>
      <c r="M139" s="204"/>
      <c r="N139" s="204"/>
      <c r="O139" s="204"/>
      <c r="P139" s="204"/>
      <c r="Q139" s="204"/>
      <c r="R139" t="str">
        <f t="shared" si="4"/>
        <v>E5 ML Tennis</v>
      </c>
    </row>
    <row r="140" spans="1:18" x14ac:dyDescent="0.55000000000000004">
      <c r="A140" s="210" t="s">
        <v>130</v>
      </c>
      <c r="B140" s="211" t="s">
        <v>312</v>
      </c>
      <c r="C140" s="217" t="s">
        <v>128</v>
      </c>
      <c r="D140" s="213" t="s">
        <v>33</v>
      </c>
      <c r="E140" s="214">
        <v>46242</v>
      </c>
      <c r="F140" s="214">
        <v>46242</v>
      </c>
      <c r="G140" s="215" t="s">
        <v>313</v>
      </c>
      <c r="H140" s="211"/>
      <c r="I140" s="218"/>
      <c r="J140" s="211"/>
      <c r="K140" s="211"/>
      <c r="L140" s="211"/>
      <c r="M140" s="211"/>
      <c r="N140" s="211"/>
      <c r="O140" s="211"/>
      <c r="P140" s="211"/>
      <c r="Q140" s="211"/>
      <c r="R140" t="str">
        <f t="shared" si="4"/>
        <v>E9 Data Ops</v>
      </c>
    </row>
    <row r="141" spans="1:18" x14ac:dyDescent="0.55000000000000004">
      <c r="A141" s="203" t="s">
        <v>130</v>
      </c>
      <c r="B141" s="204" t="s">
        <v>314</v>
      </c>
      <c r="C141" s="217" t="s">
        <v>22</v>
      </c>
      <c r="D141" s="206" t="s">
        <v>23</v>
      </c>
      <c r="E141" s="207">
        <v>46240</v>
      </c>
      <c r="F141" s="207">
        <v>46240</v>
      </c>
      <c r="G141" s="208" t="s">
        <v>315</v>
      </c>
      <c r="H141" s="204"/>
      <c r="I141" s="218"/>
      <c r="J141" s="204"/>
      <c r="K141" s="204"/>
      <c r="L141" s="204"/>
      <c r="M141" s="204"/>
      <c r="N141" s="204"/>
      <c r="O141" s="204"/>
      <c r="P141" s="204"/>
      <c r="Q141" s="204"/>
      <c r="R141" t="str">
        <f t="shared" si="4"/>
        <v>E9 Data Ops</v>
      </c>
    </row>
    <row r="142" spans="1:18" x14ac:dyDescent="0.55000000000000004">
      <c r="A142" s="210" t="s">
        <v>83</v>
      </c>
      <c r="B142" s="211" t="s">
        <v>316</v>
      </c>
      <c r="C142" s="217" t="s">
        <v>128</v>
      </c>
      <c r="D142" s="213" t="s">
        <v>85</v>
      </c>
      <c r="E142" s="214">
        <v>46273</v>
      </c>
      <c r="F142" s="214">
        <v>46277</v>
      </c>
      <c r="G142" s="215" t="s">
        <v>317</v>
      </c>
      <c r="H142" s="211"/>
      <c r="I142" s="211"/>
      <c r="J142" s="211"/>
      <c r="K142" s="211"/>
      <c r="L142" s="211"/>
      <c r="M142" s="211"/>
      <c r="N142" s="218"/>
      <c r="O142" s="211"/>
      <c r="P142" s="211"/>
      <c r="Q142" s="211"/>
      <c r="R142" t="str">
        <f t="shared" si="4"/>
        <v>E7 Mobile</v>
      </c>
    </row>
    <row r="143" spans="1:18" x14ac:dyDescent="0.55000000000000004">
      <c r="A143" s="203" t="s">
        <v>83</v>
      </c>
      <c r="B143" s="204" t="s">
        <v>318</v>
      </c>
      <c r="C143" s="212" t="s">
        <v>22</v>
      </c>
      <c r="D143" s="206" t="s">
        <v>85</v>
      </c>
      <c r="E143" s="207">
        <v>46239</v>
      </c>
      <c r="F143" s="207">
        <v>46239</v>
      </c>
      <c r="G143" s="208" t="s">
        <v>319</v>
      </c>
      <c r="H143" s="204"/>
      <c r="I143" s="216"/>
      <c r="J143" s="204"/>
      <c r="K143" s="204"/>
      <c r="L143" s="204"/>
      <c r="M143" s="204"/>
      <c r="N143" s="204"/>
      <c r="O143" s="204"/>
      <c r="P143" s="204"/>
      <c r="Q143" s="204"/>
      <c r="R143" t="str">
        <f t="shared" si="4"/>
        <v>E7 Mobile</v>
      </c>
    </row>
    <row r="144" spans="1:18" x14ac:dyDescent="0.55000000000000004">
      <c r="A144" s="223" t="s">
        <v>99</v>
      </c>
      <c r="B144" s="224" t="s">
        <v>320</v>
      </c>
      <c r="C144" s="225" t="s">
        <v>22</v>
      </c>
      <c r="D144" s="226" t="s">
        <v>33</v>
      </c>
      <c r="E144" s="227">
        <v>46240</v>
      </c>
      <c r="F144" s="227">
        <v>46240</v>
      </c>
      <c r="G144" s="228" t="s">
        <v>321</v>
      </c>
      <c r="H144" s="224"/>
      <c r="I144" s="229"/>
      <c r="J144" s="224"/>
      <c r="K144" s="224"/>
      <c r="L144" s="224"/>
      <c r="M144" s="224"/>
      <c r="N144" s="224"/>
      <c r="O144" s="224"/>
      <c r="P144" s="224"/>
      <c r="Q144" s="224"/>
      <c r="R144" t="str">
        <f t="shared" si="4"/>
        <v>E8 Model Quality</v>
      </c>
    </row>
    <row r="145" spans="1:18" x14ac:dyDescent="0.55000000000000004">
      <c r="A145" s="230" t="s">
        <v>99</v>
      </c>
      <c r="B145" s="231" t="s">
        <v>322</v>
      </c>
      <c r="C145" s="232" t="s">
        <v>138</v>
      </c>
      <c r="D145" s="233" t="s">
        <v>45</v>
      </c>
      <c r="E145" s="234">
        <v>46240</v>
      </c>
      <c r="F145" s="234">
        <v>46240</v>
      </c>
      <c r="G145" s="235" t="s">
        <v>323</v>
      </c>
      <c r="H145" s="231"/>
      <c r="I145" s="236"/>
      <c r="J145" s="231"/>
      <c r="K145" s="231"/>
      <c r="L145" s="231"/>
      <c r="M145" s="231"/>
      <c r="N145" s="231"/>
      <c r="O145" s="231"/>
      <c r="P145" s="231"/>
      <c r="Q145" s="231"/>
      <c r="R145" t="str">
        <f t="shared" si="4"/>
        <v>E8 Model Quality</v>
      </c>
    </row>
    <row r="146" spans="1:18" x14ac:dyDescent="0.55000000000000004">
      <c r="A146" s="223" t="s">
        <v>62</v>
      </c>
      <c r="B146" s="224" t="s">
        <v>324</v>
      </c>
      <c r="C146" s="225" t="s">
        <v>22</v>
      </c>
      <c r="D146" s="226" t="s">
        <v>75</v>
      </c>
      <c r="E146" s="227">
        <v>46240</v>
      </c>
      <c r="F146" s="227">
        <v>46240</v>
      </c>
      <c r="G146" s="228" t="s">
        <v>325</v>
      </c>
      <c r="H146" s="224"/>
      <c r="I146" s="229"/>
      <c r="J146" s="224"/>
      <c r="K146" s="224"/>
      <c r="L146" s="224"/>
      <c r="M146" s="224"/>
      <c r="N146" s="224"/>
      <c r="O146" s="224"/>
      <c r="P146" s="224"/>
      <c r="Q146" s="224"/>
      <c r="R146" t="str">
        <f t="shared" si="4"/>
        <v>E5 ML Tennis</v>
      </c>
    </row>
    <row r="147" spans="1:18" x14ac:dyDescent="0.55000000000000004">
      <c r="A147" s="230" t="s">
        <v>62</v>
      </c>
      <c r="B147" s="231" t="s">
        <v>326</v>
      </c>
      <c r="C147" s="225" t="s">
        <v>22</v>
      </c>
      <c r="D147" s="233" t="s">
        <v>45</v>
      </c>
      <c r="E147" s="234">
        <v>46240</v>
      </c>
      <c r="F147" s="234">
        <v>46240</v>
      </c>
      <c r="G147" s="235" t="s">
        <v>327</v>
      </c>
      <c r="H147" s="231"/>
      <c r="I147" s="229"/>
      <c r="J147" s="231"/>
      <c r="K147" s="231"/>
      <c r="L147" s="231"/>
      <c r="M147" s="231"/>
      <c r="N147" s="231"/>
      <c r="O147" s="231"/>
      <c r="P147" s="231"/>
      <c r="Q147" s="231"/>
      <c r="R147" t="str">
        <f t="shared" si="4"/>
        <v>E5 ML Tennis</v>
      </c>
    </row>
    <row r="148" spans="1:18" x14ac:dyDescent="0.55000000000000004">
      <c r="A148" s="223" t="s">
        <v>62</v>
      </c>
      <c r="B148" s="224" t="s">
        <v>328</v>
      </c>
      <c r="C148" s="225" t="s">
        <v>22</v>
      </c>
      <c r="D148" s="226" t="s">
        <v>45</v>
      </c>
      <c r="E148" s="227">
        <v>46240</v>
      </c>
      <c r="F148" s="227">
        <v>46240</v>
      </c>
      <c r="G148" s="228" t="s">
        <v>329</v>
      </c>
      <c r="H148" s="224"/>
      <c r="I148" s="229"/>
      <c r="J148" s="224"/>
      <c r="K148" s="224"/>
      <c r="L148" s="224"/>
      <c r="M148" s="224"/>
      <c r="N148" s="224"/>
      <c r="O148" s="224"/>
      <c r="P148" s="224"/>
      <c r="Q148" s="224"/>
      <c r="R148" t="str">
        <f t="shared" si="4"/>
        <v>E5 ML Tennis</v>
      </c>
    </row>
    <row r="149" spans="1:18" x14ac:dyDescent="0.55000000000000004">
      <c r="A149" s="230" t="s">
        <v>62</v>
      </c>
      <c r="B149" s="231" t="s">
        <v>330</v>
      </c>
      <c r="C149" s="237" t="s">
        <v>22</v>
      </c>
      <c r="D149" s="233" t="s">
        <v>45</v>
      </c>
      <c r="E149" s="234">
        <v>46244</v>
      </c>
      <c r="F149" s="234">
        <v>46247</v>
      </c>
      <c r="G149" s="235" t="s">
        <v>331</v>
      </c>
      <c r="H149" s="231"/>
      <c r="I149" s="231"/>
      <c r="J149" s="238"/>
      <c r="K149" s="231"/>
      <c r="L149" s="231"/>
      <c r="M149" s="231"/>
      <c r="N149" s="231"/>
      <c r="O149" s="231"/>
      <c r="P149" s="231"/>
      <c r="Q149" s="231"/>
      <c r="R149" t="str">
        <f t="shared" si="4"/>
        <v>E5 ML Tennis</v>
      </c>
    </row>
    <row r="150" spans="1:18" x14ac:dyDescent="0.55000000000000004">
      <c r="A150" s="223" t="s">
        <v>62</v>
      </c>
      <c r="B150" s="224" t="s">
        <v>332</v>
      </c>
      <c r="C150" s="237" t="s">
        <v>22</v>
      </c>
      <c r="D150" s="226" t="s">
        <v>45</v>
      </c>
      <c r="E150" s="227">
        <v>46247</v>
      </c>
      <c r="F150" s="227">
        <v>46249</v>
      </c>
      <c r="G150" s="228" t="s">
        <v>333</v>
      </c>
      <c r="H150" s="224"/>
      <c r="I150" s="224"/>
      <c r="J150" s="238"/>
      <c r="K150" s="224"/>
      <c r="L150" s="224"/>
      <c r="M150" s="224"/>
      <c r="N150" s="224"/>
      <c r="O150" s="224"/>
      <c r="P150" s="224"/>
      <c r="Q150" s="224"/>
      <c r="R150" t="str">
        <f t="shared" si="4"/>
        <v>E5 ML Tennis</v>
      </c>
    </row>
    <row r="151" spans="1:18" x14ac:dyDescent="0.55000000000000004">
      <c r="A151" s="230" t="s">
        <v>62</v>
      </c>
      <c r="B151" s="231" t="s">
        <v>334</v>
      </c>
      <c r="C151" s="237" t="s">
        <v>22</v>
      </c>
      <c r="D151" s="233" t="s">
        <v>45</v>
      </c>
      <c r="E151" s="234">
        <v>46249</v>
      </c>
      <c r="F151" s="234">
        <v>46252</v>
      </c>
      <c r="G151" s="235" t="s">
        <v>335</v>
      </c>
      <c r="H151" s="231"/>
      <c r="I151" s="231"/>
      <c r="J151" s="238"/>
      <c r="K151" s="238"/>
      <c r="L151" s="231"/>
      <c r="M151" s="231"/>
      <c r="N151" s="231"/>
      <c r="O151" s="231"/>
      <c r="P151" s="231"/>
      <c r="Q151" s="231"/>
      <c r="R151" t="str">
        <f t="shared" si="4"/>
        <v>E5 ML Tennis</v>
      </c>
    </row>
    <row r="152" spans="1:18" x14ac:dyDescent="0.55000000000000004">
      <c r="A152" s="223" t="s">
        <v>62</v>
      </c>
      <c r="B152" s="224" t="s">
        <v>336</v>
      </c>
      <c r="C152" s="237" t="s">
        <v>22</v>
      </c>
      <c r="D152" s="226" t="s">
        <v>75</v>
      </c>
      <c r="E152" s="227">
        <v>46252</v>
      </c>
      <c r="F152" s="227">
        <v>46254</v>
      </c>
      <c r="G152" s="228" t="s">
        <v>337</v>
      </c>
      <c r="H152" s="224"/>
      <c r="I152" s="224"/>
      <c r="J152" s="224"/>
      <c r="K152" s="238"/>
      <c r="L152" s="224"/>
      <c r="M152" s="224"/>
      <c r="N152" s="224"/>
      <c r="O152" s="224"/>
      <c r="P152" s="224"/>
      <c r="Q152" s="224"/>
      <c r="R152" t="str">
        <f t="shared" si="4"/>
        <v>E5 ML Tennis</v>
      </c>
    </row>
    <row r="153" spans="1:18" x14ac:dyDescent="0.55000000000000004">
      <c r="A153" s="230" t="s">
        <v>62</v>
      </c>
      <c r="B153" s="231" t="s">
        <v>338</v>
      </c>
      <c r="C153" s="239" t="s">
        <v>22</v>
      </c>
      <c r="D153" s="233" t="s">
        <v>33</v>
      </c>
      <c r="E153" s="234">
        <v>46254</v>
      </c>
      <c r="F153" s="234">
        <v>46254</v>
      </c>
      <c r="G153" s="235" t="s">
        <v>339</v>
      </c>
      <c r="H153" s="231"/>
      <c r="I153" s="231"/>
      <c r="J153" s="231"/>
      <c r="K153" s="240"/>
      <c r="L153" s="231"/>
      <c r="M153" s="231"/>
      <c r="N153" s="231"/>
      <c r="O153" s="231"/>
      <c r="P153" s="231"/>
      <c r="Q153" s="231"/>
      <c r="R153" t="str">
        <f t="shared" si="4"/>
        <v>E5 ML Tennis</v>
      </c>
    </row>
    <row r="154" spans="1:18" x14ac:dyDescent="0.55000000000000004">
      <c r="A154" t="s">
        <v>62</v>
      </c>
      <c r="B154" t="s">
        <v>340</v>
      </c>
      <c r="C154" t="s">
        <v>138</v>
      </c>
      <c r="D154" t="s">
        <v>33</v>
      </c>
      <c r="E154" s="245">
        <v>46243</v>
      </c>
      <c r="F154" s="245">
        <v>46243</v>
      </c>
      <c r="G154" t="s">
        <v>341</v>
      </c>
      <c r="I154" t="s">
        <v>342</v>
      </c>
      <c r="R154" t="str">
        <f t="shared" si="4"/>
        <v>E5 ML Tennis</v>
      </c>
    </row>
    <row r="155" spans="1:18" x14ac:dyDescent="0.55000000000000004">
      <c r="A155" t="s">
        <v>62</v>
      </c>
      <c r="B155" t="s">
        <v>343</v>
      </c>
      <c r="C155" t="s">
        <v>22</v>
      </c>
      <c r="D155" t="s">
        <v>33</v>
      </c>
      <c r="E155" s="245">
        <v>46243</v>
      </c>
      <c r="F155" s="245">
        <v>46243</v>
      </c>
      <c r="G155" t="s">
        <v>344</v>
      </c>
      <c r="I155" t="s">
        <v>342</v>
      </c>
      <c r="R155" t="str">
        <f t="shared" si="4"/>
        <v>E5 ML Tennis</v>
      </c>
    </row>
    <row r="156" spans="1:18" x14ac:dyDescent="0.55000000000000004">
      <c r="A156" t="s">
        <v>62</v>
      </c>
      <c r="B156" t="s">
        <v>345</v>
      </c>
      <c r="C156" t="s">
        <v>22</v>
      </c>
      <c r="D156" t="s">
        <v>45</v>
      </c>
      <c r="E156" s="245">
        <v>46243</v>
      </c>
      <c r="F156" s="245">
        <v>46243</v>
      </c>
      <c r="G156" t="s">
        <v>346</v>
      </c>
      <c r="I156" t="s">
        <v>342</v>
      </c>
      <c r="R156" t="str">
        <f t="shared" si="4"/>
        <v>E5 ML Tennis</v>
      </c>
    </row>
    <row r="157" spans="1:18" x14ac:dyDescent="0.55000000000000004">
      <c r="A157" t="s">
        <v>62</v>
      </c>
      <c r="B157" t="s">
        <v>347</v>
      </c>
      <c r="C157" t="s">
        <v>22</v>
      </c>
      <c r="D157" t="s">
        <v>33</v>
      </c>
      <c r="E157" s="245">
        <v>46243</v>
      </c>
      <c r="F157" s="245">
        <v>46243</v>
      </c>
      <c r="G157" t="s">
        <v>348</v>
      </c>
      <c r="I157" t="s">
        <v>342</v>
      </c>
      <c r="R157" t="str">
        <f t="shared" si="4"/>
        <v>E5 ML Tennis</v>
      </c>
    </row>
    <row r="158" spans="1:18" x14ac:dyDescent="0.55000000000000004">
      <c r="A158" t="s">
        <v>130</v>
      </c>
      <c r="B158" t="s">
        <v>349</v>
      </c>
      <c r="C158" t="s">
        <v>22</v>
      </c>
      <c r="D158" t="s">
        <v>33</v>
      </c>
      <c r="E158" s="245">
        <v>46243</v>
      </c>
      <c r="F158" s="245">
        <v>46243</v>
      </c>
      <c r="G158" t="s">
        <v>350</v>
      </c>
      <c r="I158" t="s">
        <v>342</v>
      </c>
      <c r="R158" t="str">
        <f t="shared" si="4"/>
        <v>E9 Data Ops</v>
      </c>
    </row>
    <row r="159" spans="1:18" x14ac:dyDescent="0.55000000000000004">
      <c r="A159" t="s">
        <v>99</v>
      </c>
      <c r="B159" t="s">
        <v>351</v>
      </c>
      <c r="C159" t="s">
        <v>22</v>
      </c>
      <c r="D159" t="s">
        <v>45</v>
      </c>
      <c r="E159" s="245">
        <v>46243</v>
      </c>
      <c r="F159" s="245">
        <v>46243</v>
      </c>
      <c r="G159" t="s">
        <v>352</v>
      </c>
      <c r="I159" t="s">
        <v>342</v>
      </c>
      <c r="R159" t="str">
        <f t="shared" si="4"/>
        <v>E8 Model Quality</v>
      </c>
    </row>
    <row r="160" spans="1:18" x14ac:dyDescent="0.55000000000000004">
      <c r="A160" t="s">
        <v>162</v>
      </c>
      <c r="B160" t="s">
        <v>353</v>
      </c>
      <c r="C160" t="s">
        <v>22</v>
      </c>
      <c r="D160" t="s">
        <v>75</v>
      </c>
      <c r="E160" s="245">
        <v>46243</v>
      </c>
      <c r="F160" s="245">
        <v>46243</v>
      </c>
      <c r="G160" t="s">
        <v>354</v>
      </c>
      <c r="I160" t="s">
        <v>342</v>
      </c>
      <c r="R160" t="str">
        <f t="shared" si="4"/>
        <v>E10 Deploy</v>
      </c>
    </row>
    <row r="161" spans="1:18" x14ac:dyDescent="0.55000000000000004">
      <c r="A161" t="s">
        <v>99</v>
      </c>
      <c r="B161" t="s">
        <v>355</v>
      </c>
      <c r="C161" t="s">
        <v>22</v>
      </c>
      <c r="D161" t="s">
        <v>45</v>
      </c>
      <c r="E161" s="245">
        <v>46243</v>
      </c>
      <c r="F161" s="245">
        <v>46243</v>
      </c>
      <c r="G161" t="s">
        <v>356</v>
      </c>
      <c r="I161" t="s">
        <v>342</v>
      </c>
      <c r="R161" t="str">
        <f t="shared" si="4"/>
        <v>E8 Model Quality</v>
      </c>
    </row>
    <row r="162" spans="1:18" x14ac:dyDescent="0.55000000000000004">
      <c r="A162" t="s">
        <v>99</v>
      </c>
      <c r="B162" t="s">
        <v>357</v>
      </c>
      <c r="C162" t="s">
        <v>22</v>
      </c>
      <c r="D162" t="s">
        <v>45</v>
      </c>
      <c r="E162" s="245">
        <v>46243</v>
      </c>
      <c r="F162" s="245">
        <v>46243</v>
      </c>
      <c r="G162" t="s">
        <v>358</v>
      </c>
      <c r="I162" t="s">
        <v>342</v>
      </c>
      <c r="R162" t="str">
        <f t="shared" si="4"/>
        <v>E8 Model Quality</v>
      </c>
    </row>
    <row r="163" spans="1:18" x14ac:dyDescent="0.55000000000000004">
      <c r="A163" t="s">
        <v>99</v>
      </c>
      <c r="B163" t="s">
        <v>359</v>
      </c>
      <c r="C163" t="s">
        <v>22</v>
      </c>
      <c r="D163" t="s">
        <v>45</v>
      </c>
      <c r="E163" s="245">
        <v>46243</v>
      </c>
      <c r="F163" s="245">
        <v>46243</v>
      </c>
      <c r="G163" t="s">
        <v>360</v>
      </c>
      <c r="I163" t="s">
        <v>342</v>
      </c>
      <c r="R163" t="str">
        <f t="shared" si="4"/>
        <v>E8 Model Quality</v>
      </c>
    </row>
    <row r="164" spans="1:18" x14ac:dyDescent="0.55000000000000004">
      <c r="A164" t="s">
        <v>191</v>
      </c>
      <c r="B164" t="s">
        <v>361</v>
      </c>
      <c r="C164" t="s">
        <v>22</v>
      </c>
      <c r="D164" t="s">
        <v>362</v>
      </c>
      <c r="E164" s="245">
        <v>46243</v>
      </c>
      <c r="F164" s="245">
        <v>46243</v>
      </c>
      <c r="G164" t="s">
        <v>363</v>
      </c>
      <c r="I164" t="s">
        <v>342</v>
      </c>
      <c r="R164" t="str">
        <f t="shared" si="4"/>
        <v>E11 Ops Resilience</v>
      </c>
    </row>
    <row r="165" spans="1:18" x14ac:dyDescent="0.55000000000000004">
      <c r="A165" t="s">
        <v>130</v>
      </c>
      <c r="B165" t="s">
        <v>364</v>
      </c>
      <c r="C165" t="s">
        <v>128</v>
      </c>
      <c r="D165" t="s">
        <v>33</v>
      </c>
      <c r="E165" s="245">
        <v>46243</v>
      </c>
      <c r="F165" s="245">
        <v>46243</v>
      </c>
      <c r="G165" t="s">
        <v>365</v>
      </c>
      <c r="I165" t="s">
        <v>342</v>
      </c>
      <c r="R165" t="str">
        <f t="shared" si="4"/>
        <v>E9 Data Ops</v>
      </c>
    </row>
    <row r="166" spans="1:18" x14ac:dyDescent="0.55000000000000004">
      <c r="A166" t="s">
        <v>130</v>
      </c>
      <c r="B166" t="s">
        <v>366</v>
      </c>
      <c r="C166" t="s">
        <v>128</v>
      </c>
      <c r="D166" t="s">
        <v>33</v>
      </c>
      <c r="E166" s="245">
        <v>46243</v>
      </c>
      <c r="F166" s="245">
        <v>46243</v>
      </c>
      <c r="G166" t="s">
        <v>367</v>
      </c>
      <c r="I166" t="s">
        <v>342</v>
      </c>
      <c r="R166" t="str">
        <f t="shared" ref="R166:R198" si="5">IF($A166&lt;&gt;"",$A166,R165)</f>
        <v>E9 Data Ops</v>
      </c>
    </row>
    <row r="167" spans="1:18" x14ac:dyDescent="0.55000000000000004">
      <c r="A167" t="s">
        <v>130</v>
      </c>
      <c r="B167" t="s">
        <v>368</v>
      </c>
      <c r="C167" t="s">
        <v>128</v>
      </c>
      <c r="D167" t="s">
        <v>33</v>
      </c>
      <c r="E167" s="245">
        <v>46243</v>
      </c>
      <c r="G167" t="s">
        <v>369</v>
      </c>
      <c r="R167" t="str">
        <f t="shared" si="5"/>
        <v>E9 Data Ops</v>
      </c>
    </row>
    <row r="168" spans="1:18" x14ac:dyDescent="0.55000000000000004">
      <c r="A168" t="s">
        <v>99</v>
      </c>
      <c r="B168" t="s">
        <v>370</v>
      </c>
      <c r="C168" t="s">
        <v>128</v>
      </c>
      <c r="D168" t="s">
        <v>45</v>
      </c>
      <c r="E168" s="245">
        <v>46243</v>
      </c>
      <c r="G168" t="s">
        <v>371</v>
      </c>
      <c r="R168" t="str">
        <f t="shared" si="5"/>
        <v>E8 Model Quality</v>
      </c>
    </row>
    <row r="169" spans="1:18" x14ac:dyDescent="0.55000000000000004">
      <c r="A169" t="s">
        <v>99</v>
      </c>
      <c r="B169" t="s">
        <v>372</v>
      </c>
      <c r="C169" t="s">
        <v>128</v>
      </c>
      <c r="D169" t="s">
        <v>45</v>
      </c>
      <c r="E169" s="245">
        <v>46243</v>
      </c>
      <c r="G169" t="s">
        <v>373</v>
      </c>
      <c r="R169" t="str">
        <f t="shared" si="5"/>
        <v>E8 Model Quality</v>
      </c>
    </row>
    <row r="170" spans="1:18" x14ac:dyDescent="0.55000000000000004">
      <c r="A170" t="s">
        <v>99</v>
      </c>
      <c r="B170" t="s">
        <v>374</v>
      </c>
      <c r="C170" t="s">
        <v>128</v>
      </c>
      <c r="D170" t="s">
        <v>45</v>
      </c>
      <c r="E170" s="245">
        <v>46243</v>
      </c>
      <c r="G170" t="s">
        <v>375</v>
      </c>
      <c r="R170" t="str">
        <f t="shared" si="5"/>
        <v>E8 Model Quality</v>
      </c>
    </row>
    <row r="171" spans="1:18" x14ac:dyDescent="0.55000000000000004">
      <c r="A171" t="s">
        <v>99</v>
      </c>
      <c r="B171" t="s">
        <v>376</v>
      </c>
      <c r="C171" t="s">
        <v>128</v>
      </c>
      <c r="D171" t="s">
        <v>45</v>
      </c>
      <c r="E171" s="245">
        <v>46243</v>
      </c>
      <c r="G171" t="s">
        <v>377</v>
      </c>
      <c r="R171" t="str">
        <f t="shared" si="5"/>
        <v>E8 Model Quality</v>
      </c>
    </row>
    <row r="172" spans="1:18" x14ac:dyDescent="0.55000000000000004">
      <c r="A172" t="s">
        <v>99</v>
      </c>
      <c r="B172" t="s">
        <v>378</v>
      </c>
      <c r="C172" t="s">
        <v>128</v>
      </c>
      <c r="D172" t="s">
        <v>45</v>
      </c>
      <c r="E172" s="245">
        <v>46243</v>
      </c>
      <c r="G172" t="s">
        <v>379</v>
      </c>
      <c r="R172" t="str">
        <f t="shared" si="5"/>
        <v>E8 Model Quality</v>
      </c>
    </row>
    <row r="173" spans="1:18" x14ac:dyDescent="0.55000000000000004">
      <c r="A173" t="s">
        <v>73</v>
      </c>
      <c r="B173" t="s">
        <v>380</v>
      </c>
      <c r="C173" t="s">
        <v>128</v>
      </c>
      <c r="D173" t="s">
        <v>75</v>
      </c>
      <c r="E173" s="245">
        <v>46243</v>
      </c>
      <c r="G173" t="s">
        <v>381</v>
      </c>
      <c r="R173" t="str">
        <f t="shared" si="5"/>
        <v>E6 Picks</v>
      </c>
    </row>
    <row r="174" spans="1:18" x14ac:dyDescent="0.55000000000000004">
      <c r="A174" t="s">
        <v>130</v>
      </c>
      <c r="B174" t="s">
        <v>382</v>
      </c>
      <c r="C174" t="s">
        <v>22</v>
      </c>
      <c r="D174" t="s">
        <v>33</v>
      </c>
      <c r="E174" s="245">
        <v>46243</v>
      </c>
      <c r="G174" t="s">
        <v>383</v>
      </c>
      <c r="R174" t="str">
        <f t="shared" si="5"/>
        <v>E9 Data Ops</v>
      </c>
    </row>
    <row r="175" spans="1:18" x14ac:dyDescent="0.55000000000000004">
      <c r="A175" t="s">
        <v>130</v>
      </c>
      <c r="B175" t="s">
        <v>384</v>
      </c>
      <c r="C175" t="s">
        <v>128</v>
      </c>
      <c r="D175" t="s">
        <v>33</v>
      </c>
      <c r="E175" s="245">
        <v>46243</v>
      </c>
      <c r="G175" t="s">
        <v>385</v>
      </c>
      <c r="R175" t="str">
        <f t="shared" si="5"/>
        <v>E9 Data Ops</v>
      </c>
    </row>
    <row r="176" spans="1:18" x14ac:dyDescent="0.55000000000000004">
      <c r="A176" t="s">
        <v>162</v>
      </c>
      <c r="B176" t="s">
        <v>386</v>
      </c>
      <c r="C176" t="s">
        <v>128</v>
      </c>
      <c r="D176" t="s">
        <v>75</v>
      </c>
      <c r="E176" s="245">
        <v>46243</v>
      </c>
      <c r="G176" t="s">
        <v>387</v>
      </c>
      <c r="R176" t="str">
        <f t="shared" si="5"/>
        <v>E10 Deploy</v>
      </c>
    </row>
    <row r="177" spans="1:18" x14ac:dyDescent="0.55000000000000004">
      <c r="A177" t="s">
        <v>191</v>
      </c>
      <c r="B177" t="s">
        <v>388</v>
      </c>
      <c r="C177" t="s">
        <v>128</v>
      </c>
      <c r="D177" t="s">
        <v>362</v>
      </c>
      <c r="E177" s="245">
        <v>46243</v>
      </c>
      <c r="G177" t="s">
        <v>389</v>
      </c>
      <c r="R177" t="str">
        <f t="shared" si="5"/>
        <v>E11 Ops Resilience</v>
      </c>
    </row>
    <row r="178" spans="1:18" x14ac:dyDescent="0.55000000000000004">
      <c r="A178" t="s">
        <v>191</v>
      </c>
      <c r="B178" t="s">
        <v>390</v>
      </c>
      <c r="C178" t="s">
        <v>128</v>
      </c>
      <c r="D178" t="s">
        <v>362</v>
      </c>
      <c r="E178" s="245">
        <v>46243</v>
      </c>
      <c r="G178" t="s">
        <v>391</v>
      </c>
      <c r="R178" t="str">
        <f t="shared" si="5"/>
        <v>E11 Ops Resilience</v>
      </c>
    </row>
    <row r="179" spans="1:18" x14ac:dyDescent="0.55000000000000004">
      <c r="A179" t="s">
        <v>191</v>
      </c>
      <c r="B179" t="s">
        <v>392</v>
      </c>
      <c r="C179" t="s">
        <v>128</v>
      </c>
      <c r="D179" t="s">
        <v>362</v>
      </c>
      <c r="E179" s="245">
        <v>46243</v>
      </c>
      <c r="G179" t="s">
        <v>393</v>
      </c>
      <c r="R179" t="str">
        <f t="shared" si="5"/>
        <v>E11 Ops Resilience</v>
      </c>
    </row>
    <row r="180" spans="1:18" ht="43.2" customHeight="1" x14ac:dyDescent="0.55000000000000004">
      <c r="A180" t="s">
        <v>130</v>
      </c>
      <c r="B180" t="s">
        <v>394</v>
      </c>
      <c r="C180" t="s">
        <v>138</v>
      </c>
      <c r="D180" t="s">
        <v>33</v>
      </c>
      <c r="E180" s="245">
        <v>46243</v>
      </c>
      <c r="G180" s="250" t="s">
        <v>395</v>
      </c>
      <c r="R180" t="str">
        <f t="shared" si="5"/>
        <v>E9 Data Ops</v>
      </c>
    </row>
    <row r="181" spans="1:18" x14ac:dyDescent="0.55000000000000004">
      <c r="A181" t="s">
        <v>130</v>
      </c>
      <c r="B181" t="s">
        <v>396</v>
      </c>
      <c r="C181" t="s">
        <v>22</v>
      </c>
      <c r="D181" t="s">
        <v>33</v>
      </c>
      <c r="E181" s="245">
        <v>46244</v>
      </c>
      <c r="F181" s="245">
        <v>46243</v>
      </c>
      <c r="G181" t="s">
        <v>397</v>
      </c>
      <c r="R181" t="str">
        <f t="shared" si="5"/>
        <v>E9 Data Ops</v>
      </c>
    </row>
    <row r="182" spans="1:18" ht="72" customHeight="1" x14ac:dyDescent="0.55000000000000004">
      <c r="A182" t="s">
        <v>51</v>
      </c>
      <c r="B182" t="s">
        <v>398</v>
      </c>
      <c r="C182" t="s">
        <v>22</v>
      </c>
      <c r="D182" t="s">
        <v>45</v>
      </c>
      <c r="E182" s="245">
        <v>46243</v>
      </c>
      <c r="F182" s="245">
        <v>46243</v>
      </c>
      <c r="G182" s="250" t="s">
        <v>399</v>
      </c>
      <c r="I182" t="s">
        <v>400</v>
      </c>
      <c r="R182" t="str">
        <f t="shared" si="5"/>
        <v>E4 ML Football</v>
      </c>
    </row>
    <row r="183" spans="1:18" ht="57.6" customHeight="1" x14ac:dyDescent="0.55000000000000004">
      <c r="B183" t="s">
        <v>401</v>
      </c>
      <c r="C183" t="s">
        <v>22</v>
      </c>
      <c r="D183" t="s">
        <v>33</v>
      </c>
      <c r="E183" s="245">
        <v>46244</v>
      </c>
      <c r="F183" s="245">
        <v>46244</v>
      </c>
      <c r="G183" s="250" t="s">
        <v>402</v>
      </c>
      <c r="J183" t="s">
        <v>400</v>
      </c>
      <c r="R183" t="str">
        <f t="shared" si="5"/>
        <v>E4 ML Football</v>
      </c>
    </row>
    <row r="184" spans="1:18" ht="72" customHeight="1" x14ac:dyDescent="0.55000000000000004">
      <c r="A184" t="s">
        <v>99</v>
      </c>
      <c r="B184" t="s">
        <v>403</v>
      </c>
      <c r="C184" t="s">
        <v>22</v>
      </c>
      <c r="D184" t="s">
        <v>75</v>
      </c>
      <c r="E184" s="245">
        <v>46244</v>
      </c>
      <c r="F184" s="245">
        <v>46244</v>
      </c>
      <c r="G184" s="250" t="s">
        <v>404</v>
      </c>
      <c r="J184" t="s">
        <v>400</v>
      </c>
      <c r="R184" t="str">
        <f t="shared" si="5"/>
        <v>E8 Model Quality</v>
      </c>
    </row>
    <row r="185" spans="1:18" ht="43.2" customHeight="1" x14ac:dyDescent="0.55000000000000004">
      <c r="A185" t="s">
        <v>191</v>
      </c>
      <c r="B185" t="s">
        <v>405</v>
      </c>
      <c r="C185" t="s">
        <v>22</v>
      </c>
      <c r="D185" t="s">
        <v>362</v>
      </c>
      <c r="E185" s="245">
        <v>46244</v>
      </c>
      <c r="F185" s="245">
        <v>46244</v>
      </c>
      <c r="G185" s="250" t="s">
        <v>406</v>
      </c>
      <c r="J185" t="s">
        <v>400</v>
      </c>
      <c r="R185" t="str">
        <f t="shared" si="5"/>
        <v>E11 Ops Resilience</v>
      </c>
    </row>
    <row r="186" spans="1:18" ht="72" customHeight="1" x14ac:dyDescent="0.55000000000000004">
      <c r="A186" t="s">
        <v>31</v>
      </c>
      <c r="B186" t="s">
        <v>407</v>
      </c>
      <c r="C186" t="s">
        <v>22</v>
      </c>
      <c r="D186" t="s">
        <v>75</v>
      </c>
      <c r="E186" s="245">
        <v>46244</v>
      </c>
      <c r="F186" s="245">
        <v>46244</v>
      </c>
      <c r="G186" s="250" t="s">
        <v>408</v>
      </c>
      <c r="J186" t="s">
        <v>400</v>
      </c>
      <c r="R186" t="str">
        <f t="shared" si="5"/>
        <v>E2 Ingestion</v>
      </c>
    </row>
    <row r="187" spans="1:18" ht="100.8" customHeight="1" x14ac:dyDescent="0.55000000000000004">
      <c r="B187" t="s">
        <v>409</v>
      </c>
      <c r="C187" t="s">
        <v>22</v>
      </c>
      <c r="D187" t="s">
        <v>75</v>
      </c>
      <c r="E187" s="245">
        <v>46244</v>
      </c>
      <c r="F187" s="245">
        <v>46244</v>
      </c>
      <c r="G187" s="250" t="s">
        <v>410</v>
      </c>
      <c r="J187" t="s">
        <v>400</v>
      </c>
      <c r="R187" t="str">
        <f t="shared" si="5"/>
        <v>E2 Ingestion</v>
      </c>
    </row>
    <row r="188" spans="1:18" ht="72" customHeight="1" x14ac:dyDescent="0.55000000000000004">
      <c r="A188" t="s">
        <v>130</v>
      </c>
      <c r="B188" t="s">
        <v>411</v>
      </c>
      <c r="C188" t="s">
        <v>22</v>
      </c>
      <c r="D188" t="s">
        <v>33</v>
      </c>
      <c r="E188" s="245">
        <v>46244</v>
      </c>
      <c r="F188" s="245">
        <v>46244</v>
      </c>
      <c r="G188" s="250" t="s">
        <v>412</v>
      </c>
      <c r="J188" t="s">
        <v>400</v>
      </c>
      <c r="R188" t="str">
        <f t="shared" si="5"/>
        <v>E9 Data Ops</v>
      </c>
    </row>
    <row r="189" spans="1:18" ht="129.6" customHeight="1" x14ac:dyDescent="0.55000000000000004">
      <c r="A189" t="s">
        <v>51</v>
      </c>
      <c r="B189" t="s">
        <v>413</v>
      </c>
      <c r="C189" t="s">
        <v>22</v>
      </c>
      <c r="D189" t="s">
        <v>45</v>
      </c>
      <c r="E189" s="245">
        <v>46244</v>
      </c>
      <c r="F189" s="245">
        <v>46244</v>
      </c>
      <c r="G189" s="250" t="s">
        <v>414</v>
      </c>
      <c r="J189" t="s">
        <v>400</v>
      </c>
      <c r="R189" t="str">
        <f t="shared" si="5"/>
        <v>E4 ML Football</v>
      </c>
    </row>
    <row r="190" spans="1:18" ht="187.2" customHeight="1" x14ac:dyDescent="0.55000000000000004">
      <c r="A190" t="s">
        <v>99</v>
      </c>
      <c r="B190" t="s">
        <v>415</v>
      </c>
      <c r="C190" t="s">
        <v>22</v>
      </c>
      <c r="D190" t="s">
        <v>45</v>
      </c>
      <c r="E190" s="245">
        <v>46244</v>
      </c>
      <c r="F190" s="245">
        <v>46244</v>
      </c>
      <c r="G190" s="250" t="s">
        <v>416</v>
      </c>
      <c r="J190" t="s">
        <v>400</v>
      </c>
      <c r="R190" t="str">
        <f t="shared" si="5"/>
        <v>E8 Model Quality</v>
      </c>
    </row>
    <row r="191" spans="1:18" ht="72" customHeight="1" x14ac:dyDescent="0.55000000000000004">
      <c r="A191" t="s">
        <v>130</v>
      </c>
      <c r="B191" t="s">
        <v>417</v>
      </c>
      <c r="C191" t="s">
        <v>22</v>
      </c>
      <c r="D191" t="s">
        <v>33</v>
      </c>
      <c r="E191" s="245">
        <v>46244</v>
      </c>
      <c r="F191" s="245">
        <v>46244</v>
      </c>
      <c r="G191" s="250" t="s">
        <v>418</v>
      </c>
      <c r="J191" t="s">
        <v>400</v>
      </c>
      <c r="R191" t="str">
        <f t="shared" si="5"/>
        <v>E9 Data Ops</v>
      </c>
    </row>
    <row r="192" spans="1:18" ht="100.8" customHeight="1" x14ac:dyDescent="0.55000000000000004">
      <c r="A192" t="s">
        <v>99</v>
      </c>
      <c r="B192" t="s">
        <v>419</v>
      </c>
      <c r="C192" t="s">
        <v>22</v>
      </c>
      <c r="D192" t="s">
        <v>75</v>
      </c>
      <c r="E192" s="245">
        <v>46244</v>
      </c>
      <c r="F192" s="245">
        <v>46244</v>
      </c>
      <c r="G192" s="250" t="s">
        <v>420</v>
      </c>
      <c r="J192" t="s">
        <v>400</v>
      </c>
      <c r="R192" t="str">
        <f t="shared" si="5"/>
        <v>E8 Model Quality</v>
      </c>
    </row>
    <row r="193" spans="1:18" ht="115.2" customHeight="1" x14ac:dyDescent="0.55000000000000004">
      <c r="A193" t="s">
        <v>31</v>
      </c>
      <c r="B193" t="s">
        <v>421</v>
      </c>
      <c r="C193" t="s">
        <v>22</v>
      </c>
      <c r="D193" t="s">
        <v>75</v>
      </c>
      <c r="E193" s="245">
        <v>46244</v>
      </c>
      <c r="F193" s="245">
        <v>46244</v>
      </c>
      <c r="G193" s="250" t="s">
        <v>422</v>
      </c>
      <c r="J193" t="s">
        <v>400</v>
      </c>
      <c r="R193" t="str">
        <f t="shared" si="5"/>
        <v>E2 Ingestion</v>
      </c>
    </row>
    <row r="194" spans="1:18" ht="86.4" customHeight="1" x14ac:dyDescent="0.55000000000000004">
      <c r="A194" t="s">
        <v>130</v>
      </c>
      <c r="B194" t="s">
        <v>423</v>
      </c>
      <c r="C194" t="s">
        <v>22</v>
      </c>
      <c r="D194" t="s">
        <v>33</v>
      </c>
      <c r="E194" s="245">
        <v>46244</v>
      </c>
      <c r="F194" s="245">
        <v>46244</v>
      </c>
      <c r="G194" s="250" t="s">
        <v>424</v>
      </c>
      <c r="J194" t="s">
        <v>400</v>
      </c>
      <c r="R194" t="str">
        <f t="shared" si="5"/>
        <v>E9 Data Ops</v>
      </c>
    </row>
    <row r="195" spans="1:18" ht="86.4" customHeight="1" x14ac:dyDescent="0.55000000000000004">
      <c r="B195" t="s">
        <v>425</v>
      </c>
      <c r="C195" t="s">
        <v>22</v>
      </c>
      <c r="D195" t="s">
        <v>33</v>
      </c>
      <c r="E195" s="245">
        <v>46244</v>
      </c>
      <c r="F195" s="245">
        <v>46244</v>
      </c>
      <c r="G195" s="250" t="s">
        <v>426</v>
      </c>
      <c r="J195" t="s">
        <v>400</v>
      </c>
      <c r="R195" t="str">
        <f t="shared" si="5"/>
        <v>E9 Data Ops</v>
      </c>
    </row>
    <row r="196" spans="1:18" ht="115.2" x14ac:dyDescent="0.55000000000000004">
      <c r="A196" t="s">
        <v>51</v>
      </c>
      <c r="B196" t="s">
        <v>427</v>
      </c>
      <c r="C196" t="s">
        <v>22</v>
      </c>
      <c r="D196" t="s">
        <v>45</v>
      </c>
      <c r="E196" s="245">
        <v>46244</v>
      </c>
      <c r="F196" s="245">
        <v>46244</v>
      </c>
      <c r="G196" s="250" t="s">
        <v>428</v>
      </c>
      <c r="J196" t="s">
        <v>400</v>
      </c>
      <c r="R196" t="str">
        <f t="shared" si="5"/>
        <v>E4 ML Football</v>
      </c>
    </row>
    <row r="197" spans="1:18" ht="86.4" x14ac:dyDescent="0.55000000000000004">
      <c r="A197" t="s">
        <v>191</v>
      </c>
      <c r="B197" t="s">
        <v>429</v>
      </c>
      <c r="C197" t="s">
        <v>22</v>
      </c>
      <c r="D197" t="s">
        <v>362</v>
      </c>
      <c r="E197" s="245">
        <v>46244</v>
      </c>
      <c r="F197" s="245">
        <v>46244</v>
      </c>
      <c r="G197" s="250" t="s">
        <v>430</v>
      </c>
      <c r="J197" t="s">
        <v>400</v>
      </c>
      <c r="R197" t="str">
        <f t="shared" si="5"/>
        <v>E11 Ops Resilience</v>
      </c>
    </row>
    <row r="198" spans="1:18" ht="86.4" x14ac:dyDescent="0.55000000000000004">
      <c r="A198" t="s">
        <v>51</v>
      </c>
      <c r="B198" t="s">
        <v>431</v>
      </c>
      <c r="C198" t="s">
        <v>138</v>
      </c>
      <c r="D198" t="s">
        <v>45</v>
      </c>
      <c r="E198" s="245">
        <v>46327</v>
      </c>
      <c r="G198" s="250" t="s">
        <v>432</v>
      </c>
      <c r="R198" t="str">
        <f t="shared" si="5"/>
        <v>E4 ML Football</v>
      </c>
    </row>
    <row r="200" spans="1:18" x14ac:dyDescent="0.55000000000000004">
      <c r="A200" s="25" t="s">
        <v>433</v>
      </c>
      <c r="B200" s="5" t="s">
        <v>22</v>
      </c>
      <c r="C200" s="17" t="s">
        <v>434</v>
      </c>
      <c r="D200" s="19" t="s">
        <v>128</v>
      </c>
      <c r="E200" s="23" t="s">
        <v>145</v>
      </c>
      <c r="F200" s="21" t="s">
        <v>138</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9"/>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273" t="s">
        <v>435</v>
      </c>
      <c r="B1" s="262"/>
      <c r="C1" s="262"/>
      <c r="D1" s="262"/>
      <c r="E1" s="262"/>
      <c r="F1" s="262"/>
      <c r="G1" s="262"/>
      <c r="H1" s="262"/>
      <c r="I1" s="262"/>
      <c r="J1" s="262"/>
      <c r="K1" s="262"/>
      <c r="L1" s="262"/>
      <c r="M1" s="262"/>
      <c r="N1" s="262"/>
      <c r="O1" s="262"/>
      <c r="P1" s="262"/>
      <c r="Q1" s="262"/>
      <c r="R1" s="262"/>
      <c r="S1" s="262"/>
    </row>
    <row r="2" spans="1:19" ht="18" customHeight="1" x14ac:dyDescent="0.55000000000000004">
      <c r="A2" s="280" t="s">
        <v>436</v>
      </c>
      <c r="B2" s="262"/>
      <c r="C2" s="262"/>
      <c r="D2" s="262"/>
      <c r="E2" s="262"/>
      <c r="F2" s="262"/>
      <c r="G2" s="262"/>
      <c r="H2" s="262"/>
      <c r="I2" s="262"/>
      <c r="J2" s="262"/>
      <c r="K2" s="262"/>
      <c r="L2" s="262"/>
      <c r="M2" s="262"/>
      <c r="N2" s="262"/>
      <c r="O2" s="262"/>
      <c r="P2" s="262"/>
      <c r="Q2" s="262"/>
      <c r="R2" s="262"/>
      <c r="S2" s="262"/>
    </row>
    <row r="4" spans="1:19" ht="20.05" customHeight="1" x14ac:dyDescent="0.55000000000000004">
      <c r="A4" s="268" t="s">
        <v>437</v>
      </c>
      <c r="B4" s="262"/>
      <c r="C4" s="262"/>
      <c r="D4" s="262"/>
      <c r="E4" s="262"/>
      <c r="F4" s="262"/>
      <c r="G4" s="262"/>
      <c r="H4" s="262"/>
      <c r="I4" s="262"/>
      <c r="J4" s="262"/>
      <c r="K4" s="262"/>
      <c r="L4" s="262"/>
      <c r="M4" s="262"/>
      <c r="N4" s="262"/>
      <c r="O4" s="262"/>
      <c r="P4" s="262"/>
      <c r="Q4" s="262"/>
      <c r="R4" s="262"/>
      <c r="S4" s="262"/>
    </row>
    <row r="5" spans="1:19" ht="52" customHeight="1" x14ac:dyDescent="0.55000000000000004">
      <c r="A5" s="37" t="s">
        <v>438</v>
      </c>
      <c r="B5" s="258" t="s">
        <v>439</v>
      </c>
      <c r="C5" s="259"/>
      <c r="D5" s="260"/>
      <c r="E5" s="263" t="s">
        <v>440</v>
      </c>
      <c r="F5" s="259"/>
      <c r="G5" s="260"/>
      <c r="H5" s="263" t="s">
        <v>441</v>
      </c>
      <c r="I5" s="259"/>
      <c r="J5" s="260"/>
      <c r="K5" s="258" t="s">
        <v>442</v>
      </c>
      <c r="L5" s="259"/>
      <c r="M5" s="260"/>
      <c r="N5" s="265" t="s">
        <v>443</v>
      </c>
      <c r="O5" s="259"/>
      <c r="P5" s="260"/>
      <c r="Q5" s="265" t="s">
        <v>444</v>
      </c>
      <c r="R5" s="259"/>
      <c r="S5" s="260"/>
    </row>
    <row r="6" spans="1:19" ht="15" customHeight="1" x14ac:dyDescent="0.55000000000000004">
      <c r="B6" s="261" t="s">
        <v>445</v>
      </c>
      <c r="C6" s="262"/>
      <c r="D6" s="262"/>
      <c r="E6" s="262"/>
      <c r="F6" s="262"/>
      <c r="G6" s="262"/>
      <c r="H6" s="262"/>
      <c r="I6" s="262"/>
      <c r="J6" s="262"/>
      <c r="K6" s="262"/>
      <c r="L6" s="262"/>
      <c r="M6" s="262"/>
      <c r="N6" s="262"/>
      <c r="O6" s="262"/>
      <c r="P6" s="262"/>
      <c r="Q6" s="262"/>
      <c r="R6" s="262"/>
      <c r="S6" s="262"/>
    </row>
    <row r="7" spans="1:19" ht="20.05" customHeight="1" x14ac:dyDescent="0.55000000000000004">
      <c r="A7" s="268" t="s">
        <v>446</v>
      </c>
      <c r="B7" s="262"/>
      <c r="C7" s="262"/>
      <c r="D7" s="262"/>
      <c r="E7" s="262"/>
      <c r="F7" s="262"/>
      <c r="G7" s="262"/>
      <c r="H7" s="262"/>
      <c r="I7" s="262"/>
      <c r="J7" s="262"/>
      <c r="K7" s="262"/>
      <c r="L7" s="262"/>
      <c r="M7" s="262"/>
      <c r="N7" s="262"/>
      <c r="O7" s="262"/>
      <c r="P7" s="262"/>
      <c r="Q7" s="262"/>
      <c r="R7" s="262"/>
      <c r="S7" s="262"/>
    </row>
    <row r="8" spans="1:19" ht="46" customHeight="1" x14ac:dyDescent="0.55000000000000004">
      <c r="A8" s="37" t="s">
        <v>447</v>
      </c>
      <c r="B8" s="271" t="s">
        <v>448</v>
      </c>
      <c r="C8" s="259"/>
      <c r="D8" s="259"/>
      <c r="E8" s="259"/>
      <c r="F8" s="259"/>
      <c r="G8" s="259"/>
      <c r="H8" s="259"/>
      <c r="I8" s="259"/>
      <c r="J8" s="260"/>
      <c r="K8" s="271" t="s">
        <v>449</v>
      </c>
      <c r="L8" s="259"/>
      <c r="M8" s="259"/>
      <c r="N8" s="259"/>
      <c r="O8" s="259"/>
      <c r="P8" s="259"/>
      <c r="Q8" s="259"/>
      <c r="R8" s="259"/>
      <c r="S8" s="260"/>
    </row>
    <row r="9" spans="1:19" ht="15" customHeight="1" x14ac:dyDescent="0.55000000000000004">
      <c r="B9" s="261" t="s">
        <v>445</v>
      </c>
      <c r="C9" s="262"/>
      <c r="D9" s="262"/>
      <c r="E9" s="262"/>
      <c r="F9" s="262"/>
      <c r="G9" s="262"/>
      <c r="H9" s="262"/>
      <c r="I9" s="262"/>
      <c r="J9" s="262"/>
      <c r="K9" s="262"/>
      <c r="L9" s="262"/>
      <c r="M9" s="262"/>
      <c r="N9" s="262"/>
      <c r="O9" s="262"/>
      <c r="P9" s="262"/>
      <c r="Q9" s="262"/>
      <c r="R9" s="262"/>
      <c r="S9" s="262"/>
    </row>
    <row r="10" spans="1:19" ht="20.05" customHeight="1" x14ac:dyDescent="0.55000000000000004">
      <c r="A10" s="268" t="s">
        <v>450</v>
      </c>
      <c r="B10" s="262"/>
      <c r="C10" s="262"/>
      <c r="D10" s="262"/>
      <c r="E10" s="262"/>
      <c r="F10" s="262"/>
      <c r="G10" s="262"/>
      <c r="H10" s="262"/>
      <c r="I10" s="262"/>
      <c r="J10" s="262"/>
      <c r="K10" s="262"/>
      <c r="L10" s="262"/>
      <c r="M10" s="262"/>
      <c r="N10" s="262"/>
      <c r="O10" s="262"/>
      <c r="P10" s="262"/>
      <c r="Q10" s="262"/>
      <c r="R10" s="262"/>
      <c r="S10" s="262"/>
    </row>
    <row r="11" spans="1:19" ht="54" customHeight="1" x14ac:dyDescent="0.55000000000000004">
      <c r="A11" s="37" t="s">
        <v>451</v>
      </c>
      <c r="B11" s="258" t="s">
        <v>452</v>
      </c>
      <c r="C11" s="259"/>
      <c r="D11" s="260"/>
      <c r="E11" s="258" t="s">
        <v>453</v>
      </c>
      <c r="F11" s="259"/>
      <c r="G11" s="260"/>
      <c r="H11" s="258" t="s">
        <v>454</v>
      </c>
      <c r="I11" s="259"/>
      <c r="J11" s="260"/>
      <c r="K11" s="263" t="s">
        <v>455</v>
      </c>
      <c r="L11" s="259"/>
      <c r="M11" s="260"/>
      <c r="N11" s="258" t="s">
        <v>456</v>
      </c>
      <c r="O11" s="259"/>
      <c r="P11" s="260"/>
      <c r="Q11" s="258" t="s">
        <v>457</v>
      </c>
      <c r="R11" s="259"/>
      <c r="S11" s="260"/>
    </row>
    <row r="12" spans="1:19" ht="15" customHeight="1" x14ac:dyDescent="0.55000000000000004">
      <c r="B12" s="261" t="s">
        <v>445</v>
      </c>
      <c r="C12" s="262"/>
      <c r="D12" s="262"/>
      <c r="E12" s="262"/>
      <c r="F12" s="262"/>
      <c r="G12" s="262"/>
      <c r="H12" s="262"/>
      <c r="I12" s="262"/>
      <c r="J12" s="262"/>
      <c r="K12" s="262"/>
      <c r="L12" s="262"/>
      <c r="M12" s="262"/>
      <c r="N12" s="262"/>
      <c r="O12" s="262"/>
      <c r="P12" s="262"/>
      <c r="Q12" s="262"/>
      <c r="R12" s="262"/>
      <c r="S12" s="262"/>
    </row>
    <row r="13" spans="1:19" ht="20.05" customHeight="1" x14ac:dyDescent="0.55000000000000004">
      <c r="A13" s="268" t="s">
        <v>458</v>
      </c>
      <c r="B13" s="262"/>
      <c r="C13" s="262"/>
      <c r="D13" s="262"/>
      <c r="E13" s="262"/>
      <c r="F13" s="262"/>
      <c r="G13" s="262"/>
      <c r="H13" s="262"/>
      <c r="I13" s="262"/>
      <c r="J13" s="262"/>
      <c r="K13" s="262"/>
      <c r="L13" s="262"/>
      <c r="M13" s="262"/>
      <c r="N13" s="262"/>
      <c r="O13" s="262"/>
      <c r="P13" s="262"/>
      <c r="Q13" s="262"/>
      <c r="R13" s="262"/>
      <c r="S13" s="262"/>
    </row>
    <row r="14" spans="1:19" ht="52" customHeight="1" x14ac:dyDescent="0.55000000000000004">
      <c r="A14" s="37" t="s">
        <v>459</v>
      </c>
      <c r="B14" s="266" t="s">
        <v>460</v>
      </c>
      <c r="C14" s="259"/>
      <c r="D14" s="259"/>
      <c r="E14" s="259"/>
      <c r="F14" s="259"/>
      <c r="G14" s="260"/>
      <c r="H14" s="266" t="s">
        <v>461</v>
      </c>
      <c r="I14" s="259"/>
      <c r="J14" s="259"/>
      <c r="K14" s="259"/>
      <c r="L14" s="259"/>
      <c r="M14" s="260"/>
      <c r="N14" s="266" t="s">
        <v>462</v>
      </c>
      <c r="O14" s="259"/>
      <c r="P14" s="260"/>
      <c r="Q14" s="263" t="s">
        <v>463</v>
      </c>
      <c r="R14" s="259"/>
      <c r="S14" s="260"/>
    </row>
    <row r="15" spans="1:19" ht="15" customHeight="1" x14ac:dyDescent="0.55000000000000004">
      <c r="B15" s="261" t="s">
        <v>464</v>
      </c>
      <c r="C15" s="262"/>
      <c r="D15" s="262"/>
      <c r="E15" s="262"/>
      <c r="F15" s="262"/>
      <c r="G15" s="262"/>
      <c r="H15" s="262"/>
      <c r="I15" s="262"/>
      <c r="J15" s="262"/>
      <c r="K15" s="262"/>
      <c r="L15" s="262"/>
      <c r="M15" s="262"/>
      <c r="N15" s="262"/>
      <c r="O15" s="262"/>
      <c r="P15" s="262"/>
      <c r="Q15" s="262"/>
      <c r="R15" s="262"/>
      <c r="S15" s="262"/>
    </row>
    <row r="16" spans="1:19" ht="20.05" customHeight="1" x14ac:dyDescent="0.55000000000000004">
      <c r="A16" s="268" t="s">
        <v>465</v>
      </c>
      <c r="B16" s="262"/>
      <c r="C16" s="262"/>
      <c r="D16" s="262"/>
      <c r="E16" s="262"/>
      <c r="F16" s="262"/>
      <c r="G16" s="262"/>
      <c r="H16" s="262"/>
      <c r="I16" s="262"/>
      <c r="J16" s="262"/>
      <c r="K16" s="262"/>
      <c r="L16" s="262"/>
      <c r="M16" s="262"/>
      <c r="N16" s="262"/>
      <c r="O16" s="262"/>
      <c r="P16" s="262"/>
      <c r="Q16" s="262"/>
      <c r="R16" s="262"/>
      <c r="S16" s="262"/>
    </row>
    <row r="17" spans="1:19" ht="54" customHeight="1" x14ac:dyDescent="0.55000000000000004">
      <c r="A17" s="37" t="s">
        <v>466</v>
      </c>
      <c r="B17" s="267" t="s">
        <v>467</v>
      </c>
      <c r="C17" s="259"/>
      <c r="D17" s="259"/>
      <c r="E17" s="259"/>
      <c r="F17" s="259"/>
      <c r="G17" s="260"/>
      <c r="H17" s="267" t="s">
        <v>468</v>
      </c>
      <c r="I17" s="259"/>
      <c r="J17" s="260"/>
      <c r="K17" s="267" t="s">
        <v>469</v>
      </c>
      <c r="L17" s="259"/>
      <c r="M17" s="260"/>
      <c r="N17" s="267" t="s">
        <v>470</v>
      </c>
      <c r="O17" s="259"/>
      <c r="P17" s="260"/>
      <c r="Q17" s="267" t="s">
        <v>471</v>
      </c>
      <c r="R17" s="259"/>
      <c r="S17" s="260"/>
    </row>
    <row r="18" spans="1:19" ht="15" customHeight="1" x14ac:dyDescent="0.55000000000000004">
      <c r="B18" s="261" t="s">
        <v>445</v>
      </c>
      <c r="C18" s="262"/>
      <c r="D18" s="262"/>
      <c r="E18" s="262"/>
      <c r="F18" s="262"/>
      <c r="G18" s="262"/>
      <c r="H18" s="262"/>
      <c r="I18" s="262"/>
      <c r="J18" s="262"/>
      <c r="K18" s="262"/>
      <c r="L18" s="262"/>
      <c r="M18" s="262"/>
      <c r="N18" s="262"/>
      <c r="O18" s="262"/>
      <c r="P18" s="262"/>
      <c r="Q18" s="262"/>
      <c r="R18" s="262"/>
      <c r="S18" s="262"/>
    </row>
    <row r="19" spans="1:19" ht="20.05" customHeight="1" x14ac:dyDescent="0.55000000000000004">
      <c r="A19" s="268" t="s">
        <v>472</v>
      </c>
      <c r="B19" s="262"/>
      <c r="C19" s="262"/>
      <c r="D19" s="262"/>
      <c r="E19" s="262"/>
      <c r="F19" s="262"/>
      <c r="G19" s="262"/>
      <c r="H19" s="262"/>
      <c r="I19" s="262"/>
      <c r="J19" s="262"/>
      <c r="K19" s="262"/>
      <c r="L19" s="262"/>
      <c r="M19" s="262"/>
      <c r="N19" s="262"/>
      <c r="O19" s="262"/>
      <c r="P19" s="262"/>
      <c r="Q19" s="262"/>
      <c r="R19" s="262"/>
      <c r="S19" s="262"/>
    </row>
    <row r="20" spans="1:19" ht="46" customHeight="1" x14ac:dyDescent="0.55000000000000004">
      <c r="A20" s="37" t="s">
        <v>473</v>
      </c>
      <c r="B20" s="269" t="s">
        <v>474</v>
      </c>
      <c r="C20" s="259"/>
      <c r="D20" s="259"/>
      <c r="E20" s="259"/>
      <c r="F20" s="259"/>
      <c r="G20" s="260"/>
      <c r="H20" s="269" t="s">
        <v>475</v>
      </c>
      <c r="I20" s="259"/>
      <c r="J20" s="259"/>
      <c r="K20" s="259"/>
      <c r="L20" s="259"/>
      <c r="M20" s="260"/>
      <c r="N20" s="269" t="s">
        <v>476</v>
      </c>
      <c r="O20" s="259"/>
      <c r="P20" s="259"/>
      <c r="Q20" s="259"/>
      <c r="R20" s="259"/>
      <c r="S20" s="260"/>
    </row>
    <row r="21" spans="1:19" ht="15" customHeight="1" x14ac:dyDescent="0.55000000000000004">
      <c r="B21" s="261" t="s">
        <v>445</v>
      </c>
      <c r="C21" s="262"/>
      <c r="D21" s="262"/>
      <c r="E21" s="262"/>
      <c r="F21" s="262"/>
      <c r="G21" s="262"/>
      <c r="H21" s="262"/>
      <c r="I21" s="262"/>
      <c r="J21" s="262"/>
      <c r="K21" s="262"/>
      <c r="L21" s="262"/>
      <c r="M21" s="262"/>
      <c r="N21" s="262"/>
      <c r="O21" s="262"/>
      <c r="P21" s="262"/>
      <c r="Q21" s="262"/>
      <c r="R21" s="262"/>
      <c r="S21" s="262"/>
    </row>
    <row r="22" spans="1:19" ht="20.05" customHeight="1" x14ac:dyDescent="0.55000000000000004">
      <c r="A22" s="268" t="s">
        <v>477</v>
      </c>
      <c r="B22" s="262"/>
      <c r="C22" s="262"/>
      <c r="D22" s="262"/>
      <c r="E22" s="262"/>
      <c r="F22" s="262"/>
      <c r="G22" s="262"/>
      <c r="H22" s="262"/>
      <c r="I22" s="262"/>
      <c r="J22" s="262"/>
      <c r="K22" s="262"/>
      <c r="L22" s="262"/>
      <c r="M22" s="262"/>
      <c r="N22" s="262"/>
      <c r="O22" s="262"/>
      <c r="P22" s="262"/>
      <c r="Q22" s="262"/>
      <c r="R22" s="262"/>
      <c r="S22" s="262"/>
    </row>
    <row r="23" spans="1:19" ht="52" customHeight="1" x14ac:dyDescent="0.55000000000000004">
      <c r="A23" s="37" t="s">
        <v>478</v>
      </c>
      <c r="B23" s="269" t="s">
        <v>479</v>
      </c>
      <c r="C23" s="259"/>
      <c r="D23" s="259"/>
      <c r="E23" s="259"/>
      <c r="F23" s="259"/>
      <c r="G23" s="260"/>
      <c r="H23" s="269" t="s">
        <v>480</v>
      </c>
      <c r="I23" s="259"/>
      <c r="J23" s="260"/>
      <c r="K23" s="269" t="s">
        <v>481</v>
      </c>
      <c r="L23" s="259"/>
      <c r="M23" s="260"/>
      <c r="N23" s="269" t="s">
        <v>482</v>
      </c>
      <c r="O23" s="259"/>
      <c r="P23" s="260"/>
      <c r="Q23" s="265" t="s">
        <v>483</v>
      </c>
      <c r="R23" s="259"/>
      <c r="S23" s="260"/>
    </row>
    <row r="26" spans="1:19" ht="20.05" customHeight="1" x14ac:dyDescent="0.55000000000000004">
      <c r="A26" s="274" t="s">
        <v>484</v>
      </c>
      <c r="B26" s="262"/>
      <c r="C26" s="262"/>
      <c r="D26" s="262"/>
      <c r="E26" s="262"/>
      <c r="F26" s="262"/>
      <c r="G26" s="262"/>
      <c r="H26" s="262"/>
      <c r="I26" s="262"/>
      <c r="J26" s="262"/>
      <c r="K26" s="262"/>
      <c r="L26" s="262"/>
      <c r="M26" s="262"/>
      <c r="N26" s="262"/>
      <c r="O26" s="262"/>
      <c r="P26" s="262"/>
      <c r="Q26" s="262"/>
      <c r="R26" s="262"/>
      <c r="S26" s="262"/>
    </row>
    <row r="27" spans="1:19" ht="52" customHeight="1" x14ac:dyDescent="0.55000000000000004">
      <c r="A27" s="37" t="s">
        <v>485</v>
      </c>
      <c r="B27" s="258" t="s">
        <v>486</v>
      </c>
      <c r="C27" s="259"/>
      <c r="D27" s="260"/>
      <c r="E27" s="258" t="s">
        <v>487</v>
      </c>
      <c r="F27" s="259"/>
      <c r="G27" s="260"/>
      <c r="H27" s="266" t="s">
        <v>488</v>
      </c>
      <c r="I27" s="259"/>
      <c r="J27" s="260"/>
      <c r="K27" s="267" t="s">
        <v>489</v>
      </c>
      <c r="L27" s="259"/>
      <c r="M27" s="260"/>
      <c r="N27" s="267" t="s">
        <v>490</v>
      </c>
      <c r="O27" s="259"/>
      <c r="P27" s="260"/>
      <c r="Q27" s="266" t="s">
        <v>491</v>
      </c>
      <c r="R27" s="259"/>
      <c r="S27" s="260"/>
    </row>
    <row r="30" spans="1:19" ht="20.05" customHeight="1" x14ac:dyDescent="0.55000000000000004">
      <c r="A30" s="268" t="s">
        <v>492</v>
      </c>
      <c r="B30" s="262"/>
      <c r="C30" s="262"/>
      <c r="D30" s="262"/>
      <c r="E30" s="262"/>
      <c r="F30" s="262"/>
      <c r="G30" s="262"/>
      <c r="H30" s="262"/>
      <c r="I30" s="262"/>
      <c r="J30" s="262"/>
      <c r="K30" s="262"/>
      <c r="L30" s="262"/>
      <c r="M30" s="262"/>
      <c r="N30" s="262"/>
      <c r="O30" s="262"/>
      <c r="P30" s="262"/>
      <c r="Q30" s="262"/>
      <c r="R30" s="262"/>
      <c r="S30" s="262"/>
    </row>
    <row r="31" spans="1:19" ht="16" customHeight="1" x14ac:dyDescent="0.55000000000000004">
      <c r="A31" s="264" t="s">
        <v>493</v>
      </c>
      <c r="B31" s="262"/>
      <c r="C31" s="262"/>
      <c r="D31" s="262"/>
      <c r="E31" s="262"/>
      <c r="F31" s="262"/>
      <c r="G31" s="262"/>
      <c r="H31" s="262"/>
      <c r="I31" s="262"/>
      <c r="J31" s="262"/>
      <c r="K31" s="262"/>
      <c r="L31" s="262"/>
      <c r="M31" s="262"/>
      <c r="N31" s="262"/>
      <c r="O31" s="262"/>
      <c r="P31" s="262"/>
      <c r="Q31" s="262"/>
      <c r="R31" s="262"/>
      <c r="S31" s="262"/>
    </row>
    <row r="32" spans="1:19" ht="16" customHeight="1" x14ac:dyDescent="0.55000000000000004">
      <c r="A32" s="264" t="s">
        <v>494</v>
      </c>
      <c r="B32" s="262"/>
      <c r="C32" s="262"/>
      <c r="D32" s="262"/>
      <c r="E32" s="262"/>
      <c r="F32" s="262"/>
      <c r="G32" s="262"/>
      <c r="H32" s="262"/>
      <c r="I32" s="262"/>
      <c r="J32" s="262"/>
      <c r="K32" s="262"/>
      <c r="L32" s="262"/>
      <c r="M32" s="262"/>
      <c r="N32" s="262"/>
      <c r="O32" s="262"/>
      <c r="P32" s="262"/>
      <c r="Q32" s="262"/>
      <c r="R32" s="262"/>
      <c r="S32" s="262"/>
    </row>
    <row r="33" spans="1:19" ht="16" customHeight="1" x14ac:dyDescent="0.55000000000000004">
      <c r="A33" s="264" t="s">
        <v>495</v>
      </c>
      <c r="B33" s="262"/>
      <c r="C33" s="262"/>
      <c r="D33" s="262"/>
      <c r="E33" s="262"/>
      <c r="F33" s="262"/>
      <c r="G33" s="262"/>
      <c r="H33" s="262"/>
      <c r="I33" s="262"/>
      <c r="J33" s="262"/>
      <c r="K33" s="262"/>
      <c r="L33" s="262"/>
      <c r="M33" s="262"/>
      <c r="N33" s="262"/>
      <c r="O33" s="262"/>
      <c r="P33" s="262"/>
      <c r="Q33" s="262"/>
      <c r="R33" s="262"/>
      <c r="S33" s="262"/>
    </row>
    <row r="34" spans="1:19" ht="16" customHeight="1" x14ac:dyDescent="0.55000000000000004">
      <c r="A34" s="264" t="s">
        <v>496</v>
      </c>
      <c r="B34" s="262"/>
      <c r="C34" s="262"/>
      <c r="D34" s="262"/>
      <c r="E34" s="262"/>
      <c r="F34" s="262"/>
      <c r="G34" s="262"/>
      <c r="H34" s="262"/>
      <c r="I34" s="262"/>
      <c r="J34" s="262"/>
      <c r="K34" s="262"/>
      <c r="L34" s="262"/>
      <c r="M34" s="262"/>
      <c r="N34" s="262"/>
      <c r="O34" s="262"/>
      <c r="P34" s="262"/>
      <c r="Q34" s="262"/>
      <c r="R34" s="262"/>
      <c r="S34" s="262"/>
    </row>
    <row r="35" spans="1:19" ht="16" customHeight="1" x14ac:dyDescent="0.55000000000000004">
      <c r="A35" s="264" t="s">
        <v>497</v>
      </c>
      <c r="B35" s="262"/>
      <c r="C35" s="262"/>
      <c r="D35" s="262"/>
      <c r="E35" s="262"/>
      <c r="F35" s="262"/>
      <c r="G35" s="262"/>
      <c r="H35" s="262"/>
      <c r="I35" s="262"/>
      <c r="J35" s="262"/>
      <c r="K35" s="262"/>
      <c r="L35" s="262"/>
      <c r="M35" s="262"/>
      <c r="N35" s="262"/>
      <c r="O35" s="262"/>
      <c r="P35" s="262"/>
      <c r="Q35" s="262"/>
      <c r="R35" s="262"/>
      <c r="S35" s="262"/>
    </row>
    <row r="36" spans="1:19" ht="16" customHeight="1" x14ac:dyDescent="0.55000000000000004">
      <c r="A36" s="264" t="s">
        <v>498</v>
      </c>
      <c r="B36" s="262"/>
      <c r="C36" s="262"/>
      <c r="D36" s="262"/>
      <c r="E36" s="262"/>
      <c r="F36" s="262"/>
      <c r="G36" s="262"/>
      <c r="H36" s="262"/>
      <c r="I36" s="262"/>
      <c r="J36" s="262"/>
      <c r="K36" s="262"/>
      <c r="L36" s="262"/>
      <c r="M36" s="262"/>
      <c r="N36" s="262"/>
      <c r="O36" s="262"/>
      <c r="P36" s="262"/>
      <c r="Q36" s="262"/>
      <c r="R36" s="262"/>
      <c r="S36" s="262"/>
    </row>
    <row r="37" spans="1:19" ht="16" customHeight="1" x14ac:dyDescent="0.55000000000000004">
      <c r="A37" s="275" t="s">
        <v>499</v>
      </c>
      <c r="B37" s="262"/>
      <c r="C37" s="262"/>
      <c r="D37" s="262"/>
      <c r="E37" s="262"/>
      <c r="F37" s="262"/>
      <c r="G37" s="262"/>
      <c r="H37" s="262"/>
      <c r="I37" s="262"/>
      <c r="J37" s="262"/>
      <c r="K37" s="262"/>
      <c r="L37" s="262"/>
      <c r="M37" s="262"/>
      <c r="N37" s="262"/>
      <c r="O37" s="262"/>
      <c r="P37" s="262"/>
      <c r="Q37" s="262"/>
      <c r="R37" s="262"/>
      <c r="S37" s="262"/>
    </row>
    <row r="39" spans="1:19" ht="18" customHeight="1" x14ac:dyDescent="0.55000000000000004">
      <c r="A39" s="38" t="s">
        <v>433</v>
      </c>
      <c r="B39" s="278" t="s">
        <v>500</v>
      </c>
      <c r="C39" s="262"/>
      <c r="D39" s="262"/>
      <c r="E39" s="276" t="s">
        <v>501</v>
      </c>
      <c r="F39" s="262"/>
      <c r="G39" s="262"/>
      <c r="H39" s="279" t="s">
        <v>502</v>
      </c>
      <c r="I39" s="262"/>
      <c r="J39" s="262"/>
      <c r="K39" s="272" t="s">
        <v>503</v>
      </c>
      <c r="L39" s="262"/>
      <c r="M39" s="262"/>
      <c r="N39" s="270" t="s">
        <v>45</v>
      </c>
      <c r="O39" s="262"/>
      <c r="P39" s="262"/>
      <c r="Q39" s="277" t="s">
        <v>504</v>
      </c>
      <c r="R39" s="262"/>
      <c r="S39" s="262"/>
    </row>
  </sheetData>
  <mergeCells count="67">
    <mergeCell ref="A1:S1"/>
    <mergeCell ref="H14:M14"/>
    <mergeCell ref="N27:P27"/>
    <mergeCell ref="A26:S26"/>
    <mergeCell ref="H20:M20"/>
    <mergeCell ref="A16:S16"/>
    <mergeCell ref="N20:S20"/>
    <mergeCell ref="A7:S7"/>
    <mergeCell ref="N11:P11"/>
    <mergeCell ref="E5:G5"/>
    <mergeCell ref="K5:M5"/>
    <mergeCell ref="B27:D27"/>
    <mergeCell ref="A2:S2"/>
    <mergeCell ref="K11:M11"/>
    <mergeCell ref="B18:S18"/>
    <mergeCell ref="B6:S6"/>
    <mergeCell ref="Q11:S11"/>
    <mergeCell ref="B20:G20"/>
    <mergeCell ref="B5:D5"/>
    <mergeCell ref="B15:S15"/>
    <mergeCell ref="H5:J5"/>
    <mergeCell ref="A31:S31"/>
    <mergeCell ref="K39:M39"/>
    <mergeCell ref="A34:S34"/>
    <mergeCell ref="B9:S9"/>
    <mergeCell ref="K17:M17"/>
    <mergeCell ref="Q17:S17"/>
    <mergeCell ref="A30:S30"/>
    <mergeCell ref="A36:S36"/>
    <mergeCell ref="H23:J23"/>
    <mergeCell ref="A37:S37"/>
    <mergeCell ref="E39:G39"/>
    <mergeCell ref="Q39:S39"/>
    <mergeCell ref="B39:D39"/>
    <mergeCell ref="H39:J39"/>
    <mergeCell ref="N39:P39"/>
    <mergeCell ref="B8:J8"/>
    <mergeCell ref="B12:S12"/>
    <mergeCell ref="A35:S35"/>
    <mergeCell ref="A4:S4"/>
    <mergeCell ref="H17:J17"/>
    <mergeCell ref="H11:J11"/>
    <mergeCell ref="A10:S10"/>
    <mergeCell ref="K8:S8"/>
    <mergeCell ref="A19:S19"/>
    <mergeCell ref="E11:G11"/>
    <mergeCell ref="E27:G27"/>
    <mergeCell ref="A13:S13"/>
    <mergeCell ref="Q27:S27"/>
    <mergeCell ref="K27:M27"/>
    <mergeCell ref="H27:J2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281" t="s">
        <v>505</v>
      </c>
      <c r="B1" s="255"/>
      <c r="C1" s="255"/>
      <c r="D1" s="255"/>
      <c r="E1" s="255"/>
      <c r="F1" s="256"/>
    </row>
    <row r="3" spans="1:6" x14ac:dyDescent="0.55000000000000004">
      <c r="A3" s="1" t="s">
        <v>2</v>
      </c>
      <c r="B3" s="1" t="s">
        <v>506</v>
      </c>
      <c r="C3" s="1" t="s">
        <v>22</v>
      </c>
      <c r="D3" s="1" t="s">
        <v>507</v>
      </c>
      <c r="E3" s="1" t="s">
        <v>145</v>
      </c>
      <c r="F3" s="1" t="s">
        <v>508</v>
      </c>
    </row>
    <row r="4" spans="1:6" x14ac:dyDescent="0.55000000000000004">
      <c r="A4" s="25" t="s">
        <v>20</v>
      </c>
      <c r="B4" s="26">
        <f t="shared" ref="B4:B14" si="0">C4+D4+E4</f>
        <v>4</v>
      </c>
      <c r="C4" s="26">
        <f>COUNTIFS('Delivery Board'!$R$5:$R$500,$A4,'Delivery Board'!$C$5:$C$500,"Done")</f>
        <v>4</v>
      </c>
      <c r="D4" s="26">
        <f>COUNTIFS('Delivery Board'!$R$5:$R$500,$A4,'Delivery Board'!$C$5:$C$500,"Planned")+COUNTIFS('Delivery Board'!$R$5:$R$500,$A4,'Delivery Board'!$C$5:$C$500,"In progress")+COUNTIFS('Delivery Board'!$R$5:$R$500,$A4,'Delivery Board'!$C$5:$C$500,"Milestone")</f>
        <v>0</v>
      </c>
      <c r="E4" s="26">
        <f>COUNTIFS('Delivery Board'!$R$5:$R$500,$A4,'Delivery Board'!$C$5:$C$500,"Blocked")</f>
        <v>0</v>
      </c>
      <c r="F4" s="27">
        <f t="shared" ref="F4:F14" si="1">IF(B4=0,0,C4/B4)</f>
        <v>1</v>
      </c>
    </row>
    <row r="5" spans="1:6" x14ac:dyDescent="0.55000000000000004">
      <c r="A5" s="25" t="s">
        <v>31</v>
      </c>
      <c r="B5" s="26">
        <f t="shared" si="0"/>
        <v>8</v>
      </c>
      <c r="C5" s="26">
        <f>COUNTIFS('Delivery Board'!$R$5:$R$500,$A5,'Delivery Board'!$C$5:$C$500,"Done")</f>
        <v>8</v>
      </c>
      <c r="D5" s="26">
        <f>COUNTIFS('Delivery Board'!$R$5:$R$500,$A5,'Delivery Board'!$C$5:$C$500,"Planned")+COUNTIFS('Delivery Board'!$R$5:$R$500,$A5,'Delivery Board'!$C$5:$C$500,"In progress")+COUNTIFS('Delivery Board'!$R$5:$R$500,$A5,'Delivery Board'!$C$5:$C$500,"Milestone")</f>
        <v>0</v>
      </c>
      <c r="E5" s="26">
        <f>COUNTIFS('Delivery Board'!$R$5:$R$500,$A5,'Delivery Board'!$C$5:$C$500,"Blocked")</f>
        <v>0</v>
      </c>
      <c r="F5" s="27">
        <f t="shared" si="1"/>
        <v>1</v>
      </c>
    </row>
    <row r="6" spans="1:6" x14ac:dyDescent="0.55000000000000004">
      <c r="A6" s="25" t="s">
        <v>43</v>
      </c>
      <c r="B6" s="26">
        <f t="shared" si="0"/>
        <v>3</v>
      </c>
      <c r="C6" s="26">
        <f>COUNTIFS('Delivery Board'!$R$5:$R$500,$A6,'Delivery Board'!$C$5:$C$500,"Done")</f>
        <v>3</v>
      </c>
      <c r="D6" s="26">
        <f>COUNTIFS('Delivery Board'!$R$5:$R$500,$A6,'Delivery Board'!$C$5:$C$500,"Planned")+COUNTIFS('Delivery Board'!$R$5:$R$500,$A6,'Delivery Board'!$C$5:$C$500,"In progress")+COUNTIFS('Delivery Board'!$R$5:$R$500,$A6,'Delivery Board'!$C$5:$C$500,"Milestone")</f>
        <v>0</v>
      </c>
      <c r="E6" s="26">
        <f>COUNTIFS('Delivery Board'!$R$5:$R$500,$A6,'Delivery Board'!$C$5:$C$500,"Blocked")</f>
        <v>0</v>
      </c>
      <c r="F6" s="27">
        <f t="shared" si="1"/>
        <v>1</v>
      </c>
    </row>
    <row r="7" spans="1:6" x14ac:dyDescent="0.55000000000000004">
      <c r="A7" s="25" t="s">
        <v>51</v>
      </c>
      <c r="B7" s="26">
        <f t="shared" si="0"/>
        <v>10</v>
      </c>
      <c r="C7" s="26">
        <f>COUNTIFS('Delivery Board'!$R$5:$R$500,$A7,'Delivery Board'!$C$5:$C$500,"Done")</f>
        <v>9</v>
      </c>
      <c r="D7" s="26">
        <f>COUNTIFS('Delivery Board'!$R$5:$R$500,$A7,'Delivery Board'!$C$5:$C$500,"Planned")+COUNTIFS('Delivery Board'!$R$5:$R$500,$A7,'Delivery Board'!$C$5:$C$500,"In progress")+COUNTIFS('Delivery Board'!$R$5:$R$500,$A7,'Delivery Board'!$C$5:$C$500,"Milestone")</f>
        <v>1</v>
      </c>
      <c r="E7" s="26">
        <f>COUNTIFS('Delivery Board'!$R$5:$R$500,$A7,'Delivery Board'!$C$5:$C$500,"Blocked")</f>
        <v>0</v>
      </c>
      <c r="F7" s="27">
        <f t="shared" si="1"/>
        <v>0.9</v>
      </c>
    </row>
    <row r="8" spans="1:6" x14ac:dyDescent="0.55000000000000004">
      <c r="A8" s="25" t="s">
        <v>62</v>
      </c>
      <c r="B8" s="26">
        <f t="shared" si="0"/>
        <v>22</v>
      </c>
      <c r="C8" s="26">
        <f>COUNTIFS('Delivery Board'!$R$5:$R$500,$A8,'Delivery Board'!$C$5:$C$500,"Done")</f>
        <v>20</v>
      </c>
      <c r="D8" s="26">
        <f>COUNTIFS('Delivery Board'!$R$5:$R$500,$A8,'Delivery Board'!$C$5:$C$500,"Planned")+COUNTIFS('Delivery Board'!$R$5:$R$500,$A8,'Delivery Board'!$C$5:$C$500,"In progress")+COUNTIFS('Delivery Board'!$R$5:$R$500,$A8,'Delivery Board'!$C$5:$C$500,"Milestone")</f>
        <v>2</v>
      </c>
      <c r="E8" s="26">
        <f>COUNTIFS('Delivery Board'!$R$5:$R$500,$A8,'Delivery Board'!$C$5:$C$500,"Blocked")</f>
        <v>0</v>
      </c>
      <c r="F8" s="27">
        <f t="shared" si="1"/>
        <v>0.90909090909090906</v>
      </c>
    </row>
    <row r="9" spans="1:6" x14ac:dyDescent="0.55000000000000004">
      <c r="A9" s="25" t="s">
        <v>73</v>
      </c>
      <c r="B9" s="26">
        <f t="shared" si="0"/>
        <v>5</v>
      </c>
      <c r="C9" s="26">
        <f>COUNTIFS('Delivery Board'!$R$5:$R$500,$A9,'Delivery Board'!$C$5:$C$500,"Done")</f>
        <v>4</v>
      </c>
      <c r="D9" s="26">
        <f>COUNTIFS('Delivery Board'!$R$5:$R$500,$A9,'Delivery Board'!$C$5:$C$500,"Planned")+COUNTIFS('Delivery Board'!$R$5:$R$500,$A9,'Delivery Board'!$C$5:$C$500,"In progress")+COUNTIFS('Delivery Board'!$R$5:$R$500,$A9,'Delivery Board'!$C$5:$C$500,"Milestone")</f>
        <v>1</v>
      </c>
      <c r="E9" s="26">
        <f>COUNTIFS('Delivery Board'!$R$5:$R$500,$A9,'Delivery Board'!$C$5:$C$500,"Blocked")</f>
        <v>0</v>
      </c>
      <c r="F9" s="27">
        <f t="shared" si="1"/>
        <v>0.8</v>
      </c>
    </row>
    <row r="10" spans="1:6" x14ac:dyDescent="0.55000000000000004">
      <c r="A10" s="25" t="s">
        <v>83</v>
      </c>
      <c r="B10" s="26">
        <f t="shared" si="0"/>
        <v>17</v>
      </c>
      <c r="C10" s="26">
        <f>COUNTIFS('Delivery Board'!$R$5:$R$500,$A10,'Delivery Board'!$C$5:$C$500,"Done")</f>
        <v>13</v>
      </c>
      <c r="D10" s="26">
        <f>COUNTIFS('Delivery Board'!$R$5:$R$500,$A10,'Delivery Board'!$C$5:$C$500,"Planned")+COUNTIFS('Delivery Board'!$R$5:$R$500,$A10,'Delivery Board'!$C$5:$C$500,"In progress")+COUNTIFS('Delivery Board'!$R$5:$R$500,$A10,'Delivery Board'!$C$5:$C$500,"Milestone")</f>
        <v>4</v>
      </c>
      <c r="E10" s="26">
        <f>COUNTIFS('Delivery Board'!$R$5:$R$500,$A10,'Delivery Board'!$C$5:$C$500,"Blocked")</f>
        <v>0</v>
      </c>
      <c r="F10" s="27">
        <f t="shared" si="1"/>
        <v>0.76470588235294112</v>
      </c>
    </row>
    <row r="11" spans="1:6" x14ac:dyDescent="0.55000000000000004">
      <c r="A11" s="25" t="s">
        <v>99</v>
      </c>
      <c r="B11" s="26">
        <f t="shared" si="0"/>
        <v>40</v>
      </c>
      <c r="C11" s="26">
        <f>COUNTIFS('Delivery Board'!$R$5:$R$500,$A11,'Delivery Board'!$C$5:$C$500,"Done")</f>
        <v>32</v>
      </c>
      <c r="D11" s="26">
        <f>COUNTIFS('Delivery Board'!$R$5:$R$500,$A11,'Delivery Board'!$C$5:$C$500,"Planned")+COUNTIFS('Delivery Board'!$R$5:$R$500,$A11,'Delivery Board'!$C$5:$C$500,"In progress")+COUNTIFS('Delivery Board'!$R$5:$R$500,$A11,'Delivery Board'!$C$5:$C$500,"Milestone")</f>
        <v>8</v>
      </c>
      <c r="E11" s="26">
        <f>COUNTIFS('Delivery Board'!$R$5:$R$500,$A11,'Delivery Board'!$C$5:$C$500,"Blocked")</f>
        <v>0</v>
      </c>
      <c r="F11" s="27">
        <f t="shared" si="1"/>
        <v>0.8</v>
      </c>
    </row>
    <row r="12" spans="1:6" x14ac:dyDescent="0.55000000000000004">
      <c r="A12" s="25" t="s">
        <v>130</v>
      </c>
      <c r="B12" s="26">
        <f t="shared" si="0"/>
        <v>37</v>
      </c>
      <c r="C12" s="26">
        <f>COUNTIFS('Delivery Board'!$R$5:$R$500,$A12,'Delivery Board'!$C$5:$C$500,"Done")</f>
        <v>22</v>
      </c>
      <c r="D12" s="26">
        <f>COUNTIFS('Delivery Board'!$R$5:$R$500,$A12,'Delivery Board'!$C$5:$C$500,"Planned")+COUNTIFS('Delivery Board'!$R$5:$R$500,$A12,'Delivery Board'!$C$5:$C$500,"In progress")+COUNTIFS('Delivery Board'!$R$5:$R$500,$A12,'Delivery Board'!$C$5:$C$500,"Milestone")</f>
        <v>14</v>
      </c>
      <c r="E12" s="26">
        <f>COUNTIFS('Delivery Board'!$R$5:$R$500,$A12,'Delivery Board'!$C$5:$C$500,"Blocked")</f>
        <v>1</v>
      </c>
      <c r="F12" s="27">
        <f t="shared" si="1"/>
        <v>0.59459459459459463</v>
      </c>
    </row>
    <row r="13" spans="1:6" x14ac:dyDescent="0.55000000000000004">
      <c r="A13" s="25" t="s">
        <v>162</v>
      </c>
      <c r="B13" s="26">
        <f t="shared" si="0"/>
        <v>32</v>
      </c>
      <c r="C13" s="26">
        <f>COUNTIFS('Delivery Board'!$R$5:$R$500,$A13,'Delivery Board'!$C$5:$C$500,"Done")</f>
        <v>22</v>
      </c>
      <c r="D13" s="26">
        <f>COUNTIFS('Delivery Board'!$R$5:$R$500,$A13,'Delivery Board'!$C$5:$C$500,"Planned")+COUNTIFS('Delivery Board'!$R$5:$R$500,$A13,'Delivery Board'!$C$5:$C$500,"In progress")+COUNTIFS('Delivery Board'!$R$5:$R$500,$A13,'Delivery Board'!$C$5:$C$500,"Milestone")</f>
        <v>10</v>
      </c>
      <c r="E13" s="26">
        <f>COUNTIFS('Delivery Board'!$R$5:$R$500,$A13,'Delivery Board'!$C$5:$C$500,"Blocked")</f>
        <v>0</v>
      </c>
      <c r="F13" s="27">
        <f t="shared" si="1"/>
        <v>0.6875</v>
      </c>
    </row>
    <row r="14" spans="1:6" x14ac:dyDescent="0.55000000000000004">
      <c r="A14" s="25" t="s">
        <v>191</v>
      </c>
      <c r="B14" s="26">
        <f t="shared" si="0"/>
        <v>16</v>
      </c>
      <c r="C14" s="26">
        <f>COUNTIFS('Delivery Board'!$R$5:$R$500,$A14,'Delivery Board'!$C$5:$C$500,"Done")</f>
        <v>9</v>
      </c>
      <c r="D14" s="26">
        <f>COUNTIFS('Delivery Board'!$R$5:$R$500,$A14,'Delivery Board'!$C$5:$C$500,"Planned")+COUNTIFS('Delivery Board'!$R$5:$R$500,$A14,'Delivery Board'!$C$5:$C$500,"In progress")+COUNTIFS('Delivery Board'!$R$5:$R$500,$A14,'Delivery Board'!$C$5:$C$500,"Milestone")</f>
        <v>7</v>
      </c>
      <c r="E14" s="26">
        <f>COUNTIFS('Delivery Board'!$R$5:$R$500,$A14,'Delivery Board'!$C$5:$C$500,"Blocked")</f>
        <v>0</v>
      </c>
      <c r="F14" s="27">
        <f t="shared" si="1"/>
        <v>0.5625</v>
      </c>
    </row>
    <row r="16" spans="1:6" x14ac:dyDescent="0.55000000000000004">
      <c r="A16" s="28" t="s">
        <v>509</v>
      </c>
      <c r="B16" s="29">
        <f>SUM(B4:B14)</f>
        <v>194</v>
      </c>
      <c r="C16" s="29">
        <f>SUM(C4:C14)</f>
        <v>146</v>
      </c>
      <c r="D16">
        <f>SUM(D4:D14)</f>
        <v>47</v>
      </c>
      <c r="E16">
        <f>SUM(E4:E14)</f>
        <v>1</v>
      </c>
      <c r="F16" s="30">
        <f>IF(B16=0,0,C16/B16)</f>
        <v>0.75257731958762886</v>
      </c>
    </row>
    <row r="18" spans="1:2" x14ac:dyDescent="0.55000000000000004">
      <c r="A18" s="43" t="s">
        <v>510</v>
      </c>
      <c r="B18" s="44">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5" t="s">
        <v>511</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61"/>
  <sheetViews>
    <sheetView workbookViewId="0">
      <pane ySplit="3" topLeftCell="A4" activePane="bottomLeft" state="frozen"/>
      <selection pane="bottomLeft" sqref="A1:E1"/>
    </sheetView>
  </sheetViews>
  <sheetFormatPr defaultRowHeight="14.4" x14ac:dyDescent="0.55000000000000004"/>
  <cols>
    <col min="1" max="1" width="34" customWidth="1"/>
    <col min="2" max="2" width="13" customWidth="1"/>
    <col min="3" max="3" width="11" customWidth="1"/>
    <col min="4" max="4" width="12" customWidth="1"/>
    <col min="5" max="5" width="62" customWidth="1"/>
  </cols>
  <sheetData>
    <row r="1" spans="1:5" ht="26.05" customHeight="1" x14ac:dyDescent="0.55000000000000004">
      <c r="A1" s="281" t="s">
        <v>512</v>
      </c>
      <c r="B1" s="255"/>
      <c r="C1" s="255"/>
      <c r="D1" s="255"/>
      <c r="E1" s="256"/>
    </row>
    <row r="3" spans="1:5" x14ac:dyDescent="0.55000000000000004">
      <c r="A3" s="31" t="s">
        <v>513</v>
      </c>
      <c r="B3" s="31" t="s">
        <v>514</v>
      </c>
      <c r="C3" s="31" t="s">
        <v>515</v>
      </c>
      <c r="D3" s="31" t="s">
        <v>4</v>
      </c>
      <c r="E3" s="31" t="s">
        <v>516</v>
      </c>
    </row>
    <row r="4" spans="1:5" ht="28" customHeight="1" x14ac:dyDescent="0.55000000000000004">
      <c r="A4" s="32" t="s">
        <v>517</v>
      </c>
      <c r="B4" s="12" t="s">
        <v>518</v>
      </c>
      <c r="C4" s="23" t="s">
        <v>519</v>
      </c>
      <c r="D4" s="12" t="s">
        <v>520</v>
      </c>
      <c r="E4" s="33" t="s">
        <v>521</v>
      </c>
    </row>
    <row r="5" spans="1:5" ht="28" customHeight="1" x14ac:dyDescent="0.55000000000000004">
      <c r="A5" s="34" t="s">
        <v>522</v>
      </c>
      <c r="B5" s="6" t="s">
        <v>518</v>
      </c>
      <c r="C5" s="21" t="s">
        <v>523</v>
      </c>
      <c r="D5" s="6" t="s">
        <v>520</v>
      </c>
      <c r="E5" s="35" t="s">
        <v>524</v>
      </c>
    </row>
    <row r="6" spans="1:5" ht="28" customHeight="1" x14ac:dyDescent="0.55000000000000004">
      <c r="A6" s="32" t="s">
        <v>525</v>
      </c>
      <c r="B6" s="12" t="s">
        <v>526</v>
      </c>
      <c r="C6" s="23" t="s">
        <v>519</v>
      </c>
      <c r="D6" s="12" t="s">
        <v>128</v>
      </c>
      <c r="E6" s="33" t="s">
        <v>527</v>
      </c>
    </row>
    <row r="7" spans="1:5" ht="28" customHeight="1" x14ac:dyDescent="0.55000000000000004">
      <c r="A7" s="34" t="s">
        <v>528</v>
      </c>
      <c r="B7" s="6" t="s">
        <v>518</v>
      </c>
      <c r="C7" s="21" t="s">
        <v>523</v>
      </c>
      <c r="D7" s="6" t="s">
        <v>128</v>
      </c>
      <c r="E7" s="35" t="s">
        <v>529</v>
      </c>
    </row>
    <row r="8" spans="1:5" ht="28" customHeight="1" x14ac:dyDescent="0.55000000000000004">
      <c r="A8" s="32" t="s">
        <v>530</v>
      </c>
      <c r="B8" s="12" t="s">
        <v>526</v>
      </c>
      <c r="C8" s="19" t="s">
        <v>531</v>
      </c>
      <c r="D8" s="12" t="s">
        <v>532</v>
      </c>
      <c r="E8" s="33" t="s">
        <v>533</v>
      </c>
    </row>
    <row r="9" spans="1:5" ht="28" customHeight="1" x14ac:dyDescent="0.55000000000000004">
      <c r="A9" s="34" t="s">
        <v>534</v>
      </c>
      <c r="B9" s="6" t="s">
        <v>518</v>
      </c>
      <c r="C9" s="21" t="s">
        <v>523</v>
      </c>
      <c r="D9" s="6" t="s">
        <v>535</v>
      </c>
      <c r="E9" s="35" t="s">
        <v>536</v>
      </c>
    </row>
    <row r="10" spans="1:5" ht="28" customHeight="1" x14ac:dyDescent="0.55000000000000004">
      <c r="A10" s="32" t="s">
        <v>537</v>
      </c>
      <c r="B10" s="12" t="s">
        <v>538</v>
      </c>
      <c r="C10" s="19" t="s">
        <v>531</v>
      </c>
      <c r="D10" s="12" t="s">
        <v>520</v>
      </c>
      <c r="E10" s="33" t="s">
        <v>539</v>
      </c>
    </row>
    <row r="11" spans="1:5" ht="28" customHeight="1" x14ac:dyDescent="0.55000000000000004">
      <c r="A11" s="34" t="s">
        <v>540</v>
      </c>
      <c r="B11" s="6" t="s">
        <v>526</v>
      </c>
      <c r="C11" s="21" t="s">
        <v>523</v>
      </c>
      <c r="D11" s="6" t="s">
        <v>128</v>
      </c>
      <c r="E11" s="35" t="s">
        <v>541</v>
      </c>
    </row>
    <row r="12" spans="1:5" ht="28" customHeight="1" x14ac:dyDescent="0.55000000000000004">
      <c r="A12" s="32" t="s">
        <v>542</v>
      </c>
      <c r="B12" s="12" t="s">
        <v>526</v>
      </c>
      <c r="C12" s="36" t="s">
        <v>543</v>
      </c>
      <c r="D12" s="12" t="s">
        <v>544</v>
      </c>
      <c r="E12" s="33" t="s">
        <v>545</v>
      </c>
    </row>
    <row r="13" spans="1:5" ht="28" customHeight="1" x14ac:dyDescent="0.55000000000000004">
      <c r="A13" s="34" t="s">
        <v>546</v>
      </c>
      <c r="B13" s="6" t="s">
        <v>526</v>
      </c>
      <c r="C13" s="19" t="s">
        <v>531</v>
      </c>
      <c r="D13" s="6" t="s">
        <v>544</v>
      </c>
      <c r="E13" s="35" t="s">
        <v>547</v>
      </c>
    </row>
    <row r="14" spans="1:5" ht="28" customHeight="1" x14ac:dyDescent="0.55000000000000004">
      <c r="A14" s="32" t="s">
        <v>548</v>
      </c>
      <c r="B14" s="12" t="s">
        <v>518</v>
      </c>
      <c r="C14" s="19" t="s">
        <v>531</v>
      </c>
      <c r="D14" s="12" t="s">
        <v>128</v>
      </c>
      <c r="E14" s="33" t="s">
        <v>549</v>
      </c>
    </row>
    <row r="15" spans="1:5" ht="28" customHeight="1" x14ac:dyDescent="0.55000000000000004">
      <c r="A15" s="34" t="s">
        <v>550</v>
      </c>
      <c r="B15" s="6" t="s">
        <v>518</v>
      </c>
      <c r="C15" s="19" t="s">
        <v>531</v>
      </c>
      <c r="D15" s="6" t="s">
        <v>520</v>
      </c>
      <c r="E15" s="35" t="s">
        <v>551</v>
      </c>
    </row>
    <row r="16" spans="1:5" ht="30" customHeight="1" x14ac:dyDescent="0.55000000000000004">
      <c r="A16" s="32" t="s">
        <v>552</v>
      </c>
      <c r="B16" s="12" t="s">
        <v>518</v>
      </c>
      <c r="C16" s="21" t="s">
        <v>523</v>
      </c>
      <c r="D16" s="12" t="s">
        <v>553</v>
      </c>
      <c r="E16" s="33" t="s">
        <v>554</v>
      </c>
    </row>
    <row r="17" spans="1:5" ht="30" customHeight="1" x14ac:dyDescent="0.55000000000000004">
      <c r="A17" s="34" t="s">
        <v>555</v>
      </c>
      <c r="B17" s="6" t="s">
        <v>518</v>
      </c>
      <c r="C17" s="23" t="s">
        <v>519</v>
      </c>
      <c r="D17" s="6" t="s">
        <v>520</v>
      </c>
      <c r="E17" s="35" t="s">
        <v>556</v>
      </c>
    </row>
    <row r="18" spans="1:5" ht="30" customHeight="1" x14ac:dyDescent="0.55000000000000004">
      <c r="A18" s="32" t="s">
        <v>557</v>
      </c>
      <c r="B18" s="12" t="s">
        <v>526</v>
      </c>
      <c r="C18" s="19" t="s">
        <v>531</v>
      </c>
      <c r="D18" s="12" t="s">
        <v>532</v>
      </c>
      <c r="E18" s="33" t="s">
        <v>558</v>
      </c>
    </row>
    <row r="19" spans="1:5" ht="30" customHeight="1" x14ac:dyDescent="0.55000000000000004">
      <c r="A19" s="34" t="s">
        <v>559</v>
      </c>
      <c r="B19" s="6" t="s">
        <v>518</v>
      </c>
      <c r="C19" s="19" t="s">
        <v>531</v>
      </c>
      <c r="D19" s="6" t="s">
        <v>520</v>
      </c>
      <c r="E19" s="35" t="s">
        <v>560</v>
      </c>
    </row>
    <row r="20" spans="1:5" ht="32.049999999999997" customHeight="1" x14ac:dyDescent="0.55000000000000004">
      <c r="A20" s="32" t="s">
        <v>561</v>
      </c>
      <c r="B20" s="12" t="s">
        <v>562</v>
      </c>
      <c r="C20" s="23" t="s">
        <v>519</v>
      </c>
      <c r="D20" s="12" t="s">
        <v>563</v>
      </c>
      <c r="E20" s="33" t="s">
        <v>564</v>
      </c>
    </row>
    <row r="21" spans="1:5" ht="32.049999999999997" customHeight="1" x14ac:dyDescent="0.55000000000000004">
      <c r="A21" s="34" t="s">
        <v>565</v>
      </c>
      <c r="B21" s="6" t="s">
        <v>518</v>
      </c>
      <c r="C21" s="21" t="s">
        <v>523</v>
      </c>
      <c r="D21" s="6" t="s">
        <v>553</v>
      </c>
      <c r="E21" s="35" t="s">
        <v>566</v>
      </c>
    </row>
    <row r="22" spans="1:5" ht="32.049999999999997" customHeight="1" x14ac:dyDescent="0.55000000000000004">
      <c r="A22" s="32" t="s">
        <v>567</v>
      </c>
      <c r="B22" s="12" t="s">
        <v>568</v>
      </c>
      <c r="C22" s="19" t="s">
        <v>531</v>
      </c>
      <c r="D22" s="12" t="s">
        <v>520</v>
      </c>
      <c r="E22" s="33" t="s">
        <v>569</v>
      </c>
    </row>
    <row r="23" spans="1:5" ht="32.049999999999997" customHeight="1" x14ac:dyDescent="0.55000000000000004">
      <c r="A23" s="34" t="s">
        <v>570</v>
      </c>
      <c r="B23" s="6" t="s">
        <v>568</v>
      </c>
      <c r="C23" s="19" t="s">
        <v>531</v>
      </c>
      <c r="D23" s="6" t="s">
        <v>520</v>
      </c>
      <c r="E23" s="35" t="s">
        <v>571</v>
      </c>
    </row>
    <row r="24" spans="1:5" ht="32.049999999999997" customHeight="1" x14ac:dyDescent="0.55000000000000004">
      <c r="A24" s="32" t="s">
        <v>572</v>
      </c>
      <c r="B24" s="12" t="s">
        <v>568</v>
      </c>
      <c r="C24" s="19" t="s">
        <v>531</v>
      </c>
      <c r="D24" s="12" t="s">
        <v>520</v>
      </c>
      <c r="E24" s="33" t="s">
        <v>573</v>
      </c>
    </row>
    <row r="25" spans="1:5" ht="32.049999999999997" customHeight="1" x14ac:dyDescent="0.55000000000000004">
      <c r="A25" s="58" t="s">
        <v>574</v>
      </c>
      <c r="B25" s="55" t="s">
        <v>532</v>
      </c>
      <c r="C25" s="59" t="s">
        <v>531</v>
      </c>
      <c r="D25" s="55" t="s">
        <v>520</v>
      </c>
      <c r="E25" s="60" t="s">
        <v>575</v>
      </c>
    </row>
    <row r="26" spans="1:5" ht="32.049999999999997" customHeight="1" x14ac:dyDescent="0.55000000000000004">
      <c r="A26" s="61" t="s">
        <v>576</v>
      </c>
      <c r="B26" s="49" t="s">
        <v>568</v>
      </c>
      <c r="C26" s="59" t="s">
        <v>543</v>
      </c>
      <c r="D26" s="49" t="s">
        <v>563</v>
      </c>
      <c r="E26" s="62" t="s">
        <v>577</v>
      </c>
    </row>
    <row r="27" spans="1:5" ht="32.049999999999997" customHeight="1" x14ac:dyDescent="0.55000000000000004">
      <c r="A27" s="58" t="s">
        <v>578</v>
      </c>
      <c r="B27" s="55" t="s">
        <v>532</v>
      </c>
      <c r="C27" s="59" t="s">
        <v>543</v>
      </c>
      <c r="D27" s="55" t="s">
        <v>520</v>
      </c>
      <c r="E27" s="60" t="s">
        <v>579</v>
      </c>
    </row>
    <row r="28" spans="1:5" ht="46" customHeight="1" x14ac:dyDescent="0.55000000000000004">
      <c r="A28" s="79" t="s">
        <v>580</v>
      </c>
      <c r="B28" s="66" t="s">
        <v>532</v>
      </c>
      <c r="C28" s="75" t="s">
        <v>523</v>
      </c>
      <c r="D28" s="107" t="s">
        <v>563</v>
      </c>
      <c r="E28" s="107" t="s">
        <v>581</v>
      </c>
    </row>
    <row r="29" spans="1:5" ht="46" customHeight="1" x14ac:dyDescent="0.55000000000000004">
      <c r="A29" s="80" t="s">
        <v>582</v>
      </c>
      <c r="B29" s="72" t="s">
        <v>518</v>
      </c>
      <c r="C29" s="77" t="s">
        <v>531</v>
      </c>
      <c r="D29" s="106" t="s">
        <v>563</v>
      </c>
      <c r="E29" s="106" t="s">
        <v>583</v>
      </c>
    </row>
    <row r="30" spans="1:5" ht="32.049999999999997" customHeight="1" x14ac:dyDescent="0.55000000000000004">
      <c r="A30" s="88" t="s">
        <v>584</v>
      </c>
      <c r="B30" s="84" t="s">
        <v>518</v>
      </c>
      <c r="C30" s="89" t="s">
        <v>531</v>
      </c>
      <c r="D30" s="84" t="s">
        <v>520</v>
      </c>
      <c r="E30" s="90" t="s">
        <v>585</v>
      </c>
    </row>
    <row r="31" spans="1:5" ht="32.049999999999997" customHeight="1" x14ac:dyDescent="0.55000000000000004">
      <c r="A31" s="105" t="s">
        <v>586</v>
      </c>
      <c r="B31" s="94" t="s">
        <v>568</v>
      </c>
      <c r="C31" s="103" t="s">
        <v>531</v>
      </c>
      <c r="D31" s="94" t="s">
        <v>587</v>
      </c>
      <c r="E31" s="106" t="s">
        <v>588</v>
      </c>
    </row>
    <row r="32" spans="1:5" ht="32.049999999999997" customHeight="1" x14ac:dyDescent="0.55000000000000004">
      <c r="A32" s="122" t="s">
        <v>589</v>
      </c>
      <c r="B32" s="117" t="s">
        <v>532</v>
      </c>
      <c r="C32" s="120" t="s">
        <v>531</v>
      </c>
      <c r="D32" s="117" t="s">
        <v>563</v>
      </c>
      <c r="E32" s="123" t="s">
        <v>590</v>
      </c>
    </row>
    <row r="33" spans="1:5" ht="32.049999999999997" customHeight="1" x14ac:dyDescent="0.55000000000000004">
      <c r="A33" s="124" t="s">
        <v>591</v>
      </c>
      <c r="B33" s="111" t="s">
        <v>518</v>
      </c>
      <c r="C33" s="120" t="s">
        <v>531</v>
      </c>
      <c r="D33" s="111" t="s">
        <v>553</v>
      </c>
      <c r="E33" s="125" t="s">
        <v>592</v>
      </c>
    </row>
    <row r="34" spans="1:5" ht="32.049999999999997" customHeight="1" x14ac:dyDescent="0.55000000000000004">
      <c r="A34" s="156" t="s">
        <v>593</v>
      </c>
      <c r="B34" s="150" t="s">
        <v>568</v>
      </c>
      <c r="C34" s="142" t="s">
        <v>523</v>
      </c>
      <c r="D34" s="150" t="s">
        <v>520</v>
      </c>
      <c r="E34" s="157" t="s">
        <v>594</v>
      </c>
    </row>
    <row r="35" spans="1:5" ht="32.049999999999997" customHeight="1" x14ac:dyDescent="0.55000000000000004">
      <c r="A35" s="158" t="s">
        <v>595</v>
      </c>
      <c r="B35" s="143" t="s">
        <v>518</v>
      </c>
      <c r="C35" s="154" t="s">
        <v>531</v>
      </c>
      <c r="D35" s="143" t="s">
        <v>520</v>
      </c>
      <c r="E35" s="159" t="s">
        <v>596</v>
      </c>
    </row>
    <row r="36" spans="1:5" ht="74.05" customHeight="1" x14ac:dyDescent="0.55000000000000004">
      <c r="A36" s="172" t="s">
        <v>530</v>
      </c>
      <c r="B36" s="169" t="s">
        <v>518</v>
      </c>
      <c r="C36" s="173" t="s">
        <v>519</v>
      </c>
      <c r="D36" s="178" t="s">
        <v>597</v>
      </c>
      <c r="E36" s="178" t="s">
        <v>598</v>
      </c>
    </row>
    <row r="37" spans="1:5" ht="32.049999999999997" customHeight="1" x14ac:dyDescent="0.55000000000000004">
      <c r="A37" s="175" t="s">
        <v>599</v>
      </c>
      <c r="B37" s="163" t="s">
        <v>568</v>
      </c>
      <c r="C37" s="176" t="s">
        <v>531</v>
      </c>
      <c r="D37" s="163" t="s">
        <v>520</v>
      </c>
      <c r="E37" s="177" t="s">
        <v>600</v>
      </c>
    </row>
    <row r="38" spans="1:5" ht="32.049999999999997" customHeight="1" x14ac:dyDescent="0.55000000000000004">
      <c r="A38" s="172" t="s">
        <v>601</v>
      </c>
      <c r="B38" s="169" t="s">
        <v>568</v>
      </c>
      <c r="C38" s="176" t="s">
        <v>543</v>
      </c>
      <c r="D38" s="169" t="s">
        <v>520</v>
      </c>
      <c r="E38" s="174" t="s">
        <v>602</v>
      </c>
    </row>
    <row r="39" spans="1:5" ht="32.049999999999997" customHeight="1" x14ac:dyDescent="0.55000000000000004">
      <c r="A39" s="186" t="s">
        <v>603</v>
      </c>
      <c r="B39" s="182" t="s">
        <v>518</v>
      </c>
      <c r="C39" s="187" t="s">
        <v>523</v>
      </c>
      <c r="D39" s="182" t="s">
        <v>520</v>
      </c>
      <c r="E39" s="188" t="s">
        <v>604</v>
      </c>
    </row>
    <row r="40" spans="1:5" ht="32.049999999999997" customHeight="1" x14ac:dyDescent="0.55000000000000004">
      <c r="A40" s="196" t="s">
        <v>605</v>
      </c>
      <c r="B40" s="192" t="s">
        <v>568</v>
      </c>
      <c r="C40" s="197" t="s">
        <v>523</v>
      </c>
      <c r="D40" s="192" t="s">
        <v>520</v>
      </c>
      <c r="E40" s="198" t="s">
        <v>606</v>
      </c>
    </row>
    <row r="41" spans="1:5" ht="32.049999999999997" customHeight="1" x14ac:dyDescent="0.55000000000000004">
      <c r="A41" s="199" t="s">
        <v>140</v>
      </c>
      <c r="B41" s="200" t="s">
        <v>532</v>
      </c>
      <c r="C41" s="201" t="s">
        <v>531</v>
      </c>
      <c r="D41" s="200" t="s">
        <v>563</v>
      </c>
      <c r="E41" s="202" t="s">
        <v>607</v>
      </c>
    </row>
    <row r="42" spans="1:5" ht="32.049999999999997" customHeight="1" x14ac:dyDescent="0.55000000000000004">
      <c r="A42" s="219" t="s">
        <v>608</v>
      </c>
      <c r="B42" s="213" t="s">
        <v>568</v>
      </c>
      <c r="C42" s="205" t="s">
        <v>523</v>
      </c>
      <c r="D42" s="213" t="s">
        <v>520</v>
      </c>
      <c r="E42" s="220" t="s">
        <v>609</v>
      </c>
    </row>
    <row r="43" spans="1:5" ht="32.049999999999997" customHeight="1" x14ac:dyDescent="0.55000000000000004">
      <c r="A43" s="221" t="s">
        <v>610</v>
      </c>
      <c r="B43" s="206" t="s">
        <v>518</v>
      </c>
      <c r="C43" s="217" t="s">
        <v>531</v>
      </c>
      <c r="D43" s="206" t="s">
        <v>553</v>
      </c>
      <c r="E43" s="222" t="s">
        <v>611</v>
      </c>
    </row>
    <row r="44" spans="1:5" ht="32.049999999999997" customHeight="1" x14ac:dyDescent="0.55000000000000004">
      <c r="A44" s="219" t="s">
        <v>612</v>
      </c>
      <c r="B44" s="213" t="s">
        <v>568</v>
      </c>
      <c r="C44" s="217" t="s">
        <v>531</v>
      </c>
      <c r="D44" s="213" t="s">
        <v>563</v>
      </c>
      <c r="E44" s="220" t="s">
        <v>613</v>
      </c>
    </row>
    <row r="45" spans="1:5" ht="32.049999999999997" customHeight="1" x14ac:dyDescent="0.55000000000000004">
      <c r="A45" s="221" t="s">
        <v>614</v>
      </c>
      <c r="B45" s="206" t="s">
        <v>532</v>
      </c>
      <c r="C45" s="217" t="s">
        <v>543</v>
      </c>
      <c r="D45" s="206" t="s">
        <v>520</v>
      </c>
      <c r="E45" s="222" t="s">
        <v>615</v>
      </c>
    </row>
    <row r="46" spans="1:5" ht="32.049999999999997" customHeight="1" x14ac:dyDescent="0.55000000000000004">
      <c r="A46" s="241" t="s">
        <v>616</v>
      </c>
      <c r="B46" s="226" t="s">
        <v>532</v>
      </c>
      <c r="C46" s="232" t="s">
        <v>523</v>
      </c>
      <c r="D46" s="226" t="s">
        <v>520</v>
      </c>
      <c r="E46" s="242" t="s">
        <v>617</v>
      </c>
    </row>
    <row r="47" spans="1:5" ht="32.049999999999997" customHeight="1" x14ac:dyDescent="0.55000000000000004">
      <c r="A47" s="243" t="s">
        <v>618</v>
      </c>
      <c r="B47" s="233" t="s">
        <v>518</v>
      </c>
      <c r="C47" s="237" t="s">
        <v>531</v>
      </c>
      <c r="D47" s="233" t="s">
        <v>520</v>
      </c>
      <c r="E47" s="244" t="s">
        <v>619</v>
      </c>
    </row>
    <row r="48" spans="1:5" ht="32.049999999999997" customHeight="1" x14ac:dyDescent="0.55000000000000004">
      <c r="A48" s="241" t="s">
        <v>620</v>
      </c>
      <c r="B48" s="226" t="s">
        <v>532</v>
      </c>
      <c r="C48" s="237" t="s">
        <v>531</v>
      </c>
      <c r="D48" s="226" t="s">
        <v>520</v>
      </c>
      <c r="E48" s="242" t="s">
        <v>621</v>
      </c>
    </row>
    <row r="49" spans="1:5" x14ac:dyDescent="0.55000000000000004">
      <c r="A49" t="s">
        <v>622</v>
      </c>
      <c r="B49" t="s">
        <v>518</v>
      </c>
      <c r="C49" t="s">
        <v>531</v>
      </c>
      <c r="D49" t="s">
        <v>520</v>
      </c>
      <c r="E49" t="s">
        <v>623</v>
      </c>
    </row>
    <row r="50" spans="1:5" x14ac:dyDescent="0.55000000000000004">
      <c r="A50" t="s">
        <v>624</v>
      </c>
      <c r="B50" t="s">
        <v>518</v>
      </c>
      <c r="C50" t="s">
        <v>531</v>
      </c>
      <c r="D50" t="s">
        <v>520</v>
      </c>
      <c r="E50" t="s">
        <v>625</v>
      </c>
    </row>
    <row r="51" spans="1:5" x14ac:dyDescent="0.55000000000000004">
      <c r="A51" t="s">
        <v>626</v>
      </c>
      <c r="B51" t="s">
        <v>518</v>
      </c>
      <c r="C51" t="s">
        <v>531</v>
      </c>
      <c r="D51" t="s">
        <v>520</v>
      </c>
      <c r="E51" t="s">
        <v>627</v>
      </c>
    </row>
    <row r="52" spans="1:5" x14ac:dyDescent="0.55000000000000004">
      <c r="A52" t="s">
        <v>628</v>
      </c>
      <c r="B52" t="s">
        <v>532</v>
      </c>
      <c r="C52" t="s">
        <v>629</v>
      </c>
      <c r="D52" t="s">
        <v>563</v>
      </c>
      <c r="E52" t="s">
        <v>630</v>
      </c>
    </row>
    <row r="53" spans="1:5" x14ac:dyDescent="0.55000000000000004">
      <c r="A53" t="s">
        <v>631</v>
      </c>
      <c r="B53" t="s">
        <v>532</v>
      </c>
      <c r="C53" t="s">
        <v>629</v>
      </c>
      <c r="D53" t="s">
        <v>563</v>
      </c>
      <c r="E53" t="s">
        <v>632</v>
      </c>
    </row>
    <row r="54" spans="1:5" ht="57.6" customHeight="1" x14ac:dyDescent="0.55000000000000004">
      <c r="A54" s="250" t="s">
        <v>633</v>
      </c>
      <c r="B54" s="250" t="s">
        <v>532</v>
      </c>
      <c r="C54" s="250" t="s">
        <v>629</v>
      </c>
      <c r="D54" s="250" t="s">
        <v>563</v>
      </c>
      <c r="E54" s="250" t="s">
        <v>634</v>
      </c>
    </row>
    <row r="55" spans="1:5" ht="72" customHeight="1" x14ac:dyDescent="0.55000000000000004">
      <c r="A55" s="250" t="s">
        <v>635</v>
      </c>
      <c r="B55" s="250" t="s">
        <v>518</v>
      </c>
      <c r="C55" s="250" t="s">
        <v>523</v>
      </c>
      <c r="D55" s="250" t="s">
        <v>563</v>
      </c>
      <c r="E55" s="250" t="s">
        <v>636</v>
      </c>
    </row>
    <row r="56" spans="1:5" ht="43.2" customHeight="1" x14ac:dyDescent="0.55000000000000004">
      <c r="A56" s="250" t="s">
        <v>637</v>
      </c>
      <c r="B56" s="250" t="s">
        <v>518</v>
      </c>
      <c r="C56" s="250" t="s">
        <v>531</v>
      </c>
      <c r="D56" s="250" t="s">
        <v>520</v>
      </c>
      <c r="E56" s="250" t="s">
        <v>638</v>
      </c>
    </row>
    <row r="57" spans="1:5" ht="43.2" customHeight="1" x14ac:dyDescent="0.55000000000000004">
      <c r="A57" s="250" t="s">
        <v>639</v>
      </c>
      <c r="B57" s="250" t="s">
        <v>518</v>
      </c>
      <c r="C57" s="250" t="s">
        <v>531</v>
      </c>
      <c r="D57" s="250" t="s">
        <v>563</v>
      </c>
      <c r="E57" s="250" t="s">
        <v>640</v>
      </c>
    </row>
    <row r="58" spans="1:5" ht="72" customHeight="1" x14ac:dyDescent="0.55000000000000004">
      <c r="A58" s="250" t="s">
        <v>641</v>
      </c>
      <c r="B58" s="250" t="s">
        <v>518</v>
      </c>
      <c r="C58" s="250" t="s">
        <v>531</v>
      </c>
      <c r="D58" s="250" t="s">
        <v>563</v>
      </c>
      <c r="E58" s="250" t="s">
        <v>642</v>
      </c>
    </row>
    <row r="59" spans="1:5" ht="100.8" customHeight="1" x14ac:dyDescent="0.55000000000000004">
      <c r="A59" s="250" t="s">
        <v>643</v>
      </c>
      <c r="B59" s="250" t="s">
        <v>518</v>
      </c>
      <c r="C59" s="250" t="s">
        <v>523</v>
      </c>
      <c r="D59" s="250" t="s">
        <v>520</v>
      </c>
      <c r="E59" s="250" t="s">
        <v>644</v>
      </c>
    </row>
    <row r="60" spans="1:5" ht="72" customHeight="1" x14ac:dyDescent="0.55000000000000004">
      <c r="A60" s="250" t="s">
        <v>645</v>
      </c>
      <c r="B60" s="250" t="s">
        <v>518</v>
      </c>
      <c r="C60" s="250" t="s">
        <v>523</v>
      </c>
      <c r="D60" s="250" t="s">
        <v>563</v>
      </c>
      <c r="E60" s="250" t="s">
        <v>646</v>
      </c>
    </row>
    <row r="61" spans="1:5" ht="72" x14ac:dyDescent="0.55000000000000004">
      <c r="A61" s="250" t="s">
        <v>647</v>
      </c>
      <c r="B61" s="250" t="s">
        <v>518</v>
      </c>
      <c r="C61" s="250" t="s">
        <v>531</v>
      </c>
      <c r="D61" s="250" t="s">
        <v>520</v>
      </c>
      <c r="E61" s="250" t="s">
        <v>648</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6"/>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46" t="s">
        <v>649</v>
      </c>
    </row>
    <row r="2" spans="1:9" x14ac:dyDescent="0.55000000000000004">
      <c r="A2" s="247" t="s">
        <v>650</v>
      </c>
    </row>
    <row r="4" spans="1:9" x14ac:dyDescent="0.55000000000000004">
      <c r="A4" s="248" t="s">
        <v>651</v>
      </c>
      <c r="B4" s="248" t="s">
        <v>652</v>
      </c>
      <c r="C4" s="248" t="s">
        <v>653</v>
      </c>
      <c r="D4" s="248" t="s">
        <v>654</v>
      </c>
      <c r="E4" s="248" t="s">
        <v>655</v>
      </c>
      <c r="F4" s="248" t="s">
        <v>656</v>
      </c>
      <c r="G4" s="248" t="s">
        <v>657</v>
      </c>
      <c r="H4" s="248" t="s">
        <v>4</v>
      </c>
      <c r="I4" s="248" t="s">
        <v>658</v>
      </c>
    </row>
    <row r="5" spans="1:9" ht="62.05" customHeight="1" x14ac:dyDescent="0.55000000000000004">
      <c r="A5" s="249" t="s">
        <v>659</v>
      </c>
      <c r="B5" s="250" t="s">
        <v>660</v>
      </c>
      <c r="C5" s="250" t="s">
        <v>661</v>
      </c>
      <c r="D5" s="250" t="s">
        <v>662</v>
      </c>
      <c r="E5" s="250" t="s">
        <v>663</v>
      </c>
      <c r="F5" s="250" t="s">
        <v>664</v>
      </c>
      <c r="G5" s="250" t="s">
        <v>665</v>
      </c>
      <c r="H5" s="251" t="s">
        <v>666</v>
      </c>
      <c r="I5" s="250" t="s">
        <v>667</v>
      </c>
    </row>
    <row r="6" spans="1:9" ht="62.05" customHeight="1" x14ac:dyDescent="0.55000000000000004">
      <c r="A6" s="249" t="s">
        <v>668</v>
      </c>
      <c r="B6" s="250" t="s">
        <v>669</v>
      </c>
      <c r="C6" s="250" t="s">
        <v>670</v>
      </c>
      <c r="D6" s="250" t="s">
        <v>671</v>
      </c>
      <c r="E6" s="250" t="s">
        <v>672</v>
      </c>
      <c r="F6" s="250" t="s">
        <v>673</v>
      </c>
      <c r="G6" s="250" t="s">
        <v>674</v>
      </c>
      <c r="H6" s="252" t="s">
        <v>666</v>
      </c>
      <c r="I6" s="250" t="s">
        <v>675</v>
      </c>
    </row>
    <row r="7" spans="1:9" ht="62.05" customHeight="1" x14ac:dyDescent="0.55000000000000004">
      <c r="A7" s="249" t="s">
        <v>676</v>
      </c>
      <c r="B7" s="250" t="s">
        <v>677</v>
      </c>
      <c r="C7" s="250" t="s">
        <v>678</v>
      </c>
      <c r="D7" s="250" t="s">
        <v>679</v>
      </c>
      <c r="E7" s="250" t="s">
        <v>680</v>
      </c>
      <c r="F7" s="250" t="s">
        <v>681</v>
      </c>
      <c r="G7" s="250" t="s">
        <v>682</v>
      </c>
      <c r="H7" s="252" t="s">
        <v>666</v>
      </c>
      <c r="I7" s="250" t="s">
        <v>683</v>
      </c>
    </row>
    <row r="8" spans="1:9" ht="62.05" customHeight="1" x14ac:dyDescent="0.55000000000000004">
      <c r="A8" s="249" t="s">
        <v>684</v>
      </c>
      <c r="B8" s="250" t="s">
        <v>685</v>
      </c>
      <c r="C8" s="250" t="s">
        <v>686</v>
      </c>
      <c r="D8" s="250" t="s">
        <v>687</v>
      </c>
      <c r="E8" s="250" t="s">
        <v>629</v>
      </c>
      <c r="F8" s="250" t="s">
        <v>629</v>
      </c>
      <c r="G8" s="250" t="s">
        <v>629</v>
      </c>
      <c r="H8" s="251" t="s">
        <v>688</v>
      </c>
      <c r="I8" s="250" t="s">
        <v>689</v>
      </c>
    </row>
    <row r="9" spans="1:9" ht="62.05" customHeight="1" x14ac:dyDescent="0.55000000000000004">
      <c r="A9" s="249" t="s">
        <v>690</v>
      </c>
      <c r="B9" s="250" t="s">
        <v>691</v>
      </c>
      <c r="C9" s="250" t="s">
        <v>692</v>
      </c>
      <c r="D9" s="250" t="s">
        <v>687</v>
      </c>
      <c r="E9" s="250" t="s">
        <v>680</v>
      </c>
      <c r="F9" s="250" t="s">
        <v>693</v>
      </c>
      <c r="G9" s="250" t="s">
        <v>694</v>
      </c>
      <c r="H9" s="253" t="s">
        <v>695</v>
      </c>
      <c r="I9" s="250" t="s">
        <v>696</v>
      </c>
    </row>
    <row r="10" spans="1:9" ht="62.05" customHeight="1" x14ac:dyDescent="0.55000000000000004">
      <c r="A10" s="249" t="s">
        <v>697</v>
      </c>
      <c r="B10" s="250" t="s">
        <v>698</v>
      </c>
      <c r="C10" s="250" t="s">
        <v>699</v>
      </c>
      <c r="D10" s="250" t="s">
        <v>700</v>
      </c>
      <c r="E10" s="250" t="s">
        <v>701</v>
      </c>
      <c r="F10" s="250" t="s">
        <v>702</v>
      </c>
      <c r="G10" s="250" t="s">
        <v>703</v>
      </c>
      <c r="H10" s="253" t="s">
        <v>704</v>
      </c>
      <c r="I10" s="250" t="s">
        <v>705</v>
      </c>
    </row>
    <row r="11" spans="1:9" ht="62.05" customHeight="1" x14ac:dyDescent="0.55000000000000004">
      <c r="A11" s="249" t="s">
        <v>706</v>
      </c>
      <c r="B11" s="250" t="s">
        <v>707</v>
      </c>
      <c r="C11" s="250" t="s">
        <v>708</v>
      </c>
      <c r="D11" s="250" t="s">
        <v>709</v>
      </c>
      <c r="E11" s="250" t="s">
        <v>629</v>
      </c>
      <c r="F11" s="250" t="s">
        <v>629</v>
      </c>
      <c r="G11" s="250" t="s">
        <v>710</v>
      </c>
      <c r="H11" s="253" t="s">
        <v>711</v>
      </c>
      <c r="I11" s="250" t="s">
        <v>712</v>
      </c>
    </row>
    <row r="12" spans="1:9" ht="62.05" customHeight="1" x14ac:dyDescent="0.55000000000000004">
      <c r="A12" s="249" t="s">
        <v>713</v>
      </c>
      <c r="B12" s="250" t="s">
        <v>714</v>
      </c>
      <c r="C12" s="250" t="s">
        <v>715</v>
      </c>
      <c r="D12" s="250" t="s">
        <v>716</v>
      </c>
      <c r="E12" s="250" t="s">
        <v>629</v>
      </c>
      <c r="F12" s="250" t="s">
        <v>629</v>
      </c>
      <c r="G12" s="250" t="s">
        <v>710</v>
      </c>
      <c r="H12" s="252" t="s">
        <v>717</v>
      </c>
      <c r="I12" s="250" t="s">
        <v>718</v>
      </c>
    </row>
    <row r="13" spans="1:9" ht="62.05" customHeight="1" x14ac:dyDescent="0.55000000000000004">
      <c r="A13" s="249" t="s">
        <v>719</v>
      </c>
      <c r="B13" s="250" t="s">
        <v>720</v>
      </c>
      <c r="C13" s="250" t="s">
        <v>721</v>
      </c>
      <c r="D13" s="250" t="s">
        <v>629</v>
      </c>
      <c r="E13" s="250" t="s">
        <v>629</v>
      </c>
      <c r="F13" s="250" t="s">
        <v>629</v>
      </c>
      <c r="G13" s="250" t="s">
        <v>629</v>
      </c>
      <c r="H13" s="253" t="s">
        <v>722</v>
      </c>
      <c r="I13" s="250" t="s">
        <v>723</v>
      </c>
    </row>
    <row r="14" spans="1:9" ht="62.05" customHeight="1" x14ac:dyDescent="0.55000000000000004">
      <c r="A14" s="249" t="s">
        <v>724</v>
      </c>
      <c r="B14" s="250" t="s">
        <v>725</v>
      </c>
      <c r="C14" s="250" t="s">
        <v>721</v>
      </c>
      <c r="D14" s="250" t="s">
        <v>629</v>
      </c>
      <c r="E14" s="250" t="s">
        <v>629</v>
      </c>
      <c r="F14" s="250" t="s">
        <v>629</v>
      </c>
      <c r="G14" s="250" t="s">
        <v>629</v>
      </c>
      <c r="H14" s="253" t="s">
        <v>722</v>
      </c>
      <c r="I14" s="250" t="s">
        <v>726</v>
      </c>
    </row>
    <row r="16" spans="1:9" x14ac:dyDescent="0.55000000000000004">
      <c r="A16" s="282" t="s">
        <v>727</v>
      </c>
      <c r="B16" s="262"/>
      <c r="C16" s="262"/>
      <c r="D16" s="262"/>
      <c r="E16" s="262"/>
      <c r="F16" s="262"/>
      <c r="G16" s="262"/>
      <c r="H16" s="262"/>
      <c r="I16" s="262"/>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Delivery Board</vt:lpstr>
      <vt:lpstr>Architecture</vt:lpstr>
      <vt:lpstr>Epic Summary</vt:lpstr>
      <vt:lpstr>Risks &amp; Decisions</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2026-08-10T09:28:48Z</dcterms:modified>
</cp:coreProperties>
</file>