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3"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90">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12">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5" fillId="40" borderId="13" applyAlignment="1" pivotButton="0" quotePrefix="0" xfId="0">
      <alignment horizontal="left" vertical="center"/>
    </xf>
    <xf numFmtId="0" fontId="46" fillId="40" borderId="13" applyAlignment="1" pivotButton="0" quotePrefix="0" xfId="0">
      <alignment horizontal="left" vertical="center"/>
    </xf>
    <xf numFmtId="0" fontId="47" fillId="41" borderId="13" applyAlignment="1" pivotButton="0" quotePrefix="0" xfId="0">
      <alignment horizontal="center" vertical="center"/>
    </xf>
    <xf numFmtId="0" fontId="46" fillId="40" borderId="13" applyAlignment="1" pivotButton="0" quotePrefix="0" xfId="0">
      <alignment horizontal="center" vertical="center"/>
    </xf>
    <xf numFmtId="164" fontId="46" fillId="40" borderId="13" applyAlignment="1" pivotButton="0" quotePrefix="0" xfId="0">
      <alignment horizontal="center" vertical="center"/>
    </xf>
    <xf numFmtId="0" fontId="46" fillId="41" borderId="13" applyAlignment="1" pivotButton="0" quotePrefix="0" xfId="0">
      <alignment horizontal="left" vertical="center"/>
    </xf>
    <xf numFmtId="0" fontId="45" fillId="42" borderId="13" applyAlignment="1" pivotButton="0" quotePrefix="0" xfId="0">
      <alignment horizontal="left" vertical="center"/>
    </xf>
    <xf numFmtId="0" fontId="46" fillId="42" borderId="13" applyAlignment="1" pivotButton="0" quotePrefix="0" xfId="0">
      <alignment horizontal="left" vertical="center"/>
    </xf>
    <xf numFmtId="0" fontId="46" fillId="42" borderId="13" applyAlignment="1" pivotButton="0" quotePrefix="0" xfId="0">
      <alignment horizontal="center" vertical="center"/>
    </xf>
    <xf numFmtId="164" fontId="46" fillId="42" borderId="13" applyAlignment="1" pivotButton="0" quotePrefix="0" xfId="0">
      <alignment horizontal="center" vertical="center"/>
    </xf>
    <xf numFmtId="0" fontId="46" fillId="43" borderId="13" applyAlignment="1" pivotButton="0" quotePrefix="0" xfId="0">
      <alignment horizontal="left" vertical="center"/>
    </xf>
    <xf numFmtId="0" fontId="47" fillId="44" borderId="13" applyAlignment="1" pivotButton="0" quotePrefix="0" xfId="0">
      <alignment horizontal="center" vertical="center"/>
    </xf>
    <xf numFmtId="0" fontId="46" fillId="44" borderId="13" applyAlignment="1" pivotButton="0" quotePrefix="0" xfId="0">
      <alignment horizontal="left" vertical="center"/>
    </xf>
    <xf numFmtId="0" fontId="45" fillId="42" borderId="13" applyAlignment="1" pivotButton="0" quotePrefix="0" xfId="0">
      <alignment horizontal="left" vertical="center" wrapText="1"/>
    </xf>
    <xf numFmtId="0" fontId="46" fillId="42" borderId="13" applyAlignment="1" pivotButton="0" quotePrefix="0" xfId="0">
      <alignment horizontal="left" vertical="center" wrapText="1"/>
    </xf>
    <xf numFmtId="0" fontId="45" fillId="40" borderId="13" applyAlignment="1" pivotButton="0" quotePrefix="0" xfId="0">
      <alignment horizontal="left" vertical="center" wrapText="1"/>
    </xf>
    <xf numFmtId="0" fontId="46" fillId="40" borderId="13" applyAlignment="1" pivotButton="0" quotePrefix="0" xfId="0">
      <alignment horizontal="left" vertical="center" wrapText="1"/>
    </xf>
    <xf numFmtId="0" fontId="49" fillId="45" borderId="14" applyAlignment="1" pivotButton="0" quotePrefix="0" xfId="0">
      <alignment horizontal="left" vertical="center"/>
    </xf>
    <xf numFmtId="0" fontId="50" fillId="45" borderId="14" applyAlignment="1" pivotButton="0" quotePrefix="0" xfId="0">
      <alignment horizontal="left" vertical="center"/>
    </xf>
    <xf numFmtId="0" fontId="50" fillId="45" borderId="14" applyAlignment="1" pivotButton="0" quotePrefix="0" xfId="0">
      <alignment horizontal="center" vertical="center"/>
    </xf>
    <xf numFmtId="164" fontId="50" fillId="45" borderId="14" applyAlignment="1" pivotButton="0" quotePrefix="0" xfId="0">
      <alignment horizontal="center" vertical="center"/>
    </xf>
    <xf numFmtId="0" fontId="50" fillId="46" borderId="14" applyAlignment="1" pivotButton="0" quotePrefix="0" xfId="0">
      <alignment horizontal="left" vertical="center"/>
    </xf>
    <xf numFmtId="0" fontId="49" fillId="47" borderId="14" applyAlignment="1" pivotButton="0" quotePrefix="0" xfId="0">
      <alignment horizontal="left" vertical="center"/>
    </xf>
    <xf numFmtId="0" fontId="50" fillId="47" borderId="14" applyAlignment="1" pivotButton="0" quotePrefix="0" xfId="0">
      <alignment horizontal="left" vertical="center"/>
    </xf>
    <xf numFmtId="0" fontId="50" fillId="47" borderId="14" applyAlignment="1" pivotButton="0" quotePrefix="0" xfId="0">
      <alignment horizontal="center" vertical="center"/>
    </xf>
    <xf numFmtId="164" fontId="50" fillId="47" borderId="14" applyAlignment="1" pivotButton="0" quotePrefix="0" xfId="0">
      <alignment horizontal="center" vertical="center"/>
    </xf>
    <xf numFmtId="0" fontId="49" fillId="47" borderId="14" applyAlignment="1" pivotButton="0" quotePrefix="0" xfId="0">
      <alignment horizontal="left" vertical="center" wrapText="1"/>
    </xf>
    <xf numFmtId="0" fontId="51" fillId="48" borderId="14" applyAlignment="1" pivotButton="0" quotePrefix="0" xfId="0">
      <alignment horizontal="center" vertical="center"/>
    </xf>
    <xf numFmtId="0" fontId="50" fillId="47" borderId="14" applyAlignment="1" pivotButton="0" quotePrefix="0" xfId="0">
      <alignment horizontal="left" vertical="center" wrapText="1"/>
    </xf>
    <xf numFmtId="0" fontId="49" fillId="45" borderId="14" applyAlignment="1" pivotButton="0" quotePrefix="0" xfId="0">
      <alignment horizontal="left" vertical="center" wrapText="1"/>
    </xf>
    <xf numFmtId="0" fontId="51" fillId="49" borderId="14" applyAlignment="1" pivotButton="0" quotePrefix="0" xfId="0">
      <alignment horizontal="center" vertical="center"/>
    </xf>
    <xf numFmtId="0" fontId="50" fillId="45" borderId="14" applyAlignment="1" pivotButton="0" quotePrefix="0" xfId="0">
      <alignment horizontal="left" vertical="center" wrapText="1"/>
    </xf>
    <xf numFmtId="0" fontId="53" fillId="50" borderId="15" applyAlignment="1" pivotButton="0" quotePrefix="0" xfId="0">
      <alignment horizontal="left" vertical="center" wrapText="1"/>
    </xf>
    <xf numFmtId="0" fontId="54" fillId="51" borderId="15" applyAlignment="1" pivotButton="0" quotePrefix="0" xfId="0">
      <alignment horizontal="left" vertical="center"/>
    </xf>
    <xf numFmtId="0" fontId="53" fillId="51" borderId="15" applyAlignment="1" pivotButton="0" quotePrefix="0" xfId="0">
      <alignment horizontal="left" vertical="center"/>
    </xf>
    <xf numFmtId="0" fontId="55" fillId="52" borderId="15" applyAlignment="1" pivotButton="0" quotePrefix="0" xfId="0">
      <alignment horizontal="center" vertical="center"/>
    </xf>
    <xf numFmtId="0" fontId="53" fillId="51" borderId="15" applyAlignment="1" pivotButton="0" quotePrefix="0" xfId="0">
      <alignment horizontal="center" vertical="center"/>
    </xf>
    <xf numFmtId="164" fontId="53" fillId="51" borderId="15" applyAlignment="1" pivotButton="0" quotePrefix="0" xfId="0">
      <alignment horizontal="center" vertical="center"/>
    </xf>
    <xf numFmtId="0" fontId="53" fillId="52" borderId="15" applyAlignment="1" pivotButton="0" quotePrefix="0" xfId="0">
      <alignment horizontal="left" vertical="center"/>
    </xf>
    <xf numFmtId="0" fontId="54" fillId="51" borderId="15" applyAlignment="1" pivotButton="0" quotePrefix="0" xfId="0">
      <alignment horizontal="left" vertical="center" wrapText="1"/>
    </xf>
    <xf numFmtId="0" fontId="55" fillId="53" borderId="15" applyAlignment="1" pivotButton="0" quotePrefix="0" xfId="0">
      <alignment horizontal="center" vertical="center"/>
    </xf>
    <xf numFmtId="0" fontId="53" fillId="51" borderId="15" applyAlignment="1" pivotButton="0" quotePrefix="0" xfId="0">
      <alignment horizontal="left" vertical="center" wrapText="1"/>
    </xf>
    <xf numFmtId="0" fontId="57" fillId="54" borderId="16" applyAlignment="1" pivotButton="0" quotePrefix="0" xfId="0">
      <alignment horizontal="left" vertical="center"/>
    </xf>
    <xf numFmtId="0" fontId="58" fillId="54" borderId="16" applyAlignment="1" pivotButton="0" quotePrefix="0" xfId="0">
      <alignment horizontal="left" vertical="center"/>
    </xf>
    <xf numFmtId="0" fontId="58" fillId="54" borderId="16" applyAlignment="1" pivotButton="0" quotePrefix="0" xfId="0">
      <alignment horizontal="center" vertical="center"/>
    </xf>
    <xf numFmtId="164" fontId="58" fillId="54" borderId="16" applyAlignment="1" pivotButton="0" quotePrefix="0" xfId="0">
      <alignment horizontal="center" vertical="center"/>
    </xf>
    <xf numFmtId="0" fontId="58" fillId="55" borderId="16" applyAlignment="1" pivotButton="0" quotePrefix="0" xfId="0">
      <alignment horizontal="left" vertical="center"/>
    </xf>
    <xf numFmtId="0" fontId="57" fillId="54" borderId="16" applyAlignment="1" pivotButton="0" quotePrefix="0" xfId="0">
      <alignment horizontal="left" vertical="center" wrapText="1"/>
    </xf>
    <xf numFmtId="0" fontId="59" fillId="56" borderId="16" applyAlignment="1" pivotButton="0" quotePrefix="0" xfId="0">
      <alignment horizontal="center" vertical="center"/>
    </xf>
    <xf numFmtId="0" fontId="58" fillId="54" borderId="16" applyAlignment="1" pivotButton="0" quotePrefix="0" xfId="0">
      <alignment horizontal="left" vertical="center" wrapText="1"/>
    </xf>
    <xf numFmtId="0" fontId="57" fillId="57" borderId="16" applyAlignment="1" pivotButton="0" quotePrefix="0" xfId="0">
      <alignment horizontal="left" vertical="center" wrapText="1"/>
    </xf>
    <xf numFmtId="0" fontId="58" fillId="57" borderId="16" applyAlignment="1" pivotButton="0" quotePrefix="0" xfId="0">
      <alignment horizontal="center" vertical="center"/>
    </xf>
    <xf numFmtId="0" fontId="59" fillId="58" borderId="16" applyAlignment="1" pivotButton="0" quotePrefix="0" xfId="0">
      <alignment horizontal="center" vertical="center"/>
    </xf>
    <xf numFmtId="0" fontId="58" fillId="57" borderId="16" applyAlignment="1" pivotButton="0" quotePrefix="0" xfId="0">
      <alignment horizontal="left" vertical="center" wrapText="1"/>
    </xf>
    <xf numFmtId="0" fontId="61" fillId="59" borderId="17" applyAlignment="1" pivotButton="0" quotePrefix="0" xfId="0">
      <alignment horizontal="left" vertical="center"/>
    </xf>
    <xf numFmtId="0" fontId="62" fillId="59" borderId="17" applyAlignment="1" pivotButton="0" quotePrefix="0" xfId="0">
      <alignment horizontal="left" vertical="center"/>
    </xf>
    <xf numFmtId="0" fontId="63" fillId="60" borderId="17" applyAlignment="1" pivotButton="0" quotePrefix="0" xfId="0">
      <alignment horizontal="center" vertical="center"/>
    </xf>
    <xf numFmtId="0" fontId="62" fillId="59" borderId="17" applyAlignment="1" pivotButton="0" quotePrefix="0" xfId="0">
      <alignment horizontal="center" vertical="center"/>
    </xf>
    <xf numFmtId="164" fontId="62" fillId="59" borderId="17" applyAlignment="1" pivotButton="0" quotePrefix="0" xfId="0">
      <alignment horizontal="center" vertical="center"/>
    </xf>
    <xf numFmtId="0" fontId="62" fillId="60" borderId="17" applyAlignment="1" pivotButton="0" quotePrefix="0" xfId="0">
      <alignment horizontal="left" vertical="center"/>
    </xf>
    <xf numFmtId="0" fontId="61" fillId="61" borderId="17" applyAlignment="1" pivotButton="0" quotePrefix="0" xfId="0">
      <alignment horizontal="left" vertical="center"/>
    </xf>
    <xf numFmtId="0" fontId="62" fillId="61" borderId="17" applyAlignment="1" pivotButton="0" quotePrefix="0" xfId="0">
      <alignment horizontal="left" vertical="center"/>
    </xf>
    <xf numFmtId="0" fontId="62" fillId="61" borderId="17" applyAlignment="1" pivotButton="0" quotePrefix="0" xfId="0">
      <alignment horizontal="center" vertical="center"/>
    </xf>
    <xf numFmtId="164" fontId="62" fillId="61" borderId="17" applyAlignment="1" pivotButton="0" quotePrefix="0" xfId="0">
      <alignment horizontal="center" vertical="center"/>
    </xf>
    <xf numFmtId="0" fontId="62" fillId="62" borderId="17" applyAlignment="1" pivotButton="0" quotePrefix="0" xfId="0">
      <alignment horizontal="left" vertical="center"/>
    </xf>
    <xf numFmtId="0" fontId="63" fillId="63" borderId="17" applyAlignment="1" pivotButton="0" quotePrefix="0" xfId="0">
      <alignment horizontal="center" vertical="center"/>
    </xf>
    <xf numFmtId="0" fontId="62" fillId="63" borderId="17" applyAlignment="1" pivotButton="0" quotePrefix="0" xfId="0">
      <alignment horizontal="left" vertical="center"/>
    </xf>
    <xf numFmtId="0" fontId="61" fillId="61" borderId="17" applyAlignment="1" pivotButton="0" quotePrefix="0" xfId="0">
      <alignment horizontal="left" vertical="center" wrapText="1"/>
    </xf>
    <xf numFmtId="0" fontId="62" fillId="61" borderId="17" applyAlignment="1" pivotButton="0" quotePrefix="0" xfId="0">
      <alignment horizontal="left" vertical="center" wrapText="1"/>
    </xf>
    <xf numFmtId="0" fontId="61" fillId="59" borderId="17" applyAlignment="1" pivotButton="0" quotePrefix="0" xfId="0">
      <alignment horizontal="left" vertical="center" wrapText="1"/>
    </xf>
    <xf numFmtId="0" fontId="62" fillId="59" borderId="17" applyAlignment="1" pivotButton="0" quotePrefix="0" xfId="0">
      <alignment horizontal="left" vertical="center" wrapText="1"/>
    </xf>
    <xf numFmtId="0" fontId="65" fillId="64" borderId="18" applyAlignment="1" pivotButton="0" quotePrefix="0" xfId="0">
      <alignment horizontal="left" vertical="center"/>
    </xf>
    <xf numFmtId="0" fontId="66" fillId="64" borderId="18" applyAlignment="1" pivotButton="0" quotePrefix="0" xfId="0">
      <alignment horizontal="left" vertical="center"/>
    </xf>
    <xf numFmtId="0" fontId="66" fillId="64" borderId="18" applyAlignment="1" pivotButton="0" quotePrefix="0" xfId="0">
      <alignment horizontal="center" vertical="center"/>
    </xf>
    <xf numFmtId="164" fontId="66" fillId="64" borderId="18" applyAlignment="1" pivotButton="0" quotePrefix="0" xfId="0">
      <alignment horizontal="center" vertical="center"/>
    </xf>
    <xf numFmtId="0" fontId="66" fillId="65" borderId="18" applyAlignment="1" pivotButton="0" quotePrefix="0" xfId="0">
      <alignment horizontal="left" vertical="center"/>
    </xf>
    <xf numFmtId="0" fontId="65" fillId="66" borderId="18" applyAlignment="1" pivotButton="0" quotePrefix="0" xfId="0">
      <alignment horizontal="left" vertical="center"/>
    </xf>
    <xf numFmtId="0" fontId="66" fillId="66" borderId="18" applyAlignment="1" pivotButton="0" quotePrefix="0" xfId="0">
      <alignment horizontal="left" vertical="center"/>
    </xf>
    <xf numFmtId="0" fontId="67" fillId="67" borderId="18" applyAlignment="1" pivotButton="0" quotePrefix="0" xfId="0">
      <alignment horizontal="center" vertical="center"/>
    </xf>
    <xf numFmtId="0" fontId="66" fillId="66" borderId="18" applyAlignment="1" pivotButton="0" quotePrefix="0" xfId="0">
      <alignment horizontal="center" vertical="center"/>
    </xf>
    <xf numFmtId="164" fontId="66" fillId="66" borderId="18" applyAlignment="1" pivotButton="0" quotePrefix="0" xfId="0">
      <alignment horizontal="center" vertical="center"/>
    </xf>
    <xf numFmtId="0" fontId="66" fillId="67" borderId="18" applyAlignment="1" pivotButton="0" quotePrefix="0" xfId="0">
      <alignment horizontal="left" vertical="center"/>
    </xf>
    <xf numFmtId="0" fontId="67" fillId="68" borderId="18" applyAlignment="1" pivotButton="0" quotePrefix="0" xfId="0">
      <alignment horizontal="center" vertical="center"/>
    </xf>
    <xf numFmtId="0" fontId="66" fillId="68" borderId="18" applyAlignment="1" pivotButton="0" quotePrefix="0" xfId="0">
      <alignment horizontal="left" vertical="center"/>
    </xf>
    <xf numFmtId="0" fontId="66" fillId="69" borderId="18" applyAlignment="1" pivotButton="0" quotePrefix="0" xfId="0">
      <alignment horizontal="left" vertical="center"/>
    </xf>
    <xf numFmtId="0" fontId="65" fillId="64" borderId="18" applyAlignment="1" pivotButton="0" quotePrefix="0" xfId="0">
      <alignment horizontal="left" vertical="center" wrapText="1"/>
    </xf>
    <xf numFmtId="0" fontId="66" fillId="64" borderId="18" applyAlignment="1" pivotButton="0" quotePrefix="0" xfId="0">
      <alignment horizontal="left" vertical="center" wrapText="1"/>
    </xf>
    <xf numFmtId="0" fontId="65" fillId="66" borderId="18" applyAlignment="1" pivotButton="0" quotePrefix="0" xfId="0">
      <alignment horizontal="left" vertical="center" wrapText="1"/>
    </xf>
    <xf numFmtId="0" fontId="66" fillId="66" borderId="18" applyAlignment="1" pivotButton="0" quotePrefix="0" xfId="0">
      <alignment horizontal="left" vertical="center" wrapText="1"/>
    </xf>
    <xf numFmtId="165" fontId="0" fillId="0" borderId="0" pivotButton="0" quotePrefix="0" xfId="0"/>
    <xf numFmtId="0" fontId="69" fillId="0" borderId="0" pivotButton="0" quotePrefix="0" xfId="0"/>
    <xf numFmtId="0" fontId="70" fillId="0" borderId="0" pivotButton="0" quotePrefix="0" xfId="0"/>
    <xf numFmtId="0" fontId="71" fillId="70" borderId="0" applyAlignment="1" pivotButton="0" quotePrefix="0" xfId="0">
      <alignment vertical="center" wrapText="1"/>
    </xf>
    <xf numFmtId="0" fontId="72" fillId="0" borderId="0" applyAlignment="1" pivotButton="0" quotePrefix="0" xfId="0">
      <alignment vertical="top" wrapText="1"/>
    </xf>
    <xf numFmtId="0" fontId="0" fillId="0" borderId="0" applyAlignment="1" pivotButton="0" quotePrefix="0" xfId="0">
      <alignment vertical="top" wrapText="1"/>
    </xf>
    <xf numFmtId="0" fontId="72" fillId="71" borderId="0" applyAlignment="1" pivotButton="0" quotePrefix="0" xfId="0">
      <alignment vertical="top" wrapText="1"/>
    </xf>
    <xf numFmtId="0" fontId="72" fillId="72" borderId="0" applyAlignment="1" pivotButton="0" quotePrefix="0" xfId="0">
      <alignment vertical="top" wrapText="1"/>
    </xf>
    <xf numFmtId="0" fontId="72" fillId="73" borderId="0" applyAlignment="1" pivotButton="0" quotePrefix="0" xfId="0">
      <alignment vertical="top" wrapText="1"/>
    </xf>
    <xf numFmtId="0" fontId="73" fillId="0" borderId="0" pivotButton="0" quotePrefix="0" xfId="0"/>
    <xf numFmtId="0" fontId="75" fillId="70" borderId="0" applyAlignment="1" pivotButton="0" quotePrefix="0" xfId="0">
      <alignment vertical="center"/>
    </xf>
    <xf numFmtId="0" fontId="76" fillId="69" borderId="0" applyAlignment="1" pivotButton="0" quotePrefix="0" xfId="0">
      <alignment horizontal="center" vertical="top"/>
    </xf>
    <xf numFmtId="0" fontId="76" fillId="68" borderId="0" applyAlignment="1" pivotButton="0" quotePrefix="0" xfId="0">
      <alignment horizontal="center" vertical="top"/>
    </xf>
    <xf numFmtId="0" fontId="76" fillId="67" borderId="0" applyAlignment="1" pivotButton="0" quotePrefix="0" xfId="0">
      <alignment horizontal="center" vertical="top"/>
    </xf>
    <xf numFmtId="0" fontId="76" fillId="8" borderId="0" applyAlignment="1" pivotButton="0" quotePrefix="0" xfId="0">
      <alignment horizontal="center" vertical="top"/>
    </xf>
    <xf numFmtId="0" fontId="76" fillId="74" borderId="0" applyAlignment="1" pivotButton="0" quotePrefix="0" xfId="0">
      <alignment horizontal="center" vertical="top"/>
    </xf>
    <xf numFmtId="0" fontId="76" fillId="75" borderId="0" applyAlignment="1" pivotButton="0" quotePrefix="0" xfId="0">
      <alignment horizontal="center" vertical="top"/>
    </xf>
    <xf numFmtId="0" fontId="77" fillId="0" borderId="0" pivotButton="0" quotePrefix="0" xfId="0"/>
    <xf numFmtId="0" fontId="78" fillId="65" borderId="0" applyAlignment="1" pivotButton="0" quotePrefix="0" xfId="0">
      <alignment horizontal="center" vertical="top"/>
    </xf>
    <xf numFmtId="0" fontId="78" fillId="69" borderId="0" applyAlignment="1" pivotButton="0" quotePrefix="0" xfId="0">
      <alignment horizontal="center" vertical="top"/>
    </xf>
    <xf numFmtId="0" fontId="78" fillId="67" borderId="0" applyAlignment="1" pivotButton="0" quotePrefix="0" xfId="0">
      <alignment horizontal="center" vertical="top"/>
    </xf>
    <xf numFmtId="0" fontId="79" fillId="67" borderId="0" applyAlignment="1" pivotButton="0" quotePrefix="0" xfId="0">
      <alignment horizontal="center" vertical="top"/>
    </xf>
    <xf numFmtId="0" fontId="79" fillId="65"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8" borderId="0" applyAlignment="1" pivotButton="0" quotePrefix="0" xfId="0">
      <alignment horizontal="center" vertical="top"/>
    </xf>
    <xf numFmtId="0" fontId="82" fillId="65" borderId="0" applyAlignment="1" pivotButton="0" quotePrefix="0" xfId="0">
      <alignment horizontal="center" vertical="top"/>
    </xf>
    <xf numFmtId="0" fontId="83" fillId="65" borderId="0" applyAlignment="1" pivotButton="0" quotePrefix="0" xfId="0">
      <alignment horizontal="center" vertical="top"/>
    </xf>
    <xf numFmtId="0" fontId="84"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4"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4"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4" fillId="65" borderId="9" applyAlignment="1" pivotButton="0" quotePrefix="0" xfId="0">
      <alignment horizontal="center" vertical="top"/>
    </xf>
    <xf numFmtId="0" fontId="33" fillId="25" borderId="9" applyAlignment="1" pivotButton="0" quotePrefix="0" xfId="0">
      <alignment vertical="top" wrapText="1"/>
    </xf>
    <xf numFmtId="0" fontId="84"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4"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4" fillId="65" borderId="12" applyAlignment="1" pivotButton="0" quotePrefix="0" xfId="0">
      <alignment horizontal="center" vertical="top"/>
    </xf>
    <xf numFmtId="0" fontId="44" fillId="36" borderId="12" applyAlignment="1" pivotButton="0" quotePrefix="0" xfId="0">
      <alignment vertical="top" wrapText="1"/>
    </xf>
    <xf numFmtId="0" fontId="44" fillId="38" borderId="12" applyAlignment="1" pivotButton="0" quotePrefix="0" xfId="0">
      <alignment vertical="top" wrapText="1"/>
    </xf>
    <xf numFmtId="0" fontId="48" fillId="40" borderId="13" applyAlignment="1" pivotButton="0" quotePrefix="0" xfId="0">
      <alignment vertical="top" wrapText="1"/>
    </xf>
    <xf numFmtId="0" fontId="84" fillId="65" borderId="13" applyAlignment="1" pivotButton="0" quotePrefix="0" xfId="0">
      <alignment horizontal="center" vertical="top"/>
    </xf>
    <xf numFmtId="0" fontId="48" fillId="42" borderId="13" applyAlignment="1" pivotButton="0" quotePrefix="0" xfId="0">
      <alignment vertical="top" wrapText="1"/>
    </xf>
    <xf numFmtId="0" fontId="84" fillId="65" borderId="14" applyAlignment="1" pivotButton="0" quotePrefix="0" xfId="0">
      <alignment horizontal="center" vertical="top"/>
    </xf>
    <xf numFmtId="0" fontId="52" fillId="45" borderId="14" applyAlignment="1" pivotButton="0" quotePrefix="0" xfId="0">
      <alignment vertical="top" wrapText="1"/>
    </xf>
    <xf numFmtId="0" fontId="52" fillId="47" borderId="14" applyAlignment="1" pivotButton="0" quotePrefix="0" xfId="0">
      <alignment vertical="top" wrapText="1"/>
    </xf>
    <xf numFmtId="0" fontId="56" fillId="51" borderId="15" applyAlignment="1" pivotButton="0" quotePrefix="0" xfId="0">
      <alignment vertical="top" wrapText="1"/>
    </xf>
    <xf numFmtId="0" fontId="84" fillId="65" borderId="16" applyAlignment="1" pivotButton="0" quotePrefix="0" xfId="0">
      <alignment horizontal="center" vertical="top"/>
    </xf>
    <xf numFmtId="0" fontId="60" fillId="54" borderId="16" applyAlignment="1" pivotButton="0" quotePrefix="0" xfId="0">
      <alignment vertical="top" wrapText="1"/>
    </xf>
    <xf numFmtId="0" fontId="64" fillId="59" borderId="17" applyAlignment="1" pivotButton="0" quotePrefix="0" xfId="0">
      <alignment vertical="top" wrapText="1"/>
    </xf>
    <xf numFmtId="0" fontId="84" fillId="65" borderId="17" applyAlignment="1" pivotButton="0" quotePrefix="0" xfId="0">
      <alignment horizontal="center" vertical="top"/>
    </xf>
    <xf numFmtId="0" fontId="64" fillId="61" borderId="17" applyAlignment="1" pivotButton="0" quotePrefix="0" xfId="0">
      <alignment vertical="top" wrapText="1"/>
    </xf>
    <xf numFmtId="0" fontId="84" fillId="65" borderId="18" applyAlignment="1" pivotButton="0" quotePrefix="0" xfId="0">
      <alignment horizontal="center" vertical="top"/>
    </xf>
    <xf numFmtId="0" fontId="68" fillId="64" borderId="18" applyAlignment="1" pivotButton="0" quotePrefix="0" xfId="0">
      <alignment vertical="top" wrapText="1"/>
    </xf>
    <xf numFmtId="0" fontId="68" fillId="66" borderId="18" applyAlignment="1" pivotButton="0" quotePrefix="0" xfId="0">
      <alignment vertical="top" wrapText="1"/>
    </xf>
    <xf numFmtId="0" fontId="84" fillId="65" borderId="0" applyAlignment="1" pivotButton="0" quotePrefix="0" xfId="0">
      <alignment horizontal="center" vertical="top"/>
    </xf>
    <xf numFmtId="0" fontId="85" fillId="0" borderId="0" pivotButton="0" quotePrefix="0" xfId="0"/>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3" fillId="3" borderId="0" applyAlignment="1" pivotButton="0" quotePrefix="0" xfId="0">
      <alignment horizontal="left" vertical="center" indent="1"/>
    </xf>
    <xf numFmtId="0" fontId="0" fillId="0" borderId="0" applyAlignment="1" pivotButton="0" quotePrefix="0" xfId="0">
      <alignment wrapText="1"/>
    </xf>
    <xf numFmtId="0" fontId="86" fillId="65" borderId="0" applyAlignment="1" pivotButton="0" quotePrefix="0" xfId="0">
      <alignment horizontal="center" vertical="top"/>
    </xf>
    <xf numFmtId="0" fontId="87" fillId="65" borderId="0" applyAlignment="1" pivotButton="0" quotePrefix="0" xfId="0">
      <alignment horizontal="center" vertical="top"/>
    </xf>
    <xf numFmtId="0" fontId="88" fillId="65" borderId="0" applyAlignment="1" pivotButton="0" quotePrefix="0" xfId="0">
      <alignment horizontal="center" vertical="top"/>
    </xf>
    <xf numFmtId="0" fontId="89" fillId="65" borderId="0" applyAlignment="1" pivotButton="0" quotePrefix="0" xfId="0">
      <alignment horizontal="center" vertical="top"/>
    </xf>
    <xf numFmtId="0" fontId="11" fillId="2" borderId="18" applyAlignment="1" pivotButton="0" quotePrefix="0" xfId="0">
      <alignment horizontal="left" vertical="center"/>
    </xf>
    <xf numFmtId="0" fontId="0" fillId="0" borderId="2" pivotButton="0" quotePrefix="0" xfId="0"/>
    <xf numFmtId="0" fontId="0" fillId="0" borderId="3" pivotButton="0" quotePrefix="0" xfId="0"/>
    <xf numFmtId="0" fontId="2" fillId="3" borderId="18" applyAlignment="1" pivotButton="0" quotePrefix="0" xfId="0">
      <alignment horizontal="left" vertical="center"/>
    </xf>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74" fillId="0" borderId="0" applyAlignment="1" pivotButton="0" quotePrefix="0" xfId="0">
      <alignment vertical="top" wrapText="1"/>
    </xf>
    <xf numFmtId="0" fontId="70"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69"/>
  <sheetViews>
    <sheetView workbookViewId="0">
      <pane xSplit="7" ySplit="4" topLeftCell="H199" activePane="bottomRight" state="frozen"/>
      <selection pane="topRight" activeCell="A1" sqref="A1"/>
      <selection pane="bottomLeft" activeCell="A1" sqref="A1"/>
      <selection pane="bottomRight" activeCell="I154" sqref="I154"/>
    </sheetView>
  </sheetViews>
  <sheetFormatPr baseColWidth="8" defaultRowHeight="14.4"/>
  <cols>
    <col width="20" customWidth="1" style="291" min="1" max="1"/>
    <col width="44" customWidth="1" style="291" min="2" max="2"/>
    <col width="12" customWidth="1" style="291" min="3" max="3"/>
    <col width="10" customWidth="1" style="291" min="4" max="4"/>
    <col width="9" customWidth="1" style="291" min="5" max="6"/>
    <col width="56.3671875" bestFit="1" customWidth="1" style="291" min="7" max="7"/>
    <col width="5.41796875" customWidth="1" style="291" min="8" max="17"/>
    <col hidden="1" width="13" customWidth="1" style="291" min="18" max="18"/>
  </cols>
  <sheetData>
    <row r="1" ht="30" customHeight="1" s="291">
      <c r="A1" s="286" t="inlineStr">
        <is>
          <t>SportIQ — Delivery Board &amp; Roadmap</t>
        </is>
      </c>
      <c r="B1" s="283" t="n"/>
      <c r="C1" s="283" t="n"/>
      <c r="D1" s="283" t="n"/>
      <c r="E1" s="283" t="n"/>
      <c r="F1" s="283" t="n"/>
      <c r="G1" s="283" t="n"/>
      <c r="H1" s="283" t="n"/>
      <c r="I1" s="283" t="n"/>
      <c r="J1" s="283" t="n"/>
      <c r="K1" s="283" t="n"/>
      <c r="L1" s="283" t="n"/>
      <c r="M1" s="283" t="n"/>
      <c r="N1" s="283" t="n"/>
      <c r="O1" s="283" t="n"/>
      <c r="P1" s="283" t="n"/>
      <c r="Q1" s="284" t="n"/>
    </row>
    <row r="2" ht="18" customHeight="1" s="291">
      <c r="A2" s="285" t="inlineStr">
        <is>
          <t>Delivered dates are REAL (git history, first commit 2026-07-28). Dates from 2026-08-05 onward are PROPOSED. Updated 2026-08-04.</t>
        </is>
      </c>
      <c r="B2" s="283" t="n"/>
      <c r="C2" s="283" t="n"/>
      <c r="D2" s="283" t="n"/>
      <c r="E2" s="283" t="n"/>
      <c r="F2" s="283" t="n"/>
      <c r="G2" s="283" t="n"/>
      <c r="H2" s="283" t="n"/>
      <c r="I2" s="283" t="n"/>
      <c r="J2" s="283" t="n"/>
      <c r="K2" s="283" t="n"/>
      <c r="L2" s="283" t="n"/>
      <c r="M2" s="283" t="n"/>
      <c r="N2" s="283" t="n"/>
      <c r="O2" s="283" t="n"/>
      <c r="P2" s="283" t="n"/>
      <c r="Q2" s="284"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7" t="inlineStr">
        <is>
          <t>Done</t>
        </is>
      </c>
      <c r="D5" s="6" t="inlineStr">
        <is>
          <t>Platform</t>
        </is>
      </c>
      <c r="E5" s="7" t="n">
        <v>46231</v>
      </c>
      <c r="F5" s="7" t="n">
        <v>46231</v>
      </c>
      <c r="G5" s="238" t="inlineStr">
        <is>
          <t>First commit</t>
        </is>
      </c>
      <c r="H5" s="8" t="n"/>
      <c r="I5" s="9" t="n"/>
      <c r="J5" s="9" t="n"/>
      <c r="K5" s="9" t="n"/>
      <c r="L5" s="9" t="n"/>
      <c r="M5" s="9" t="n"/>
      <c r="N5" s="9" t="n"/>
      <c r="O5" s="9" t="n"/>
      <c r="P5" s="9" t="n"/>
      <c r="Q5" s="9" t="n"/>
      <c r="R5">
        <f>$A5</f>
        <v/>
      </c>
    </row>
    <row r="6">
      <c r="A6" s="10" t="n"/>
      <c r="B6" s="10" t="inlineStr">
        <is>
          <t>FastAPI scaffold, TDD §2.1 schema, Alembic</t>
        </is>
      </c>
      <c r="C6" s="237" t="inlineStr">
        <is>
          <t>Done</t>
        </is>
      </c>
      <c r="D6" s="11" t="inlineStr">
        <is>
          <t>Platform</t>
        </is>
      </c>
      <c r="E6" s="12" t="n">
        <v>46231</v>
      </c>
      <c r="F6" s="12" t="n">
        <v>46232</v>
      </c>
      <c r="G6" s="239"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7" t="inlineStr">
        <is>
          <t>Done</t>
        </is>
      </c>
      <c r="D7" s="6" t="inlineStr">
        <is>
          <t>Platform</t>
        </is>
      </c>
      <c r="E7" s="7" t="n">
        <v>46231</v>
      </c>
      <c r="F7" s="7" t="n">
        <v>46231</v>
      </c>
      <c r="G7" s="238" t="inlineStr">
        <is>
          <t>Local dev only</t>
        </is>
      </c>
      <c r="H7" s="8" t="n"/>
      <c r="I7" s="9" t="n"/>
      <c r="J7" s="9" t="n"/>
      <c r="K7" s="9" t="n"/>
      <c r="L7" s="9" t="n"/>
      <c r="M7" s="9" t="n"/>
      <c r="N7" s="9" t="n"/>
      <c r="O7" s="9" t="n"/>
      <c r="P7" s="9" t="n"/>
      <c r="Q7" s="9" t="n"/>
      <c r="R7">
        <f>IF($A7&lt;&gt;"",$A7,R6)</f>
        <v/>
      </c>
    </row>
    <row r="8">
      <c r="A8" s="10" t="n"/>
      <c r="B8" s="10" t="inlineStr">
        <is>
          <t>CI: pytest, ruff, black, tsc</t>
        </is>
      </c>
      <c r="C8" s="237" t="inlineStr">
        <is>
          <t>Done</t>
        </is>
      </c>
      <c r="D8" s="11" t="inlineStr">
        <is>
          <t>Platform</t>
        </is>
      </c>
      <c r="E8" s="12" t="n">
        <v>46233</v>
      </c>
      <c r="F8" s="12" t="n">
        <v>46233</v>
      </c>
      <c r="G8" s="239"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7" t="inlineStr">
        <is>
          <t>Done</t>
        </is>
      </c>
      <c r="D9" s="6" t="inlineStr">
        <is>
          <t>Data</t>
        </is>
      </c>
      <c r="E9" s="7" t="n">
        <v>46231</v>
      </c>
      <c r="F9" s="7" t="n">
        <v>46231</v>
      </c>
      <c r="G9" s="238" t="inlineStr">
        <is>
          <t>First real adapter</t>
        </is>
      </c>
      <c r="H9" s="8" t="n"/>
      <c r="I9" s="9" t="n"/>
      <c r="J9" s="9" t="n"/>
      <c r="K9" s="9" t="n"/>
      <c r="L9" s="9" t="n"/>
      <c r="M9" s="9" t="n"/>
      <c r="N9" s="9" t="n"/>
      <c r="O9" s="9" t="n"/>
      <c r="P9" s="9" t="n"/>
      <c r="Q9" s="9" t="n"/>
      <c r="R9">
        <f>IF($A9&lt;&gt;"",$A9,R8)</f>
        <v/>
      </c>
    </row>
    <row r="10">
      <c r="A10" s="10" t="n"/>
      <c r="B10" s="10" t="inlineStr">
        <is>
          <t>TheRundown adapter (odds)</t>
        </is>
      </c>
      <c r="C10" s="237" t="inlineStr">
        <is>
          <t>Done</t>
        </is>
      </c>
      <c r="D10" s="11" t="inlineStr">
        <is>
          <t>Data</t>
        </is>
      </c>
      <c r="E10" s="12" t="n">
        <v>46232</v>
      </c>
      <c r="F10" s="12" t="n">
        <v>46232</v>
      </c>
      <c r="G10" s="239"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7" t="inlineStr">
        <is>
          <t>Done</t>
        </is>
      </c>
      <c r="D11" s="6" t="inlineStr">
        <is>
          <t>Data</t>
        </is>
      </c>
      <c r="E11" s="7" t="n">
        <v>46232</v>
      </c>
      <c r="F11" s="7" t="n">
        <v>46233</v>
      </c>
      <c r="G11" s="238"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7" t="inlineStr">
        <is>
          <t>Done</t>
        </is>
      </c>
      <c r="D12" s="11" t="inlineStr">
        <is>
          <t>Data</t>
        </is>
      </c>
      <c r="E12" s="12" t="n">
        <v>46233</v>
      </c>
      <c r="F12" s="12" t="n">
        <v>46234</v>
      </c>
      <c r="G12" s="239"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7" t="inlineStr">
        <is>
          <t>Done</t>
        </is>
      </c>
      <c r="D13" s="6" t="inlineStr">
        <is>
          <t>Data</t>
        </is>
      </c>
      <c r="E13" s="7" t="n">
        <v>46236</v>
      </c>
      <c r="F13" s="7" t="n">
        <v>46237</v>
      </c>
      <c r="G13" s="238"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7" t="inlineStr">
        <is>
          <t>Done</t>
        </is>
      </c>
      <c r="D14" s="11" t="inlineStr">
        <is>
          <t>ML</t>
        </is>
      </c>
      <c r="E14" s="12" t="n">
        <v>46231</v>
      </c>
      <c r="F14" s="12" t="n">
        <v>46232</v>
      </c>
      <c r="G14" s="239"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7" t="inlineStr">
        <is>
          <t>Done</t>
        </is>
      </c>
      <c r="D15" s="6" t="inlineStr">
        <is>
          <t>ML</t>
        </is>
      </c>
      <c r="E15" s="7" t="n">
        <v>46232</v>
      </c>
      <c r="F15" s="7" t="n">
        <v>46232</v>
      </c>
      <c r="G15" s="238"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7" t="inlineStr">
        <is>
          <t>Done</t>
        </is>
      </c>
      <c r="D16" s="11" t="inlineStr">
        <is>
          <t>ML</t>
        </is>
      </c>
      <c r="E16" s="12" t="n">
        <v>46232</v>
      </c>
      <c r="F16" s="12" t="n">
        <v>46233</v>
      </c>
      <c r="G16" s="239"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7" t="inlineStr">
        <is>
          <t>Done</t>
        </is>
      </c>
      <c r="D17" s="6" t="inlineStr">
        <is>
          <t>ML</t>
        </is>
      </c>
      <c r="E17" s="7" t="n">
        <v>46232</v>
      </c>
      <c r="F17" s="7" t="n">
        <v>46233</v>
      </c>
      <c r="G17" s="238"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7" t="inlineStr">
        <is>
          <t>Done</t>
        </is>
      </c>
      <c r="D18" s="11" t="inlineStr">
        <is>
          <t>ML</t>
        </is>
      </c>
      <c r="E18" s="12" t="n">
        <v>46233</v>
      </c>
      <c r="F18" s="12" t="n">
        <v>46233</v>
      </c>
      <c r="G18" s="239"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7" t="inlineStr">
        <is>
          <t>Done</t>
        </is>
      </c>
      <c r="D19" s="6" t="inlineStr">
        <is>
          <t>ML</t>
        </is>
      </c>
      <c r="E19" s="7" t="n">
        <v>46233</v>
      </c>
      <c r="F19" s="7" t="n">
        <v>46233</v>
      </c>
      <c r="G19" s="238"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7" t="inlineStr">
        <is>
          <t>Done</t>
        </is>
      </c>
      <c r="D20" s="11" t="inlineStr">
        <is>
          <t>ML</t>
        </is>
      </c>
      <c r="E20" s="12" t="n">
        <v>46236</v>
      </c>
      <c r="F20" s="12" t="n">
        <v>46236</v>
      </c>
      <c r="G20" s="239"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7" t="inlineStr">
        <is>
          <t>Done</t>
        </is>
      </c>
      <c r="D21" s="6" t="inlineStr">
        <is>
          <t>ML</t>
        </is>
      </c>
      <c r="E21" s="7" t="n">
        <v>46234</v>
      </c>
      <c r="F21" s="7" t="n">
        <v>46234</v>
      </c>
      <c r="G21" s="238"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7" t="inlineStr">
        <is>
          <t>Done</t>
        </is>
      </c>
      <c r="D22" s="11" t="inlineStr">
        <is>
          <t>ML</t>
        </is>
      </c>
      <c r="E22" s="12" t="n">
        <v>46235</v>
      </c>
      <c r="F22" s="12" t="n">
        <v>46235</v>
      </c>
      <c r="G22" s="239"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7" t="inlineStr">
        <is>
          <t>Done</t>
        </is>
      </c>
      <c r="D23" s="6" t="inlineStr">
        <is>
          <t>ML</t>
        </is>
      </c>
      <c r="E23" s="7" t="n">
        <v>46235</v>
      </c>
      <c r="F23" s="7" t="n">
        <v>46235</v>
      </c>
      <c r="G23" s="238"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7" t="inlineStr">
        <is>
          <t>Done</t>
        </is>
      </c>
      <c r="D24" s="11" t="inlineStr">
        <is>
          <t>ML</t>
        </is>
      </c>
      <c r="E24" s="12" t="n">
        <v>46235</v>
      </c>
      <c r="F24" s="12" t="n">
        <v>46235</v>
      </c>
      <c r="G24" s="239"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7" t="inlineStr">
        <is>
          <t>Done</t>
        </is>
      </c>
      <c r="D25" s="6" t="inlineStr">
        <is>
          <t>ML</t>
        </is>
      </c>
      <c r="E25" s="7" t="n">
        <v>46236</v>
      </c>
      <c r="F25" s="7" t="n">
        <v>46236</v>
      </c>
      <c r="G25" s="238"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7" t="inlineStr">
        <is>
          <t>Done</t>
        </is>
      </c>
      <c r="D26" s="11" t="inlineStr">
        <is>
          <t>Data</t>
        </is>
      </c>
      <c r="E26" s="12" t="n">
        <v>46237</v>
      </c>
      <c r="F26" s="12" t="n">
        <v>46237</v>
      </c>
      <c r="G26" s="239"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7" t="inlineStr">
        <is>
          <t>Done</t>
        </is>
      </c>
      <c r="D27" s="6" t="inlineStr">
        <is>
          <t>Backend</t>
        </is>
      </c>
      <c r="E27" s="7" t="n">
        <v>46232</v>
      </c>
      <c r="F27" s="7" t="n">
        <v>46233</v>
      </c>
      <c r="G27" s="238"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7" t="inlineStr">
        <is>
          <t>Done</t>
        </is>
      </c>
      <c r="D28" s="11" t="inlineStr">
        <is>
          <t>Backend</t>
        </is>
      </c>
      <c r="E28" s="12" t="n">
        <v>46234</v>
      </c>
      <c r="F28" s="12" t="n">
        <v>46235</v>
      </c>
      <c r="G28" s="239"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7" t="inlineStr">
        <is>
          <t>Done</t>
        </is>
      </c>
      <c r="D29" s="6" t="inlineStr">
        <is>
          <t>Backend</t>
        </is>
      </c>
      <c r="E29" s="7" t="n">
        <v>46236</v>
      </c>
      <c r="F29" s="7" t="n">
        <v>46236</v>
      </c>
      <c r="G29" s="238"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7" t="inlineStr">
        <is>
          <t>Done</t>
        </is>
      </c>
      <c r="D30" s="11" t="inlineStr">
        <is>
          <t>Backend</t>
        </is>
      </c>
      <c r="E30" s="12" t="n">
        <v>46236</v>
      </c>
      <c r="F30" s="12" t="n">
        <v>46236</v>
      </c>
      <c r="G30" s="239"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7" t="inlineStr">
        <is>
          <t>Done</t>
        </is>
      </c>
      <c r="D31" s="6" t="inlineStr">
        <is>
          <t>Mobile</t>
        </is>
      </c>
      <c r="E31" s="7" t="n">
        <v>46233</v>
      </c>
      <c r="F31" s="7" t="n">
        <v>46234</v>
      </c>
      <c r="G31" s="238"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7" t="inlineStr">
        <is>
          <t>Done</t>
        </is>
      </c>
      <c r="D32" s="11" t="inlineStr">
        <is>
          <t>Mobile</t>
        </is>
      </c>
      <c r="E32" s="12" t="n">
        <v>46234</v>
      </c>
      <c r="F32" s="12" t="n">
        <v>46234</v>
      </c>
      <c r="G32" s="239"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7" t="inlineStr">
        <is>
          <t>Done</t>
        </is>
      </c>
      <c r="D33" s="6" t="inlineStr">
        <is>
          <t>Mobile</t>
        </is>
      </c>
      <c r="E33" s="7" t="n">
        <v>46235</v>
      </c>
      <c r="F33" s="7" t="n">
        <v>46236</v>
      </c>
      <c r="G33" s="238"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7" t="inlineStr">
        <is>
          <t>Done</t>
        </is>
      </c>
      <c r="D34" s="11" t="inlineStr">
        <is>
          <t>Mobile</t>
        </is>
      </c>
      <c r="E34" s="12" t="n">
        <v>46237</v>
      </c>
      <c r="F34" s="12" t="n">
        <v>46237</v>
      </c>
      <c r="G34" s="239"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7" t="inlineStr">
        <is>
          <t>Done</t>
        </is>
      </c>
      <c r="D35" s="6" t="inlineStr">
        <is>
          <t>Mobile</t>
        </is>
      </c>
      <c r="E35" s="7" t="n">
        <v>46237</v>
      </c>
      <c r="F35" s="7" t="n">
        <v>46237</v>
      </c>
      <c r="G35" s="238"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7" t="inlineStr">
        <is>
          <t>Done</t>
        </is>
      </c>
      <c r="D36" s="11" t="inlineStr">
        <is>
          <t>Mobile</t>
        </is>
      </c>
      <c r="E36" s="12" t="n">
        <v>46238</v>
      </c>
      <c r="F36" s="12" t="n">
        <v>46238</v>
      </c>
      <c r="G36" s="239"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7" t="inlineStr">
        <is>
          <t>Done</t>
        </is>
      </c>
      <c r="D37" s="6" t="inlineStr">
        <is>
          <t>Mobile</t>
        </is>
      </c>
      <c r="E37" s="7" t="n">
        <v>46238</v>
      </c>
      <c r="F37" s="7" t="n">
        <v>46238</v>
      </c>
      <c r="G37" s="238"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7" t="inlineStr">
        <is>
          <t>Done</t>
        </is>
      </c>
      <c r="D38" s="11" t="inlineStr">
        <is>
          <t>ML</t>
        </is>
      </c>
      <c r="E38" s="12" t="n">
        <v>46236</v>
      </c>
      <c r="F38" s="12" t="n">
        <v>46236</v>
      </c>
      <c r="G38" s="239"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7" t="inlineStr">
        <is>
          <t>Done</t>
        </is>
      </c>
      <c r="D39" s="6" t="inlineStr">
        <is>
          <t>ML</t>
        </is>
      </c>
      <c r="E39" s="7" t="n">
        <v>46236</v>
      </c>
      <c r="F39" s="7" t="n">
        <v>46236</v>
      </c>
      <c r="G39" s="238"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7" t="inlineStr">
        <is>
          <t>Done</t>
        </is>
      </c>
      <c r="D40" s="11" t="inlineStr">
        <is>
          <t>ML</t>
        </is>
      </c>
      <c r="E40" s="12" t="n">
        <v>46237</v>
      </c>
      <c r="F40" s="12" t="n">
        <v>46237</v>
      </c>
      <c r="G40" s="239"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7" t="inlineStr">
        <is>
          <t>Done</t>
        </is>
      </c>
      <c r="D41" s="6" t="inlineStr">
        <is>
          <t>ML</t>
        </is>
      </c>
      <c r="E41" s="7" t="n">
        <v>46237</v>
      </c>
      <c r="F41" s="7" t="n">
        <v>46238</v>
      </c>
      <c r="G41" s="238"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7" t="inlineStr">
        <is>
          <t>Done</t>
        </is>
      </c>
      <c r="D42" s="11" t="inlineStr">
        <is>
          <t>ML</t>
        </is>
      </c>
      <c r="E42" s="12" t="n">
        <v>46238</v>
      </c>
      <c r="F42" s="12" t="n">
        <v>46239</v>
      </c>
      <c r="G42" s="239"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7" t="inlineStr">
        <is>
          <t>Done</t>
        </is>
      </c>
      <c r="D43" s="6" t="inlineStr">
        <is>
          <t>ML</t>
        </is>
      </c>
      <c r="E43" s="7" t="n">
        <v>46239</v>
      </c>
      <c r="F43" s="7" t="n">
        <v>46241</v>
      </c>
      <c r="G43" s="238"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7" t="inlineStr">
        <is>
          <t>Done</t>
        </is>
      </c>
      <c r="D44" s="11" t="inlineStr">
        <is>
          <t>ML</t>
        </is>
      </c>
      <c r="E44" s="12" t="n">
        <v>46240</v>
      </c>
      <c r="F44" s="12" t="n">
        <v>46243</v>
      </c>
      <c r="G44" s="239"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7" t="inlineStr">
        <is>
          <t>Done</t>
        </is>
      </c>
      <c r="D45" s="6" t="inlineStr">
        <is>
          <t>ML</t>
        </is>
      </c>
      <c r="E45" s="7" t="n">
        <v>46241</v>
      </c>
      <c r="F45" s="7" t="n">
        <v>46244</v>
      </c>
      <c r="G45" s="238"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7" t="inlineStr">
        <is>
          <t>Done</t>
        </is>
      </c>
      <c r="D46" s="11" t="inlineStr">
        <is>
          <t>ML</t>
        </is>
      </c>
      <c r="E46" s="12" t="n">
        <v>46244</v>
      </c>
      <c r="F46" s="12" t="n">
        <v>46244</v>
      </c>
      <c r="G46" s="239"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7" t="inlineStr">
        <is>
          <t>Done</t>
        </is>
      </c>
      <c r="D47" s="6" t="inlineStr">
        <is>
          <t>ML</t>
        </is>
      </c>
      <c r="E47" s="7" t="n">
        <v>46237</v>
      </c>
      <c r="F47" s="7" t="n">
        <v>46238</v>
      </c>
      <c r="G47" s="238"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7" t="inlineStr">
        <is>
          <t>Done</t>
        </is>
      </c>
      <c r="D48" s="11" t="inlineStr">
        <is>
          <t>ML</t>
        </is>
      </c>
      <c r="E48" s="12" t="n">
        <v>46238</v>
      </c>
      <c r="F48" s="12" t="n">
        <v>46238</v>
      </c>
      <c r="G48" s="239"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7" t="inlineStr">
        <is>
          <t>Done</t>
        </is>
      </c>
      <c r="D49" s="6" t="inlineStr">
        <is>
          <t>ML</t>
        </is>
      </c>
      <c r="E49" s="7" t="n">
        <v>46238</v>
      </c>
      <c r="F49" s="7" t="n">
        <v>46238</v>
      </c>
      <c r="G49" s="238"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7" t="inlineStr">
        <is>
          <t>Done</t>
        </is>
      </c>
      <c r="D50" s="11" t="inlineStr">
        <is>
          <t>ML</t>
        </is>
      </c>
      <c r="E50" s="12" t="n">
        <v>46238</v>
      </c>
      <c r="F50" s="12" t="n">
        <v>46238</v>
      </c>
      <c r="G50" s="239"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8" t="inlineStr">
        <is>
          <t>ACTION (DEV): Last untried O/U lever; data already collected</t>
        </is>
      </c>
      <c r="H51" s="9" t="n"/>
      <c r="I51" s="18" t="n"/>
      <c r="J51" s="9" t="n"/>
      <c r="K51" s="9" t="n"/>
      <c r="L51" s="9" t="n"/>
      <c r="M51" s="9" t="n"/>
      <c r="N51" s="9" t="n"/>
      <c r="O51" s="9" t="n"/>
      <c r="P51" s="9" t="n"/>
      <c r="Q51" s="9" t="n"/>
      <c r="R51">
        <f>IF($A51&lt;&gt;"",$A51,R50)</f>
        <v/>
      </c>
    </row>
    <row r="52" ht="21" customHeight="1" s="291">
      <c r="A52" s="14" t="inlineStr">
        <is>
          <t>E9 Data Ops</t>
        </is>
      </c>
      <c r="B52" s="10" t="inlineStr">
        <is>
          <t>TheRundown Pro upgrade</t>
        </is>
      </c>
      <c r="C52" s="237" t="inlineStr">
        <is>
          <t>Done</t>
        </is>
      </c>
      <c r="D52" s="11" t="inlineStr">
        <is>
          <t>Data</t>
        </is>
      </c>
      <c r="E52" s="12" t="n">
        <v>46244</v>
      </c>
      <c r="F52" s="12" t="n">
        <v>46245</v>
      </c>
      <c r="G52" s="239"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8" t="inlineStr">
        <is>
          <t>ACTION (DEV): 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7" t="inlineStr">
        <is>
          <t>Done</t>
        </is>
      </c>
      <c r="D54" s="11" t="inlineStr">
        <is>
          <t>Data</t>
        </is>
      </c>
      <c r="E54" s="12" t="n">
        <v>46255</v>
      </c>
      <c r="F54" s="12" t="n">
        <v>46255</v>
      </c>
      <c r="G54" s="239"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8" t="inlineStr">
        <is>
          <t>WAITING: 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39" t="inlineStr">
        <is>
          <t>WAITING: Auto-renews</t>
        </is>
      </c>
      <c r="H56" s="13" t="n"/>
      <c r="I56" s="13" t="n"/>
      <c r="J56" s="13" t="n"/>
      <c r="K56" s="13" t="n"/>
      <c r="L56" s="20" t="inlineStr">
        <is>
          <t>◆</t>
        </is>
      </c>
      <c r="M56" s="13" t="n"/>
      <c r="N56" s="13" t="n"/>
      <c r="O56" s="13" t="n"/>
      <c r="P56" s="13" t="n"/>
      <c r="Q56" s="13" t="n"/>
      <c r="R56">
        <f>IF($A56&lt;&gt;"",$A56,R55)</f>
        <v/>
      </c>
    </row>
    <row r="57" ht="21" customHeight="1" s="291">
      <c r="A57" s="4" t="n"/>
      <c r="B57" s="4" t="inlineStr">
        <is>
          <t>Fix 9 tennis DRAW outcomes</t>
        </is>
      </c>
      <c r="C57" s="237" t="inlineStr">
        <is>
          <t>Done</t>
        </is>
      </c>
      <c r="D57" s="6" t="inlineStr">
        <is>
          <t>Backend</t>
        </is>
      </c>
      <c r="E57" s="7" t="n">
        <v>46238</v>
      </c>
      <c r="F57" s="7" t="n">
        <v>46238</v>
      </c>
      <c r="G57" s="238" t="inlineStr">
        <is>
          <t>CLOSED 13 Aug: 0 DRAW outcomes remain for tennis (queried). SPORTS_WITHOUT_DRAWS now refuses to settle a tied tennis score, so they cannot come back.</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39" t="inlineStr">
        <is>
          <t>ACTION (YOU): Needs tour subscription</t>
        </is>
      </c>
      <c r="H58" s="13" t="n"/>
      <c r="I58" s="13" t="n"/>
      <c r="J58" s="22" t="n"/>
      <c r="K58" s="13" t="n"/>
      <c r="L58" s="13" t="n"/>
      <c r="M58" s="13" t="n"/>
      <c r="N58" s="13" t="n"/>
      <c r="O58" s="13" t="n"/>
      <c r="P58" s="13" t="n"/>
      <c r="Q58" s="13" t="n"/>
      <c r="R58">
        <f>IF($A58&lt;&gt;"",$A58,R57)</f>
        <v/>
      </c>
    </row>
    <row r="59" ht="21" customHeight="1" s="291">
      <c r="A59" s="4" t="n"/>
      <c r="B59" s="4" t="inlineStr">
        <is>
          <t>Tennis odds (fast-follow)</t>
        </is>
      </c>
      <c r="C59" s="237" t="inlineStr">
        <is>
          <t>Done</t>
        </is>
      </c>
      <c r="D59" s="6" t="inlineStr">
        <is>
          <t>Data</t>
        </is>
      </c>
      <c r="E59" s="7" t="n">
        <v>46249</v>
      </c>
      <c r="F59" s="7" t="n">
        <v>46252</v>
      </c>
      <c r="G59" s="238"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7" t="inlineStr">
        <is>
          <t>Done</t>
        </is>
      </c>
      <c r="D60" s="11" t="inlineStr">
        <is>
          <t>Data</t>
        </is>
      </c>
      <c r="E60" s="12" t="n">
        <v>46237</v>
      </c>
      <c r="F60" s="12" t="n">
        <v>46238</v>
      </c>
      <c r="G60" s="239"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7" t="inlineStr">
        <is>
          <t>Done</t>
        </is>
      </c>
      <c r="D61" s="6" t="inlineStr">
        <is>
          <t>Backend</t>
        </is>
      </c>
      <c r="E61" s="7" t="n">
        <v>46237</v>
      </c>
      <c r="F61" s="7" t="n">
        <v>46238</v>
      </c>
      <c r="G61" s="238"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7" t="inlineStr">
        <is>
          <t>Done</t>
        </is>
      </c>
      <c r="D62" s="11" t="inlineStr">
        <is>
          <t>Platform</t>
        </is>
      </c>
      <c r="E62" s="12" t="n">
        <v>46239</v>
      </c>
      <c r="F62" s="12" t="n">
        <v>46239</v>
      </c>
      <c r="G62" s="239"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7" t="inlineStr">
        <is>
          <t>Done</t>
        </is>
      </c>
      <c r="D63" s="6" t="inlineStr">
        <is>
          <t>Platform</t>
        </is>
      </c>
      <c r="E63" s="7" t="n">
        <v>46239</v>
      </c>
      <c r="F63" s="7" t="n">
        <v>46240</v>
      </c>
      <c r="G63" s="238"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7" t="inlineStr">
        <is>
          <t>Done</t>
        </is>
      </c>
      <c r="D64" s="11" t="inlineStr">
        <is>
          <t>Platform</t>
        </is>
      </c>
      <c r="E64" s="12" t="n">
        <v>46240</v>
      </c>
      <c r="F64" s="12" t="n">
        <v>46240</v>
      </c>
      <c r="G64" s="239"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8" t="inlineStr">
        <is>
          <t>WAITING: 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7" t="inlineStr">
        <is>
          <t>Done</t>
        </is>
      </c>
      <c r="D66" s="11" t="inlineStr">
        <is>
          <t>Platform</t>
        </is>
      </c>
      <c r="E66" s="12" t="n">
        <v>46245</v>
      </c>
      <c r="F66" s="12" t="n">
        <v>46245</v>
      </c>
      <c r="G66" s="239"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7" t="inlineStr">
        <is>
          <t>Done</t>
        </is>
      </c>
      <c r="D67" s="6" t="inlineStr">
        <is>
          <t>Platform</t>
        </is>
      </c>
      <c r="E67" s="7" t="n">
        <v>46245</v>
      </c>
      <c r="F67" s="7" t="n">
        <v>46248</v>
      </c>
      <c r="G67" s="238" t="inlineStr">
        <is>
          <t>infra/render.yaml: web, worker, beat off one image</t>
        </is>
      </c>
      <c r="H67" s="9" t="n"/>
      <c r="I67" s="9" t="n"/>
      <c r="J67" s="18" t="n"/>
      <c r="K67" s="9" t="n"/>
      <c r="L67" s="9" t="n"/>
      <c r="M67" s="9" t="n"/>
      <c r="N67" s="9" t="n"/>
      <c r="O67" s="9" t="n"/>
      <c r="P67" s="9" t="n"/>
      <c r="Q67" s="9" t="n"/>
      <c r="R67">
        <f>IF($A67&lt;&gt;"",$A67,R66)</f>
        <v/>
      </c>
    </row>
    <row r="68" ht="21" customHeight="1" s="291">
      <c r="A68" s="10" t="n"/>
      <c r="B68" s="10" t="inlineStr">
        <is>
          <t>Secrets management + env parity</t>
        </is>
      </c>
      <c r="C68" s="237" t="inlineStr">
        <is>
          <t>Done</t>
        </is>
      </c>
      <c r="D68" s="11" t="inlineStr">
        <is>
          <t>Platform</t>
        </is>
      </c>
      <c r="E68" s="12" t="n">
        <v>46247</v>
      </c>
      <c r="F68" s="12" t="n">
        <v>46249</v>
      </c>
      <c r="G68" s="239" t="inlineStr">
        <is>
          <t>CLOSED 13 Aug by the real deploy: all six credentials are sync:false in infra/render.yaml, entered in the Render dashboard, never in git.</t>
        </is>
      </c>
      <c r="H68" s="13" t="n"/>
      <c r="I68" s="13" t="n"/>
      <c r="J68" s="18" t="n"/>
      <c r="K68" s="13" t="n"/>
      <c r="L68" s="13" t="n"/>
      <c r="M68" s="13" t="n"/>
      <c r="N68" s="13" t="n"/>
      <c r="O68" s="13" t="n"/>
      <c r="P68" s="13" t="n"/>
      <c r="Q68" s="13" t="n"/>
      <c r="R68">
        <f>IF($A68&lt;&gt;"",$A68,R67)</f>
        <v/>
      </c>
    </row>
    <row r="69" ht="31.5" customHeight="1" s="291">
      <c r="A69" s="4" t="n"/>
      <c r="B69" s="4" t="inlineStr">
        <is>
          <t>Monitoring + alerting (Sentry)</t>
        </is>
      </c>
      <c r="C69" s="237" t="inlineStr">
        <is>
          <t>Done</t>
        </is>
      </c>
      <c r="D69" s="6" t="inlineStr">
        <is>
          <t>Platform</t>
        </is>
      </c>
      <c r="E69" s="7" t="n">
        <v>46248</v>
      </c>
      <c r="F69" s="7" t="n">
        <v>46252</v>
      </c>
      <c r="G69" s="238" t="inlineStr">
        <is>
          <t>CLOSED: SENTRY_DSN_BACKEND provisioned, init covers API + worker + beat, and monitor_beat_tasks registers each schedule entry as a cron monitor. Uptime alerting tracked separately.</t>
        </is>
      </c>
      <c r="H69" s="9" t="n"/>
      <c r="I69" s="9" t="n"/>
      <c r="J69" s="18" t="n"/>
      <c r="K69" s="18" t="n"/>
      <c r="L69" s="9" t="n"/>
      <c r="M69" s="9" t="n"/>
      <c r="N69" s="9" t="n"/>
      <c r="O69" s="9" t="n"/>
      <c r="P69" s="9" t="n"/>
      <c r="Q69" s="9" t="n"/>
      <c r="R69">
        <f>IF($A69&lt;&gt;"",$A69,R68)</f>
        <v/>
      </c>
    </row>
    <row r="70">
      <c r="A70" s="10" t="n"/>
      <c r="B70" s="10" t="inlineStr">
        <is>
          <t>Staging deploy + soak</t>
        </is>
      </c>
      <c r="C70" s="237" t="inlineStr">
        <is>
          <t>Done</t>
        </is>
      </c>
      <c r="D70" s="11" t="inlineStr">
        <is>
          <t>Platform</t>
        </is>
      </c>
      <c r="E70" s="12" t="n">
        <v>46251</v>
      </c>
      <c r="F70" s="12" t="n">
        <v>46255</v>
      </c>
      <c r="G70" s="239"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7" t="inlineStr">
        <is>
          <t>Done</t>
        </is>
      </c>
      <c r="D71" s="6" t="inlineStr">
        <is>
          <t>Backend</t>
        </is>
      </c>
      <c r="E71" s="7" t="n">
        <v>46252</v>
      </c>
      <c r="F71" s="7" t="n">
        <v>46255</v>
      </c>
      <c r="G71" s="238"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7" t="inlineStr">
        <is>
          <t>Done</t>
        </is>
      </c>
      <c r="D72" s="11" t="inlineStr">
        <is>
          <t>Mobile</t>
        </is>
      </c>
      <c r="E72" s="12" t="n">
        <v>46253</v>
      </c>
      <c r="F72" s="12" t="n">
        <v>46258</v>
      </c>
      <c r="G72" s="239"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91">
      <c r="A73" s="4" t="n"/>
      <c r="B73" s="4" t="inlineStr">
        <is>
          <t>Push notifications end-to-end</t>
        </is>
      </c>
      <c r="C73" s="237" t="inlineStr">
        <is>
          <t>Done</t>
        </is>
      </c>
      <c r="D73" s="6" t="inlineStr">
        <is>
          <t>Mobile</t>
        </is>
      </c>
      <c r="E73" s="7" t="n">
        <v>46258</v>
      </c>
      <c r="F73" s="7" t="n">
        <v>46261</v>
      </c>
      <c r="G73" s="238"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39" t="inlineStr">
        <is>
          <t>ACTION (DEV): tsc is the only check</t>
        </is>
      </c>
      <c r="H74" s="13" t="n"/>
      <c r="I74" s="13" t="n"/>
      <c r="J74" s="13" t="n"/>
      <c r="K74" s="13" t="n"/>
      <c r="L74" s="18" t="n"/>
      <c r="M74" s="13" t="n"/>
      <c r="N74" s="13" t="n"/>
      <c r="O74" s="13" t="n"/>
      <c r="P74" s="13" t="n"/>
      <c r="Q74" s="13" t="n"/>
      <c r="R74">
        <f>IF($A74&lt;&gt;"",$A74,R73)</f>
        <v/>
      </c>
    </row>
    <row r="75" ht="21" customHeight="1" s="291">
      <c r="A75" s="4" t="n"/>
      <c r="B75" s="4" t="inlineStr">
        <is>
          <t>Production deploy - FOOTBALL</t>
        </is>
      </c>
      <c r="C75" s="237" t="inlineStr">
        <is>
          <t>Done</t>
        </is>
      </c>
      <c r="D75" s="6" t="inlineStr">
        <is>
          <t>Platform</t>
        </is>
      </c>
      <c r="E75" s="7" t="n">
        <v>46269</v>
      </c>
      <c r="F75" s="7" t="n">
        <v>46269</v>
      </c>
      <c r="G75" s="238" t="inlineStr">
        <is>
          <t>ACHIEVED 13 Aug. Five services live on Render; /stats/model serves all three sports; beat-&gt;worker chain confirmed by 100+ upcoming fixtures with 83 carrying a pick.</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39" t="inlineStr">
        <is>
          <t>ACTION (YOU): 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8" t="inlineStr">
        <is>
          <t>ACTION (YOU): 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7" t="inlineStr">
        <is>
          <t>Done</t>
        </is>
      </c>
      <c r="D78" s="11" t="inlineStr">
        <is>
          <t>Platform</t>
        </is>
      </c>
      <c r="E78" s="12" t="n">
        <v>46237</v>
      </c>
      <c r="F78" s="12" t="n">
        <v>46237</v>
      </c>
      <c r="G78" s="239"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7" t="inlineStr">
        <is>
          <t>Done</t>
        </is>
      </c>
      <c r="D79" s="6" t="inlineStr">
        <is>
          <t>Product</t>
        </is>
      </c>
      <c r="E79" s="7" t="n">
        <v>46237</v>
      </c>
      <c r="F79" s="7" t="n">
        <v>46238</v>
      </c>
      <c r="G79" s="238"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7" t="inlineStr">
        <is>
          <t>Done</t>
        </is>
      </c>
      <c r="D80" s="11" t="inlineStr">
        <is>
          <t>Platform</t>
        </is>
      </c>
      <c r="E80" s="12" t="n">
        <v>46238</v>
      </c>
      <c r="F80" s="12" t="n">
        <v>46238</v>
      </c>
      <c r="G80" s="239"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7" t="inlineStr">
        <is>
          <t>Done</t>
        </is>
      </c>
      <c r="D81" s="6" t="inlineStr">
        <is>
          <t>Platform</t>
        </is>
      </c>
      <c r="E81" s="7" t="n">
        <v>46238</v>
      </c>
      <c r="F81" s="7" t="n">
        <v>46238</v>
      </c>
      <c r="G81" s="238" t="inlineStr">
        <is>
          <t>DETECTION: caught a day-old uvicorn</t>
        </is>
      </c>
      <c r="H81" s="9" t="n"/>
      <c r="I81" s="8" t="n"/>
      <c r="J81" s="9" t="n"/>
      <c r="K81" s="9" t="n"/>
      <c r="L81" s="9" t="n"/>
      <c r="M81" s="9" t="n"/>
      <c r="N81" s="9" t="n"/>
      <c r="O81" s="9" t="n"/>
      <c r="P81" s="9" t="n"/>
      <c r="Q81" s="9" t="n"/>
      <c r="R81">
        <f>IF($A81&lt;&gt;"",$A81,R80)</f>
        <v/>
      </c>
    </row>
    <row r="82" ht="21" customHeight="1" s="291">
      <c r="A82" s="10" t="n"/>
      <c r="B82" s="10" t="inlineStr">
        <is>
          <t>Verify deploy restarts worker AND beat</t>
        </is>
      </c>
      <c r="C82" s="237" t="inlineStr">
        <is>
          <t>Done</t>
        </is>
      </c>
      <c r="D82" s="11" t="inlineStr">
        <is>
          <t>Platform</t>
        </is>
      </c>
      <c r="E82" s="12" t="n">
        <v>46246</v>
      </c>
      <c r="F82" s="12" t="n">
        <v>46247</v>
      </c>
      <c r="G82" s="239" t="inlineStr">
        <is>
          <t>CLOSED 13 Aug: the real deploy brought up sportpiq-api, -worker AND -beat, and the populated production feed proves the beat-&gt;worker chain actually ran.</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8" t="inlineStr">
        <is>
          <t>ACTION (DEV): 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39" t="inlineStr">
        <is>
          <t>ACTION (DEV): 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8" t="inlineStr">
        <is>
          <t>ACTION (DEV): 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7" t="inlineStr">
        <is>
          <t>Done</t>
        </is>
      </c>
      <c r="D86" s="11" t="inlineStr">
        <is>
          <t>ML</t>
        </is>
      </c>
      <c r="E86" s="12" t="n">
        <v>46238</v>
      </c>
      <c r="F86" s="12" t="n">
        <v>46238</v>
      </c>
      <c r="G86" s="239"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7" t="inlineStr">
        <is>
          <t>Done</t>
        </is>
      </c>
      <c r="D87" s="6" t="inlineStr">
        <is>
          <t>ML</t>
        </is>
      </c>
      <c r="E87" s="7" t="n">
        <v>46238</v>
      </c>
      <c r="F87" s="7" t="n">
        <v>46238</v>
      </c>
      <c r="G87" s="238"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7" t="inlineStr">
        <is>
          <t>Done</t>
        </is>
      </c>
      <c r="D88" s="11" t="inlineStr">
        <is>
          <t>ML</t>
        </is>
      </c>
      <c r="E88" s="12" t="n">
        <v>46238</v>
      </c>
      <c r="F88" s="12" t="n">
        <v>46238</v>
      </c>
      <c r="G88" s="239"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7" t="inlineStr">
        <is>
          <t>Done</t>
        </is>
      </c>
      <c r="D89" s="6" t="inlineStr">
        <is>
          <t>ML</t>
        </is>
      </c>
      <c r="E89" s="7" t="n">
        <v>46238</v>
      </c>
      <c r="F89" s="7" t="n">
        <v>46238</v>
      </c>
      <c r="G89" s="238"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7" t="inlineStr">
        <is>
          <t>Done</t>
        </is>
      </c>
      <c r="D90" s="11" t="inlineStr">
        <is>
          <t>ML</t>
        </is>
      </c>
      <c r="E90" s="12" t="n">
        <v>46238</v>
      </c>
      <c r="F90" s="12" t="n">
        <v>46238</v>
      </c>
      <c r="G90" s="239"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7" t="inlineStr">
        <is>
          <t>Done</t>
        </is>
      </c>
      <c r="D91" s="6" t="inlineStr">
        <is>
          <t>ML</t>
        </is>
      </c>
      <c r="E91" s="7" t="n">
        <v>46238</v>
      </c>
      <c r="F91" s="7" t="n">
        <v>46238</v>
      </c>
      <c r="G91" s="238"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7" t="inlineStr">
        <is>
          <t>Done</t>
        </is>
      </c>
      <c r="D92" s="11" t="inlineStr">
        <is>
          <t>Platform</t>
        </is>
      </c>
      <c r="E92" s="12" t="n">
        <v>46238</v>
      </c>
      <c r="F92" s="12" t="n">
        <v>46238</v>
      </c>
      <c r="G92" s="239"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8" t="inlineStr">
        <is>
          <t>ACTION (DEV): 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7" t="inlineStr">
        <is>
          <t>Done</t>
        </is>
      </c>
      <c r="D94" s="11" t="inlineStr">
        <is>
          <t>Platform</t>
        </is>
      </c>
      <c r="E94" s="12" t="n">
        <v>46239</v>
      </c>
      <c r="F94" s="12" t="n">
        <v>46239</v>
      </c>
      <c r="G94" s="239"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8" t="inlineStr">
        <is>
          <t>ACTION (DEV): 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7" t="inlineStr">
        <is>
          <t>Done</t>
        </is>
      </c>
      <c r="D96" s="11" t="inlineStr">
        <is>
          <t>ML</t>
        </is>
      </c>
      <c r="E96" s="12" t="n">
        <v>46238</v>
      </c>
      <c r="F96" s="12" t="n">
        <v>46238</v>
      </c>
      <c r="G96" s="239"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7" t="inlineStr">
        <is>
          <t>Done</t>
        </is>
      </c>
      <c r="D97" s="6" t="inlineStr">
        <is>
          <t>Data</t>
        </is>
      </c>
      <c r="E97" s="7" t="n">
        <v>46238</v>
      </c>
      <c r="F97" s="7" t="n">
        <v>46238</v>
      </c>
      <c r="G97" s="238"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7" t="inlineStr">
        <is>
          <t>Done</t>
        </is>
      </c>
      <c r="D98" s="11" t="inlineStr">
        <is>
          <t>ML</t>
        </is>
      </c>
      <c r="E98" s="12" t="n">
        <v>46238</v>
      </c>
      <c r="F98" s="12" t="n">
        <v>46238</v>
      </c>
      <c r="G98" s="239"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7" t="inlineStr">
        <is>
          <t>Done</t>
        </is>
      </c>
      <c r="D99" s="6" t="inlineStr">
        <is>
          <t>Data</t>
        </is>
      </c>
      <c r="E99" s="7" t="n">
        <v>46238</v>
      </c>
      <c r="F99" s="7" t="n">
        <v>46239</v>
      </c>
      <c r="G99" s="238"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7" t="inlineStr">
        <is>
          <t>Done</t>
        </is>
      </c>
      <c r="D100" s="11" t="inlineStr">
        <is>
          <t>ML</t>
        </is>
      </c>
      <c r="E100" s="12" t="n">
        <v>46239</v>
      </c>
      <c r="F100" s="12" t="n">
        <v>46239</v>
      </c>
      <c r="G100" s="239"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ht="21" customHeight="1" s="291">
      <c r="A101" s="3" t="inlineStr">
        <is>
          <t>E9 Data Ops</t>
        </is>
      </c>
      <c r="B101" s="4" t="inlineStr">
        <is>
          <t>Corners for the 4 new leagues (DEFERRED)</t>
        </is>
      </c>
      <c r="C101" s="237" t="inlineStr">
        <is>
          <t>Done</t>
        </is>
      </c>
      <c r="D101" s="6" t="inlineStr">
        <is>
          <t>Data</t>
        </is>
      </c>
      <c r="E101" s="7" t="n">
        <v>46246</v>
      </c>
      <c r="F101" s="7" t="n">
        <v>46248</v>
      </c>
      <c r="G101" s="238" t="inlineStr">
        <is>
          <t>CLOSED 13 Aug: corners now present for every European league (seriea 363, laliga 345, ligue1 298, bundesliga 278 test rows).</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7" t="inlineStr">
        <is>
          <t>Done</t>
        </is>
      </c>
      <c r="D102" s="11" t="inlineStr">
        <is>
          <t>Platform</t>
        </is>
      </c>
      <c r="E102" s="12" t="n">
        <v>46239</v>
      </c>
      <c r="F102" s="12" t="n">
        <v>46239</v>
      </c>
      <c r="G102" s="239"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7" t="inlineStr">
        <is>
          <t>Done</t>
        </is>
      </c>
      <c r="D103" s="6" t="inlineStr">
        <is>
          <t>Platform</t>
        </is>
      </c>
      <c r="E103" s="7" t="n">
        <v>46238</v>
      </c>
      <c r="F103" s="7" t="n">
        <v>46238</v>
      </c>
      <c r="G103" s="238"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7" t="inlineStr">
        <is>
          <t>Done</t>
        </is>
      </c>
      <c r="D104" s="11" t="inlineStr">
        <is>
          <t>Backend</t>
        </is>
      </c>
      <c r="E104" s="12" t="n">
        <v>46238</v>
      </c>
      <c r="F104" s="12" t="n">
        <v>46238</v>
      </c>
      <c r="G104" s="239"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7" t="inlineStr">
        <is>
          <t>Done</t>
        </is>
      </c>
      <c r="D105" s="6" t="inlineStr">
        <is>
          <t>Backend</t>
        </is>
      </c>
      <c r="E105" s="7" t="n">
        <v>46238</v>
      </c>
      <c r="F105" s="7" t="n">
        <v>46238</v>
      </c>
      <c r="G105" s="238"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7" t="inlineStr">
        <is>
          <t>Done</t>
        </is>
      </c>
      <c r="D106" s="11" t="inlineStr">
        <is>
          <t>Data</t>
        </is>
      </c>
      <c r="E106" s="12" t="n">
        <v>46238</v>
      </c>
      <c r="F106" s="12" t="n">
        <v>46238</v>
      </c>
      <c r="G106" s="239"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7" t="inlineStr">
        <is>
          <t>Done</t>
        </is>
      </c>
      <c r="D107" s="6" t="inlineStr">
        <is>
          <t>Platform</t>
        </is>
      </c>
      <c r="E107" s="7" t="n">
        <v>46238</v>
      </c>
      <c r="F107" s="7" t="n">
        <v>46238</v>
      </c>
      <c r="G107" s="238"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0" t="inlineStr">
        <is>
          <t>Done</t>
        </is>
      </c>
      <c r="D108" s="46" t="inlineStr">
        <is>
          <t>Platform</t>
        </is>
      </c>
      <c r="E108" s="47" t="n">
        <v>46238</v>
      </c>
      <c r="F108" s="47" t="n">
        <v>46238</v>
      </c>
      <c r="G108" s="241"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0" t="inlineStr">
        <is>
          <t>Done</t>
        </is>
      </c>
      <c r="D109" s="51" t="inlineStr">
        <is>
          <t>Platform</t>
        </is>
      </c>
      <c r="E109" s="52" t="n">
        <v>46238</v>
      </c>
      <c r="F109" s="52" t="n">
        <v>46238</v>
      </c>
      <c r="G109" s="242"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0" t="inlineStr">
        <is>
          <t>Done</t>
        </is>
      </c>
      <c r="D110" s="46" t="inlineStr">
        <is>
          <t>Platform</t>
        </is>
      </c>
      <c r="E110" s="47" t="n">
        <v>46238</v>
      </c>
      <c r="F110" s="47" t="n">
        <v>46238</v>
      </c>
      <c r="G110" s="241"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0" t="inlineStr">
        <is>
          <t>Done</t>
        </is>
      </c>
      <c r="D111" s="51" t="inlineStr">
        <is>
          <t>Backend</t>
        </is>
      </c>
      <c r="E111" s="52" t="n">
        <v>46238</v>
      </c>
      <c r="F111" s="52" t="n">
        <v>46238</v>
      </c>
      <c r="G111" s="242"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3" t="inlineStr">
        <is>
          <t>Done</t>
        </is>
      </c>
      <c r="D112" s="60" t="inlineStr">
        <is>
          <t>Mobile</t>
        </is>
      </c>
      <c r="E112" s="61" t="n">
        <v>46238</v>
      </c>
      <c r="F112" s="61" t="n">
        <v>46238</v>
      </c>
      <c r="G112" s="244"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3" t="inlineStr">
        <is>
          <t>Done</t>
        </is>
      </c>
      <c r="D113" s="65" t="inlineStr">
        <is>
          <t>Platform</t>
        </is>
      </c>
      <c r="E113" s="66" t="n">
        <v>46238</v>
      </c>
      <c r="F113" s="66" t="n">
        <v>46238</v>
      </c>
      <c r="G113" s="245"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240" t="inlineStr">
        <is>
          <t>Done</t>
        </is>
      </c>
      <c r="D114" s="60" t="inlineStr">
        <is>
          <t>Platform</t>
        </is>
      </c>
      <c r="E114" s="61" t="n">
        <v>46238</v>
      </c>
      <c r="F114" s="61" t="n">
        <v>46238</v>
      </c>
      <c r="G114" s="244" t="inlineStr">
        <is>
          <t>ACHIEVED. Re-proven for real on 13 Aug by the production deploy itself.</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3" t="inlineStr">
        <is>
          <t>Done</t>
        </is>
      </c>
      <c r="D115" s="65" t="inlineStr">
        <is>
          <t>Mobile</t>
        </is>
      </c>
      <c r="E115" s="66" t="n">
        <v>46239</v>
      </c>
      <c r="F115" s="66" t="n">
        <v>46239</v>
      </c>
      <c r="G115" s="245"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6" t="inlineStr">
        <is>
          <t>Done</t>
        </is>
      </c>
      <c r="D116" s="75" t="inlineStr">
        <is>
          <t>Mobile</t>
        </is>
      </c>
      <c r="E116" s="76" t="n">
        <v>46238</v>
      </c>
      <c r="F116" s="76" t="n">
        <v>46238</v>
      </c>
      <c r="G116" s="247"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8" t="inlineStr">
        <is>
          <t>Done</t>
        </is>
      </c>
      <c r="D117" s="83" t="inlineStr">
        <is>
          <t>Mobile</t>
        </is>
      </c>
      <c r="E117" s="84" t="n">
        <v>46238</v>
      </c>
      <c r="F117" s="84" t="n">
        <v>46238</v>
      </c>
      <c r="G117" s="249"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8" t="inlineStr">
        <is>
          <t>Done</t>
        </is>
      </c>
      <c r="D118" s="88" t="inlineStr">
        <is>
          <t>Product</t>
        </is>
      </c>
      <c r="E118" s="89" t="n">
        <v>46238</v>
      </c>
      <c r="F118" s="89" t="n">
        <v>46238</v>
      </c>
      <c r="G118" s="250"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254" t="inlineStr">
        <is>
          <t>Done</t>
        </is>
      </c>
      <c r="D119" s="83" t="inlineStr">
        <is>
          <t>Mobile</t>
        </is>
      </c>
      <c r="E119" s="84" t="n">
        <v>46239</v>
      </c>
      <c r="F119" s="84" t="n">
        <v>46239</v>
      </c>
      <c r="G119" s="249" t="inlineStr">
        <is>
          <t>CLOSED: mobile/app.json already carries name SportPIQ and slug sportpiq.</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0" t="inlineStr">
        <is>
          <t>ACTION (YOU): 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1" t="inlineStr">
        <is>
          <t>Done</t>
        </is>
      </c>
      <c r="D121" s="97" t="inlineStr">
        <is>
          <t>Mobile</t>
        </is>
      </c>
      <c r="E121" s="98" t="n">
        <v>46238</v>
      </c>
      <c r="F121" s="98" t="n">
        <v>46238</v>
      </c>
      <c r="G121" s="252"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1" t="inlineStr">
        <is>
          <t>Done</t>
        </is>
      </c>
      <c r="D122" s="102" t="inlineStr">
        <is>
          <t>Mobile</t>
        </is>
      </c>
      <c r="E122" s="103" t="n">
        <v>46238</v>
      </c>
      <c r="F122" s="103" t="n">
        <v>46238</v>
      </c>
      <c r="G122" s="253"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1" t="inlineStr">
        <is>
          <t>Done</t>
        </is>
      </c>
      <c r="D123" s="97" t="inlineStr">
        <is>
          <t>Mobile</t>
        </is>
      </c>
      <c r="E123" s="98" t="n">
        <v>46239</v>
      </c>
      <c r="F123" s="98" t="n">
        <v>46239</v>
      </c>
      <c r="G123" s="252"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1" t="inlineStr">
        <is>
          <t>Done</t>
        </is>
      </c>
      <c r="D124" s="102" t="inlineStr">
        <is>
          <t>Mobile</t>
        </is>
      </c>
      <c r="E124" s="103" t="n">
        <v>46239</v>
      </c>
      <c r="F124" s="103" t="n">
        <v>46240</v>
      </c>
      <c r="G124" s="253"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4" t="inlineStr">
        <is>
          <t>Done</t>
        </is>
      </c>
      <c r="D125" s="112" t="inlineStr">
        <is>
          <t>Mobile</t>
        </is>
      </c>
      <c r="E125" s="113" t="n">
        <v>46238</v>
      </c>
      <c r="F125" s="113" t="n">
        <v>46238</v>
      </c>
      <c r="G125" s="255"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ht="21" customHeight="1" s="291">
      <c r="A126" s="115" t="inlineStr">
        <is>
          <t>E10 Deploy</t>
        </is>
      </c>
      <c r="B126" s="116" t="inlineStr">
        <is>
          <t>Restrict Android API key to package + SHA-1 (GCP)</t>
        </is>
      </c>
      <c r="C126" s="254" t="inlineStr">
        <is>
          <t>Done</t>
        </is>
      </c>
      <c r="D126" s="117" t="inlineStr">
        <is>
          <t>Mobile</t>
        </is>
      </c>
      <c r="E126" s="118" t="n">
        <v>46239</v>
      </c>
      <c r="F126" s="118" t="n">
        <v>46239</v>
      </c>
      <c r="G126" s="256" t="inlineStr">
        <is>
          <t>CLOSED 11 Aug: restricted to package com.sportpiq.app + the EAS SHA-1, and to the Firebase Installations and FCM Registration APIs only.</t>
        </is>
      </c>
      <c r="H126" s="116" t="n"/>
      <c r="I126" s="119" t="n"/>
      <c r="J126" s="116" t="n"/>
      <c r="K126" s="116" t="n"/>
      <c r="L126" s="116" t="n"/>
      <c r="M126" s="116" t="n"/>
      <c r="N126" s="116" t="n"/>
      <c r="O126" s="116" t="n"/>
      <c r="P126" s="116" t="n"/>
      <c r="Q126" s="116" t="n"/>
      <c r="R126">
        <f>IF($A126&lt;&gt;"",$A126,R125)</f>
        <v/>
      </c>
    </row>
    <row r="127" ht="21" customHeight="1" s="291">
      <c r="A127" s="120" t="inlineStr">
        <is>
          <t>E7 Mobile</t>
        </is>
      </c>
      <c r="B127" s="121" t="inlineStr">
        <is>
          <t>First real-device test session (dev build on Android)</t>
        </is>
      </c>
      <c r="C127" s="267" t="inlineStr">
        <is>
          <t>Done</t>
        </is>
      </c>
      <c r="D127" s="123" t="inlineStr">
        <is>
          <t>Mobile</t>
        </is>
      </c>
      <c r="E127" s="124" t="n">
        <v>46239</v>
      </c>
      <c r="F127" s="124" t="n">
        <v>46239</v>
      </c>
      <c r="G127" s="257" t="inlineStr">
        <is>
          <t>ACHIEVED. Real device loaded real data and surfaced three bugs the web target never showed.</t>
        </is>
      </c>
      <c r="H127" s="121" t="n"/>
      <c r="I127" s="125" t="n"/>
      <c r="J127" s="121" t="n"/>
      <c r="K127" s="121" t="n"/>
      <c r="L127" s="121" t="n"/>
      <c r="M127" s="121" t="n"/>
      <c r="N127" s="121" t="n"/>
      <c r="O127" s="121" t="n"/>
      <c r="P127" s="121" t="n"/>
      <c r="Q127" s="121" t="n"/>
      <c r="R127">
        <f>IF($A127&lt;&gt;"",$A127,R126)</f>
        <v/>
      </c>
    </row>
    <row r="128">
      <c r="A128" s="126" t="inlineStr">
        <is>
          <t>E7 Mobile</t>
        </is>
      </c>
      <c r="B128" s="127" t="inlineStr">
        <is>
          <t>Fix: fixture card sizing on device (2 iterations)</t>
        </is>
      </c>
      <c r="C128" s="258" t="inlineStr">
        <is>
          <t>Done</t>
        </is>
      </c>
      <c r="D128" s="128" t="inlineStr">
        <is>
          <t>Mobile</t>
        </is>
      </c>
      <c r="E128" s="129" t="n">
        <v>46239</v>
      </c>
      <c r="F128" s="129" t="n">
        <v>46239</v>
      </c>
      <c r="G128" s="259" t="inlineStr">
        <is>
          <t>h-full -&gt; unbounded, then flex-1 -&gt; zero. Now content-sized with a 52px floor</t>
        </is>
      </c>
      <c r="H128" s="127" t="n"/>
      <c r="I128" s="130" t="n"/>
      <c r="J128" s="127" t="n"/>
      <c r="K128" s="127" t="n"/>
      <c r="L128" s="127" t="n"/>
      <c r="M128" s="127" t="n"/>
      <c r="N128" s="127" t="n"/>
      <c r="O128" s="127" t="n"/>
      <c r="P128" s="127" t="n"/>
      <c r="Q128" s="127" t="n"/>
      <c r="R128">
        <f>IF($A128&lt;&gt;"",$A128,R127)</f>
        <v/>
      </c>
    </row>
    <row r="129">
      <c r="A129" s="120" t="inlineStr">
        <is>
          <t>E7 Mobile</t>
        </is>
      </c>
      <c r="B129" s="121" t="inlineStr">
        <is>
          <t>Fix: theme switch crashed with a navigation error</t>
        </is>
      </c>
      <c r="C129" s="258" t="inlineStr">
        <is>
          <t>Done</t>
        </is>
      </c>
      <c r="D129" s="123" t="inlineStr">
        <is>
          <t>Mobile</t>
        </is>
      </c>
      <c r="E129" s="124" t="n">
        <v>46239</v>
      </c>
      <c r="F129" s="124" t="n">
        <v>46239</v>
      </c>
      <c r="G129" s="257" t="inlineStr">
        <is>
          <t>NativeWind's dev warning printer hit a throwing getter. patch-package. DEV ONLY</t>
        </is>
      </c>
      <c r="H129" s="121" t="n"/>
      <c r="I129" s="130" t="n"/>
      <c r="J129" s="121" t="n"/>
      <c r="K129" s="121" t="n"/>
      <c r="L129" s="121" t="n"/>
      <c r="M129" s="121" t="n"/>
      <c r="N129" s="121" t="n"/>
      <c r="O129" s="121" t="n"/>
      <c r="P129" s="121" t="n"/>
      <c r="Q129" s="121" t="n"/>
      <c r="R129">
        <f>IF($A129&lt;&gt;"",$A129,R128)</f>
        <v/>
      </c>
    </row>
    <row r="130">
      <c r="A130" s="126" t="inlineStr">
        <is>
          <t>E11 Ops Resilience</t>
        </is>
      </c>
      <c r="B130" s="127" t="inlineStr">
        <is>
          <t>Fix: test suite polluted the dev database</t>
        </is>
      </c>
      <c r="C130" s="258" t="inlineStr">
        <is>
          <t>Done</t>
        </is>
      </c>
      <c r="D130" s="128" t="inlineStr">
        <is>
          <t>Backend</t>
        </is>
      </c>
      <c r="E130" s="129" t="n">
        <v>46239</v>
      </c>
      <c r="F130" s="129" t="n">
        <v>46239</v>
      </c>
      <c r="G130" s="259" t="inlineStr">
        <is>
          <t>24 fake sports reached the app's own dropdown. Purged + autouse cleanup fixture</t>
        </is>
      </c>
      <c r="H130" s="127" t="n"/>
      <c r="I130" s="130" t="n"/>
      <c r="J130" s="127" t="n"/>
      <c r="K130" s="127" t="n"/>
      <c r="L130" s="127" t="n"/>
      <c r="M130" s="127" t="n"/>
      <c r="N130" s="127" t="n"/>
      <c r="O130" s="127" t="n"/>
      <c r="P130" s="127" t="n"/>
      <c r="Q130" s="127" t="n"/>
      <c r="R130">
        <f>IF($A130&lt;&gt;"",$A130,R129)</f>
        <v/>
      </c>
    </row>
    <row r="131">
      <c r="A131" s="120" t="inlineStr">
        <is>
          <t>E7 Mobile</t>
        </is>
      </c>
      <c r="B131" s="121" t="inlineStr">
        <is>
          <t>Verify push token minting + delivery on device</t>
        </is>
      </c>
      <c r="C131" s="258" t="inlineStr">
        <is>
          <t>Done</t>
        </is>
      </c>
      <c r="D131" s="123" t="inlineStr">
        <is>
          <t>Mobile</t>
        </is>
      </c>
      <c r="E131" s="124" t="n">
        <v>46239</v>
      </c>
      <c r="F131" s="124" t="n">
        <v>46239</v>
      </c>
      <c r="G131" s="257" t="inlineStr">
        <is>
          <t>CONFIRMED: notification received on the phone; T-60 reminder also verified</t>
        </is>
      </c>
      <c r="H131" s="121" t="n"/>
      <c r="I131" s="132" t="n"/>
      <c r="J131" s="121" t="n"/>
      <c r="K131" s="121" t="n"/>
      <c r="L131" s="121" t="n"/>
      <c r="M131" s="121" t="n"/>
      <c r="N131" s="121" t="n"/>
      <c r="O131" s="121" t="n"/>
      <c r="P131" s="121" t="n"/>
      <c r="Q131" s="121" t="n"/>
      <c r="R131">
        <f>IF($A131&lt;&gt;"",$A131,R130)</f>
        <v/>
      </c>
    </row>
    <row r="132">
      <c r="A132" s="126" t="inlineStr">
        <is>
          <t>E7 Mobile</t>
        </is>
      </c>
      <c r="B132" s="127" t="inlineStr">
        <is>
          <t>Decide whether badge should height-match the team rows</t>
        </is>
      </c>
      <c r="C132" s="131" t="inlineStr">
        <is>
          <t>Planned</t>
        </is>
      </c>
      <c r="D132" s="128" t="inlineStr">
        <is>
          <t>Mobile</t>
        </is>
      </c>
      <c r="E132" s="129" t="n">
        <v>46240</v>
      </c>
      <c r="F132" s="129" t="n">
        <v>46240</v>
      </c>
      <c r="G132" s="259" t="inlineStr">
        <is>
          <t>ACTION (DEV): Traded exact alignment for a badge that cannot collapse or run away</t>
        </is>
      </c>
      <c r="H132" s="127" t="n"/>
      <c r="I132" s="132" t="n"/>
      <c r="J132" s="127" t="n"/>
      <c r="K132" s="127" t="n"/>
      <c r="L132" s="127" t="n"/>
      <c r="M132" s="127" t="n"/>
      <c r="N132" s="127" t="n"/>
      <c r="O132" s="127" t="n"/>
      <c r="P132" s="127" t="n"/>
      <c r="Q132" s="127" t="n"/>
      <c r="R132">
        <f>IF($A132&lt;&gt;"",$A132,R131)</f>
        <v/>
      </c>
    </row>
    <row r="133">
      <c r="A133" s="137" t="inlineStr">
        <is>
          <t>E9 Data Ops</t>
        </is>
      </c>
      <c r="B133" s="138" t="inlineStr">
        <is>
          <t>TheRundown Pro live and verified</t>
        </is>
      </c>
      <c r="C133" s="260" t="inlineStr">
        <is>
          <t>Done</t>
        </is>
      </c>
      <c r="D133" s="139" t="inlineStr">
        <is>
          <t>Data</t>
        </is>
      </c>
      <c r="E133" s="140" t="n">
        <v>46239</v>
      </c>
      <c r="F133" s="140" t="n">
        <v>46239</v>
      </c>
      <c r="G133" s="261" t="inlineStr">
        <is>
          <t>5,000/MONTH (not per day). GET /sports 200, 36 sports, quota fresh</t>
        </is>
      </c>
      <c r="H133" s="138" t="n"/>
      <c r="I133" s="141" t="n"/>
      <c r="J133" s="138" t="n"/>
      <c r="K133" s="138" t="n"/>
      <c r="L133" s="138" t="n"/>
      <c r="M133" s="138" t="n"/>
      <c r="N133" s="138" t="n"/>
      <c r="O133" s="138" t="n"/>
      <c r="P133" s="138" t="n"/>
      <c r="Q133" s="138" t="n"/>
      <c r="R133">
        <f>IF($A133&lt;&gt;"",$A133,R132)</f>
        <v/>
      </c>
    </row>
    <row r="134">
      <c r="A134" s="142" t="inlineStr">
        <is>
          <t>E9 Data Ops</t>
        </is>
      </c>
      <c r="B134" s="143" t="inlineStr">
        <is>
          <t>Measure real odds-cycle quota cost</t>
        </is>
      </c>
      <c r="C134" s="260" t="inlineStr">
        <is>
          <t>Done</t>
        </is>
      </c>
      <c r="D134" s="144" t="inlineStr">
        <is>
          <t>Data</t>
        </is>
      </c>
      <c r="E134" s="145" t="n">
        <v>46239</v>
      </c>
      <c r="F134" s="145" t="n">
        <v>46239</v>
      </c>
      <c r="G134" s="262" t="inlineStr">
        <is>
          <t>A full cycle cost 0 requests: cost scales with fixtures played, not leagues</t>
        </is>
      </c>
      <c r="H134" s="143" t="n"/>
      <c r="I134" s="141" t="n"/>
      <c r="J134" s="143" t="n"/>
      <c r="K134" s="143" t="n"/>
      <c r="L134" s="143" t="n"/>
      <c r="M134" s="143" t="n"/>
      <c r="N134" s="143" t="n"/>
      <c r="O134" s="143" t="n"/>
      <c r="P134" s="143" t="n"/>
      <c r="Q134" s="143" t="n"/>
      <c r="R134">
        <f>IF($A134&lt;&gt;"",$A134,R133)</f>
        <v/>
      </c>
    </row>
    <row r="135">
      <c r="A135" s="153" t="inlineStr">
        <is>
          <t>E9 Data Ops</t>
        </is>
      </c>
      <c r="B135" s="154" t="inlineStr">
        <is>
          <t>ACTION 21 Aug: recheck API-Football EPL odds</t>
        </is>
      </c>
      <c r="C135" s="155" t="inlineStr">
        <is>
          <t>Planned</t>
        </is>
      </c>
      <c r="D135" s="156" t="inlineStr">
        <is>
          <t>Data</t>
        </is>
      </c>
      <c r="E135" s="157" t="n">
        <v>46255</v>
      </c>
      <c r="F135" s="157" t="n">
        <v>46255</v>
      </c>
      <c r="G135" s="263" t="inlineStr">
        <is>
          <t>ACTION (YOU): If it flips to True, TheRundown Pro is redundant and can be dropped</t>
        </is>
      </c>
      <c r="H135" s="154" t="n"/>
      <c r="I135" s="154" t="n"/>
      <c r="J135" s="154" t="n"/>
      <c r="K135" s="158" t="n"/>
      <c r="L135" s="154" t="n"/>
      <c r="M135" s="154" t="n"/>
      <c r="N135" s="154" t="n"/>
      <c r="O135" s="154" t="n"/>
      <c r="P135" s="154" t="n"/>
      <c r="Q135" s="154" t="n"/>
      <c r="R135">
        <f>IF($A135&lt;&gt;"",$A135,R134)</f>
        <v/>
      </c>
    </row>
    <row r="136">
      <c r="A136" s="162" t="inlineStr">
        <is>
          <t>E9 Data Ops</t>
        </is>
      </c>
      <c r="B136" s="163" t="inlineStr">
        <is>
          <t>Trace where the 1,000/month basic quota went</t>
        </is>
      </c>
      <c r="C136" s="264" t="inlineStr">
        <is>
          <t>Done</t>
        </is>
      </c>
      <c r="D136" s="164" t="inlineStr">
        <is>
          <t>Data</t>
        </is>
      </c>
      <c r="E136" s="165" t="n">
        <v>46239</v>
      </c>
      <c r="F136" s="165" t="n">
        <v>46239</v>
      </c>
      <c r="G136" s="265" t="inlineStr">
        <is>
          <t>A 5-min polling loop against out-of-season leagues. Yield: 2 rows, one NBA game</t>
        </is>
      </c>
      <c r="H136" s="163" t="n"/>
      <c r="I136" s="166" t="n"/>
      <c r="J136" s="163" t="n"/>
      <c r="K136" s="163" t="n"/>
      <c r="L136" s="163" t="n"/>
      <c r="M136" s="163" t="n"/>
      <c r="N136" s="163" t="n"/>
      <c r="O136" s="163" t="n"/>
      <c r="P136" s="163" t="n"/>
      <c r="Q136" s="163" t="n"/>
      <c r="R136">
        <f>IF($A136&lt;&gt;"",$A136,R135)</f>
        <v/>
      </c>
    </row>
    <row r="137">
      <c r="A137" s="174" t="inlineStr">
        <is>
          <t>E5 ML Tennis</t>
        </is>
      </c>
      <c r="B137" s="175" t="inlineStr">
        <is>
          <t>TENNIS ODDS LIVE: ATP/WTA via TheRundown</t>
        </is>
      </c>
      <c r="C137" s="267" t="inlineStr">
        <is>
          <t>Done</t>
        </is>
      </c>
      <c r="D137" s="177" t="inlineStr">
        <is>
          <t>Data</t>
        </is>
      </c>
      <c r="E137" s="178" t="n">
        <v>46239</v>
      </c>
      <c r="F137" s="178" t="n">
        <v>46239</v>
      </c>
      <c r="G137" s="266" t="inlineStr">
        <is>
          <t>ACHIEVED. ATP priced end to end; WTA still blocked on its own subscription.</t>
        </is>
      </c>
      <c r="H137" s="175" t="n"/>
      <c r="I137" s="179" t="n"/>
      <c r="J137" s="175" t="n"/>
      <c r="K137" s="175" t="n"/>
      <c r="L137" s="175" t="n"/>
      <c r="M137" s="175" t="n"/>
      <c r="N137" s="175" t="n"/>
      <c r="O137" s="175" t="n"/>
      <c r="P137" s="175" t="n"/>
      <c r="Q137" s="175" t="n"/>
      <c r="R137">
        <f>IF($A137&lt;&gt;"",$A137,R136)</f>
        <v/>
      </c>
    </row>
    <row r="138">
      <c r="A138" s="180" t="inlineStr">
        <is>
          <t>E5 ML Tennis</t>
        </is>
      </c>
      <c r="B138" s="181" t="inlineStr">
        <is>
          <t>Fix: tennis home/away orientation for odds matching</t>
        </is>
      </c>
      <c r="C138" s="267" t="inlineStr">
        <is>
          <t>Done</t>
        </is>
      </c>
      <c r="D138" s="182" t="inlineStr">
        <is>
          <t>Backend</t>
        </is>
      </c>
      <c r="E138" s="183" t="n">
        <v>46239</v>
      </c>
      <c r="F138" s="183" t="n">
        <v>46239</v>
      </c>
      <c r="G138" s="268" t="inlineStr">
        <is>
          <t>Sides disagreed on 8 of 22 matches; those silently got no price at all</t>
        </is>
      </c>
      <c r="H138" s="181" t="n"/>
      <c r="I138" s="184" t="n"/>
      <c r="J138" s="181" t="n"/>
      <c r="K138" s="181" t="n"/>
      <c r="L138" s="181" t="n"/>
      <c r="M138" s="181" t="n"/>
      <c r="N138" s="181" t="n"/>
      <c r="O138" s="181" t="n"/>
      <c r="P138" s="181" t="n"/>
      <c r="Q138" s="181" t="n"/>
      <c r="R138">
        <f>IF($A138&lt;&gt;"",$A138,R137)</f>
        <v/>
      </c>
    </row>
    <row r="139">
      <c r="A139" s="174" t="inlineStr">
        <is>
          <t>E5 ML Tennis</t>
        </is>
      </c>
      <c r="B139" s="175" t="inlineStr">
        <is>
          <t>Fix: inverted bookmaker was being selected by max()</t>
        </is>
      </c>
      <c r="C139" s="267" t="inlineStr">
        <is>
          <t>Done</t>
        </is>
      </c>
      <c r="D139" s="177" t="inlineStr">
        <is>
          <t>Backend</t>
        </is>
      </c>
      <c r="E139" s="178" t="n">
        <v>46239</v>
      </c>
      <c r="F139" s="178" t="n">
        <v>46239</v>
      </c>
      <c r="G139" s="266" t="inlineStr">
        <is>
          <t>Two passes. Distance test missed near-even matches; structural test does not</t>
        </is>
      </c>
      <c r="H139" s="175" t="n"/>
      <c r="I139" s="184" t="n"/>
      <c r="J139" s="175" t="n"/>
      <c r="K139" s="175" t="n"/>
      <c r="L139" s="175" t="n"/>
      <c r="M139" s="175" t="n"/>
      <c r="N139" s="175" t="n"/>
      <c r="O139" s="175" t="n"/>
      <c r="P139" s="175" t="n"/>
      <c r="Q139" s="175" t="n"/>
      <c r="R139">
        <f>IF($A139&lt;&gt;"",$A139,R138)</f>
        <v/>
      </c>
    </row>
    <row r="140" ht="21" customHeight="1" s="291">
      <c r="A140" s="180" t="inlineStr">
        <is>
          <t>E9 Data Ops</t>
        </is>
      </c>
      <c r="B140" s="181" t="inlineStr">
        <is>
          <t>Decide whether to exclude Polymarket at ingest</t>
        </is>
      </c>
      <c r="C140" s="185" t="inlineStr">
        <is>
          <t>Planned</t>
        </is>
      </c>
      <c r="D140" s="182" t="inlineStr">
        <is>
          <t>Data</t>
        </is>
      </c>
      <c r="E140" s="183" t="n">
        <v>46242</v>
      </c>
      <c r="F140" s="183" t="n">
        <v>46242</v>
      </c>
      <c r="G140" s="268" t="inlineStr">
        <is>
          <t>ACTION (DEV): 3 of 3 ATP matches inverted - looks systematic. Needs more days before concluding</t>
        </is>
      </c>
      <c r="H140" s="181" t="n"/>
      <c r="I140" s="186" t="n"/>
      <c r="J140" s="181" t="n"/>
      <c r="K140" s="181" t="n"/>
      <c r="L140" s="181" t="n"/>
      <c r="M140" s="181" t="n"/>
      <c r="N140" s="181" t="n"/>
      <c r="O140" s="181" t="n"/>
      <c r="P140" s="181" t="n"/>
      <c r="Q140" s="181" t="n"/>
      <c r="R140">
        <f>IF($A140&lt;&gt;"",$A140,R139)</f>
        <v/>
      </c>
    </row>
    <row r="141">
      <c r="A141" s="174" t="inlineStr">
        <is>
          <t>E9 Data Ops</t>
        </is>
      </c>
      <c r="B141" s="175" t="inlineStr">
        <is>
          <t>Merge duplicate API-Football odds re-test rows (54 and 135)</t>
        </is>
      </c>
      <c r="C141" s="267" t="inlineStr">
        <is>
          <t>Done</t>
        </is>
      </c>
      <c r="D141" s="177" t="inlineStr">
        <is>
          <t>Platform</t>
        </is>
      </c>
      <c r="E141" s="178" t="n">
        <v>46240</v>
      </c>
      <c r="F141" s="178" t="n">
        <v>46240</v>
      </c>
      <c r="G141" s="266" t="inlineStr">
        <is>
          <t>Done - row 54 folded into row 135; 135 is the single 21 Aug re-check</t>
        </is>
      </c>
      <c r="H141" s="175" t="n"/>
      <c r="I141" s="186" t="n"/>
      <c r="J141" s="175" t="n"/>
      <c r="K141" s="175" t="n"/>
      <c r="L141" s="175" t="n"/>
      <c r="M141" s="175" t="n"/>
      <c r="N141" s="175" t="n"/>
      <c r="O141" s="175" t="n"/>
      <c r="P141" s="175" t="n"/>
      <c r="Q141" s="175" t="n"/>
      <c r="R141">
        <f>IF($A141&lt;&gt;"",$A141,R140)</f>
        <v/>
      </c>
    </row>
    <row r="142">
      <c r="A142" s="180" t="inlineStr">
        <is>
          <t>E7 Mobile</t>
        </is>
      </c>
      <c r="B142" s="181" t="inlineStr">
        <is>
          <t>PostHog analytics (mobile only) - DEFERRED</t>
        </is>
      </c>
      <c r="C142" s="185" t="inlineStr">
        <is>
          <t>Planned</t>
        </is>
      </c>
      <c r="D142" s="182" t="inlineStr">
        <is>
          <t>Mobile</t>
        </is>
      </c>
      <c r="E142" s="183" t="n">
        <v>46273</v>
      </c>
      <c r="F142" s="183" t="n">
        <v>46277</v>
      </c>
      <c r="G142" s="268" t="inlineStr">
        <is>
          <t>WAITING: Deliberately after launch: on a dev build it mostly measures us</t>
        </is>
      </c>
      <c r="H142" s="181" t="n"/>
      <c r="I142" s="181" t="n"/>
      <c r="J142" s="181" t="n"/>
      <c r="K142" s="181" t="n"/>
      <c r="L142" s="181" t="n"/>
      <c r="M142" s="181" t="n"/>
      <c r="N142" s="186" t="n"/>
      <c r="O142" s="181" t="n"/>
      <c r="P142" s="181" t="n"/>
      <c r="Q142" s="181" t="n"/>
      <c r="R142">
        <f>IF($A142&lt;&gt;"",$A142,R141)</f>
        <v/>
      </c>
    </row>
    <row r="143">
      <c r="A143" s="174" t="inlineStr">
        <is>
          <t>E7 Mobile</t>
        </is>
      </c>
      <c r="B143" s="175" t="inlineStr">
        <is>
          <t>Firebase config complete for BOTH platforms</t>
        </is>
      </c>
      <c r="C143" s="267" t="inlineStr">
        <is>
          <t>Done</t>
        </is>
      </c>
      <c r="D143" s="177" t="inlineStr">
        <is>
          <t>Mobile</t>
        </is>
      </c>
      <c r="E143" s="178" t="n">
        <v>46239</v>
      </c>
      <c r="F143" s="178" t="n">
        <v>46239</v>
      </c>
      <c r="G143" s="266" t="inlineStr">
        <is>
          <t>GoogleService-Info.plist added; BUNDLE_ID + project verified against Android</t>
        </is>
      </c>
      <c r="H143" s="175" t="n"/>
      <c r="I143" s="184" t="n"/>
      <c r="J143" s="175" t="n"/>
      <c r="K143" s="175" t="n"/>
      <c r="L143" s="175" t="n"/>
      <c r="M143" s="175" t="n"/>
      <c r="N143" s="175" t="n"/>
      <c r="O143" s="175" t="n"/>
      <c r="P143" s="175" t="n"/>
      <c r="Q143" s="175" t="n"/>
      <c r="R143">
        <f>IF($A143&lt;&gt;"",$A143,R142)</f>
        <v/>
      </c>
    </row>
    <row r="144">
      <c r="A144" s="191" t="inlineStr">
        <is>
          <t>E8 Model Quality</t>
        </is>
      </c>
      <c r="B144" s="192" t="inlineStr">
        <is>
          <t>xG collection COMPLETE across all 9 leagues</t>
        </is>
      </c>
      <c r="C144" s="269" t="inlineStr">
        <is>
          <t>Done</t>
        </is>
      </c>
      <c r="D144" s="193" t="inlineStr">
        <is>
          <t>Data</t>
        </is>
      </c>
      <c r="E144" s="194" t="n">
        <v>46240</v>
      </c>
      <c r="F144" s="194" t="n">
        <v>46240</v>
      </c>
      <c r="G144" s="270" t="inlineStr">
        <is>
          <t>10,698 of 15,746 fixtures (67.9%). Ligue 1 + Serie A resolved at 100%</t>
        </is>
      </c>
      <c r="H144" s="192" t="n"/>
      <c r="I144" s="195" t="n"/>
      <c r="J144" s="192" t="n"/>
      <c r="K144" s="192" t="n"/>
      <c r="L144" s="192" t="n"/>
      <c r="M144" s="192" t="n"/>
      <c r="N144" s="192" t="n"/>
      <c r="O144" s="192" t="n"/>
      <c r="P144" s="192" t="n"/>
      <c r="Q144" s="192" t="n"/>
      <c r="R144">
        <f>IF($A144&lt;&gt;"",$A144,R143)</f>
        <v/>
      </c>
    </row>
    <row r="145">
      <c r="A145" s="196" t="inlineStr">
        <is>
          <t>E8 Model Quality</t>
        </is>
      </c>
      <c r="B145" s="197" t="inlineStr">
        <is>
          <t>RETRAIN 9 leagues: best model to date</t>
        </is>
      </c>
      <c r="C145" s="269" t="inlineStr">
        <is>
          <t>Done</t>
        </is>
      </c>
      <c r="D145" s="199" t="inlineStr">
        <is>
          <t>ML</t>
        </is>
      </c>
      <c r="E145" s="200" t="n">
        <v>46240</v>
      </c>
      <c r="F145" s="200" t="n">
        <v>46240</v>
      </c>
      <c r="G145" s="271" t="inlineStr">
        <is>
          <t>ACHIEVED, and since superseded by the 18-league pool now serving in production.</t>
        </is>
      </c>
      <c r="H145" s="197" t="n"/>
      <c r="I145" s="201" t="n"/>
      <c r="J145" s="197" t="n"/>
      <c r="K145" s="197" t="n"/>
      <c r="L145" s="197" t="n"/>
      <c r="M145" s="197" t="n"/>
      <c r="N145" s="197" t="n"/>
      <c r="O145" s="197" t="n"/>
      <c r="P145" s="197" t="n"/>
      <c r="Q145" s="197" t="n"/>
      <c r="R145">
        <f>IF($A145&lt;&gt;"",$A145,R144)</f>
        <v/>
      </c>
    </row>
    <row r="146">
      <c r="A146" s="191" t="inlineStr">
        <is>
          <t>E5 ML Tennis</t>
        </is>
      </c>
      <c r="B146" s="192" t="inlineStr">
        <is>
          <t>Fix: surface whitespace split Grass into two</t>
        </is>
      </c>
      <c r="C146" s="269" t="inlineStr">
        <is>
          <t>Done</t>
        </is>
      </c>
      <c r="D146" s="193" t="inlineStr">
        <is>
          <t>Backend</t>
        </is>
      </c>
      <c r="E146" s="194" t="n">
        <v>46240</v>
      </c>
      <c r="F146" s="194" t="n">
        <v>46240</v>
      </c>
      <c r="G146" s="270" t="inlineStr">
        <is>
          <t>190 of 2,295 grass matches excluded from live surface features. Silent</t>
        </is>
      </c>
      <c r="H146" s="192" t="n"/>
      <c r="I146" s="195" t="n"/>
      <c r="J146" s="192" t="n"/>
      <c r="K146" s="192" t="n"/>
      <c r="L146" s="192" t="n"/>
      <c r="M146" s="192" t="n"/>
      <c r="N146" s="192" t="n"/>
      <c r="O146" s="192" t="n"/>
      <c r="P146" s="192" t="n"/>
      <c r="Q146" s="192" t="n"/>
      <c r="R146">
        <f>IF($A146&lt;&gt;"",$A146,R145)</f>
        <v/>
      </c>
    </row>
    <row r="147">
      <c r="A147" s="196" t="inlineStr">
        <is>
          <t>E5 ML Tennis</t>
        </is>
      </c>
      <c r="B147" s="197" t="inlineStr">
        <is>
          <t>MEASURE viability of a total-games market</t>
        </is>
      </c>
      <c r="C147" s="269" t="inlineStr">
        <is>
          <t>Done</t>
        </is>
      </c>
      <c r="D147" s="199" t="inlineStr">
        <is>
          <t>ML</t>
        </is>
      </c>
      <c r="E147" s="200" t="n">
        <v>46240</v>
      </c>
      <c r="F147" s="200" t="n">
        <v>46240</v>
      </c>
      <c r="G147" s="271" t="inlineStr">
        <is>
          <t>Answer: NOT predictable from current features (r=+0.05). Ran BEFORE building</t>
        </is>
      </c>
      <c r="H147" s="197" t="n"/>
      <c r="I147" s="195" t="n"/>
      <c r="J147" s="197" t="n"/>
      <c r="K147" s="197" t="n"/>
      <c r="L147" s="197" t="n"/>
      <c r="M147" s="197" t="n"/>
      <c r="N147" s="197" t="n"/>
      <c r="O147" s="197" t="n"/>
      <c r="P147" s="197" t="n"/>
      <c r="Q147" s="197" t="n"/>
      <c r="R147">
        <f>IF($A147&lt;&gt;"",$A147,R146)</f>
        <v/>
      </c>
    </row>
    <row r="148">
      <c r="A148" s="191" t="inlineStr">
        <is>
          <t>E5 ML Tennis</t>
        </is>
      </c>
      <c r="B148" s="192" t="inlineStr">
        <is>
          <t>Viability notebook + dataset for team review</t>
        </is>
      </c>
      <c r="C148" s="269" t="inlineStr">
        <is>
          <t>Done</t>
        </is>
      </c>
      <c r="D148" s="193" t="inlineStr">
        <is>
          <t>ML</t>
        </is>
      </c>
      <c r="E148" s="194" t="n">
        <v>46240</v>
      </c>
      <c r="F148" s="194" t="n">
        <v>46240</v>
      </c>
      <c r="G148" s="270" t="inlineStr">
        <is>
          <t>ml/export/SportIQ_Tennis_Games_Viability.ipynb, executed, 17,273 matches</t>
        </is>
      </c>
      <c r="H148" s="192" t="n"/>
      <c r="I148" s="195" t="n"/>
      <c r="J148" s="192" t="n"/>
      <c r="K148" s="192" t="n"/>
      <c r="L148" s="192" t="n"/>
      <c r="M148" s="192" t="n"/>
      <c r="N148" s="192" t="n"/>
      <c r="O148" s="192" t="n"/>
      <c r="P148" s="192" t="n"/>
      <c r="Q148" s="192" t="n"/>
      <c r="R148">
        <f>IF($A148&lt;&gt;"",$A148,R147)</f>
        <v/>
      </c>
    </row>
    <row r="149" ht="21" customHeight="1" s="291">
      <c r="A149" s="196" t="inlineStr">
        <is>
          <t>E5 ML Tennis</t>
        </is>
      </c>
      <c r="B149" s="197" t="inlineStr">
        <is>
          <t>Total games v1: player rolling avg games features</t>
        </is>
      </c>
      <c r="C149" s="269" t="inlineStr">
        <is>
          <t>Done</t>
        </is>
      </c>
      <c r="D149" s="199" t="inlineStr">
        <is>
          <t>ML</t>
        </is>
      </c>
      <c r="E149" s="200" t="n">
        <v>46244</v>
      </c>
      <c r="F149" s="200" t="n">
        <v>46247</v>
      </c>
      <c r="G149" s="271" t="inlineStr">
        <is>
          <t>WON'T BUILD: superseded - GOAT arrived early so the gate ran with serve stats (a stronger feature set than this) and FAILED</t>
        </is>
      </c>
      <c r="H149" s="197" t="n"/>
      <c r="I149" s="197" t="n"/>
      <c r="J149" s="203" t="n"/>
      <c r="K149" s="197" t="n"/>
      <c r="L149" s="197" t="n"/>
      <c r="M149" s="197" t="n"/>
      <c r="N149" s="197" t="n"/>
      <c r="O149" s="197" t="n"/>
      <c r="P149" s="197" t="n"/>
      <c r="Q149" s="197" t="n"/>
      <c r="R149">
        <f>IF($A149&lt;&gt;"",$A149,R148)</f>
        <v/>
      </c>
    </row>
    <row r="150">
      <c r="A150" s="191" t="inlineStr">
        <is>
          <t>E5 ML Tennis</t>
        </is>
      </c>
      <c r="B150" s="192" t="inlineStr">
        <is>
          <t>Total games v1: surface + opponent-adjusted tendency</t>
        </is>
      </c>
      <c r="C150" s="269" t="inlineStr">
        <is>
          <t>Done</t>
        </is>
      </c>
      <c r="D150" s="193" t="inlineStr">
        <is>
          <t>ML</t>
        </is>
      </c>
      <c r="E150" s="194" t="n">
        <v>46247</v>
      </c>
      <c r="F150" s="194" t="n">
        <v>46249</v>
      </c>
      <c r="G150" s="270" t="inlineStr">
        <is>
          <t>WON'T BUILD: superseded by the failed gate</t>
        </is>
      </c>
      <c r="H150" s="192" t="n"/>
      <c r="I150" s="192" t="n"/>
      <c r="J150" s="203" t="n"/>
      <c r="K150" s="192" t="n"/>
      <c r="L150" s="192" t="n"/>
      <c r="M150" s="192" t="n"/>
      <c r="N150" s="192" t="n"/>
      <c r="O150" s="192" t="n"/>
      <c r="P150" s="192" t="n"/>
      <c r="Q150" s="192" t="n"/>
      <c r="R150">
        <f>IF($A150&lt;&gt;"",$A150,R149)</f>
        <v/>
      </c>
    </row>
    <row r="151">
      <c r="A151" s="196" t="inlineStr">
        <is>
          <t>E5 ML Tennis</t>
        </is>
      </c>
      <c r="B151" s="197" t="inlineStr">
        <is>
          <t>Total games v1: count model + validate vs base rate</t>
        </is>
      </c>
      <c r="C151" s="269" t="inlineStr">
        <is>
          <t>Done</t>
        </is>
      </c>
      <c r="D151" s="199" t="inlineStr">
        <is>
          <t>ML</t>
        </is>
      </c>
      <c r="E151" s="200" t="n">
        <v>46249</v>
      </c>
      <c r="F151" s="200" t="n">
        <v>46252</v>
      </c>
      <c r="G151" s="271" t="inlineStr">
        <is>
          <t>GATE RUN AND FAILED - see the decision row below. Market NOT built</t>
        </is>
      </c>
      <c r="H151" s="197" t="n"/>
      <c r="I151" s="197" t="n"/>
      <c r="J151" s="203" t="n"/>
      <c r="K151" s="203" t="n"/>
      <c r="L151" s="197" t="n"/>
      <c r="M151" s="197" t="n"/>
      <c r="N151" s="197" t="n"/>
      <c r="O151" s="197" t="n"/>
      <c r="P151" s="197" t="n"/>
      <c r="Q151" s="197" t="n"/>
      <c r="R151">
        <f>IF($A151&lt;&gt;"",$A151,R150)</f>
        <v/>
      </c>
    </row>
    <row r="152">
      <c r="A152" s="191" t="inlineStr">
        <is>
          <t>E5 ML Tennis</t>
        </is>
      </c>
      <c r="B152" s="192" t="inlineStr">
        <is>
          <t>Total games: wire market + odds (only if the gate passes)</t>
        </is>
      </c>
      <c r="C152" s="269" t="inlineStr">
        <is>
          <t>Done</t>
        </is>
      </c>
      <c r="D152" s="193" t="inlineStr">
        <is>
          <t>Backend</t>
        </is>
      </c>
      <c r="E152" s="194" t="n">
        <v>46252</v>
      </c>
      <c r="F152" s="194" t="n">
        <v>46254</v>
      </c>
      <c r="G152" s="270" t="inlineStr">
        <is>
          <t>WON'T BUILD: gate did not pass, so the market is not wired</t>
        </is>
      </c>
      <c r="H152" s="192" t="n"/>
      <c r="I152" s="192" t="n"/>
      <c r="J152" s="192" t="n"/>
      <c r="K152" s="203" t="n"/>
      <c r="L152" s="192" t="n"/>
      <c r="M152" s="192" t="n"/>
      <c r="N152" s="192" t="n"/>
      <c r="O152" s="192" t="n"/>
      <c r="P152" s="192" t="n"/>
      <c r="Q152" s="192" t="n"/>
      <c r="R152">
        <f>IF($A152&lt;&gt;"",$A152,R151)</f>
        <v/>
      </c>
    </row>
    <row r="153">
      <c r="A153" s="196" t="inlineStr">
        <is>
          <t>E5 ML Tennis</t>
        </is>
      </c>
      <c r="B153" s="197" t="inlineStr">
        <is>
          <t>Serve-stat features - BLOCKED on GOAT tier</t>
        </is>
      </c>
      <c r="C153" s="269" t="inlineStr">
        <is>
          <t>Done</t>
        </is>
      </c>
      <c r="D153" s="199" t="inlineStr">
        <is>
          <t>Data</t>
        </is>
      </c>
      <c r="E153" s="200" t="n">
        <v>46254</v>
      </c>
      <c r="F153" s="200" t="n">
        <v>46254</v>
      </c>
      <c r="G153" s="271" t="inlineStr">
        <is>
          <t>UNBLOCKED - GOAT active. /match_stats collected: 138,219 rows, 64,266 matches, 0% nulls</t>
        </is>
      </c>
      <c r="H153" s="197" t="n"/>
      <c r="I153" s="197" t="n"/>
      <c r="J153" s="197" t="n"/>
      <c r="K153" s="204" t="n"/>
      <c r="L153" s="197" t="n"/>
      <c r="M153" s="197" t="n"/>
      <c r="N153" s="197" t="n"/>
      <c r="O153" s="197" t="n"/>
      <c r="P153" s="197" t="n"/>
      <c r="Q153" s="197" t="n"/>
      <c r="R153">
        <f>IF($A153&lt;&gt;"",$A153,R152)</f>
        <v/>
      </c>
    </row>
    <row r="154" ht="28.8" customHeight="1" s="291">
      <c r="A154" t="inlineStr">
        <is>
          <t>E5 ML Tennis</t>
        </is>
      </c>
      <c r="B154" t="inlineStr">
        <is>
          <t>BallDontLie GOAT tier active (ATP)</t>
        </is>
      </c>
      <c r="C154" s="269" t="inlineStr">
        <is>
          <t>Done</t>
        </is>
      </c>
      <c r="D154" t="inlineStr">
        <is>
          <t>Data</t>
        </is>
      </c>
      <c r="E154" s="209" t="n">
        <v>46243</v>
      </c>
      <c r="F154" s="209" t="n">
        <v>46243</v>
      </c>
      <c r="G154" s="214" t="inlineStr">
        <is>
          <t>ACHIEVED - confirmed on the APIs &amp; Quotas sheet (GOAT, 600 req/min). The 600/min budget is what made the 2,000-row surface backfill affordable on 13 Aug.</t>
        </is>
      </c>
      <c r="I154" t="inlineStr">
        <is>
          <t>X</t>
        </is>
      </c>
      <c r="R154">
        <f>IF($A154&lt;&gt;"",$A154,R153)</f>
        <v/>
      </c>
    </row>
    <row r="155" ht="28.8" customHeight="1" s="291">
      <c r="A155" t="inlineStr">
        <is>
          <t>E5 ML Tennis</t>
        </is>
      </c>
      <c r="B155" t="inlineStr">
        <is>
          <t>ATP serve-stat collection</t>
        </is>
      </c>
      <c r="C155" s="272" t="inlineStr">
        <is>
          <t>Done</t>
        </is>
      </c>
      <c r="D155" t="inlineStr">
        <is>
          <t>Data</t>
        </is>
      </c>
      <c r="E155" s="209" t="n">
        <v>46243</v>
      </c>
      <c r="F155" s="209" t="n">
        <v>46243</v>
      </c>
      <c r="G155" s="214" t="inlineStr">
        <is>
          <t>138,219 rows / 64,266 matches / 2007-2026; 17,434 in the 2021-25 window at 0% nulls. Two independent passes agree exactly</t>
        </is>
      </c>
      <c r="I155" t="inlineStr">
        <is>
          <t>X</t>
        </is>
      </c>
      <c r="R155">
        <f>IF($A155&lt;&gt;"",$A155,R154)</f>
        <v/>
      </c>
    </row>
    <row r="156" ht="57.6" customHeight="1" s="291">
      <c r="A156" t="inlineStr">
        <is>
          <t>E5 ML Tennis</t>
        </is>
      </c>
      <c r="B156" t="inlineStr">
        <is>
          <t>DECISION: total games NOT built (gate failed)</t>
        </is>
      </c>
      <c r="C156" s="272" t="inlineStr">
        <is>
          <t>Done</t>
        </is>
      </c>
      <c r="D156" t="inlineStr">
        <is>
          <t>ML</t>
        </is>
      </c>
      <c r="E156" s="209" t="n">
        <v>46243</v>
      </c>
      <c r="F156" s="209" t="n">
        <v>46243</v>
      </c>
      <c r="G156" s="214"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91">
      <c r="A157" t="inlineStr">
        <is>
          <t>E5 ML Tennis</t>
        </is>
      </c>
      <c r="B157" t="inlineStr">
        <is>
          <t>Tennis odds: BallDontLie moneyline</t>
        </is>
      </c>
      <c r="C157" s="272" t="inlineStr">
        <is>
          <t>Done</t>
        </is>
      </c>
      <c r="D157" t="inlineStr">
        <is>
          <t>Data</t>
        </is>
      </c>
      <c r="E157" s="209" t="n">
        <v>46243</v>
      </c>
      <c r="F157" s="209" t="n">
        <v>46243</v>
      </c>
      <c r="G157" s="214" t="inlineStr">
        <is>
          <t>DraftKings + FanDuel. Direct match_id join. Caught a real bug: /odds returns FINISHED matches (70 of 94), whose last in-play price encodes the result</t>
        </is>
      </c>
      <c r="I157" t="inlineStr">
        <is>
          <t>X</t>
        </is>
      </c>
      <c r="R157">
        <f>IF($A157&lt;&gt;"",$A157,R156)</f>
        <v/>
      </c>
    </row>
    <row r="158" ht="43.2" customHeight="1" s="291">
      <c r="A158" t="inlineStr">
        <is>
          <t>E9 Data Ops</t>
        </is>
      </c>
      <c r="B158" t="inlineStr">
        <is>
          <t>Hourly tennis odds refresh (quota-free)</t>
        </is>
      </c>
      <c r="C158" s="272" t="inlineStr">
        <is>
          <t>Done</t>
        </is>
      </c>
      <c r="D158" t="inlineStr">
        <is>
          <t>Data</t>
        </is>
      </c>
      <c r="E158" s="209" t="n">
        <v>46243</v>
      </c>
      <c r="F158" s="209" t="n">
        <v>46243</v>
      </c>
      <c r="G158" s="214" t="inlineStr">
        <is>
          <t>Separate job on BallDontLie only - GOAT is 600/min so it costs nothing against TheRundown's monthly cap. Fixes prices missing on tennis cards</t>
        </is>
      </c>
      <c r="I158" t="inlineStr">
        <is>
          <t>X</t>
        </is>
      </c>
      <c r="R158">
        <f>IF($A158&lt;&gt;"",$A158,R157)</f>
        <v/>
      </c>
    </row>
    <row r="159" ht="28.8" customHeight="1" s="291">
      <c r="A159" t="inlineStr">
        <is>
          <t>E8 Model Quality</t>
        </is>
      </c>
      <c r="B159" t="inlineStr">
        <is>
          <t>Per-sport base rates for the pick gate</t>
        </is>
      </c>
      <c r="C159" s="272" t="inlineStr">
        <is>
          <t>Done</t>
        </is>
      </c>
      <c r="D159" t="inlineStr">
        <is>
          <t>ML</t>
        </is>
      </c>
      <c r="E159" s="209" t="n">
        <v>46243</v>
      </c>
      <c r="F159" s="209" t="n">
        <v>46243</v>
      </c>
      <c r="G159" s="214" t="inlineStr">
        <is>
          <t>Tennis h2h measured 0.6217 over 17,434 matches vs football's 0.4582. Wrong table admitted picks saying less than nothing</t>
        </is>
      </c>
      <c r="I159" t="inlineStr">
        <is>
          <t>X</t>
        </is>
      </c>
      <c r="R159">
        <f>IF($A159&lt;&gt;"",$A159,R158)</f>
        <v/>
      </c>
    </row>
    <row r="160" ht="28.8" customHeight="1" s="291">
      <c r="A160" t="inlineStr">
        <is>
          <t>E10 Deploy</t>
        </is>
      </c>
      <c r="B160" t="inlineStr">
        <is>
          <t>T-60 reminder armed on watchlist save</t>
        </is>
      </c>
      <c r="C160" s="272" t="inlineStr">
        <is>
          <t>Done</t>
        </is>
      </c>
      <c r="D160" t="inlineStr">
        <is>
          <t>Backend</t>
        </is>
      </c>
      <c r="E160" s="209" t="n">
        <v>46243</v>
      </c>
      <c r="F160" s="209" t="n">
        <v>46243</v>
      </c>
      <c r="G160" s="214" t="inlineStr">
        <is>
          <t>Daily 02:00 sweep alone missed anything saved same-day. Shared scheduler keeps the estimated-kickoff and status guards</t>
        </is>
      </c>
      <c r="I160" t="inlineStr">
        <is>
          <t>X</t>
        </is>
      </c>
      <c r="R160">
        <f>IF($A160&lt;&gt;"",$A160,R159)</f>
        <v/>
      </c>
    </row>
    <row r="161" ht="43.2" customHeight="1" s="291">
      <c r="A161" t="inlineStr">
        <is>
          <t>E8 Model Quality</t>
        </is>
      </c>
      <c r="B161" t="inlineStr">
        <is>
          <t>Corners: blend model toward rolling history (0.75)</t>
        </is>
      </c>
      <c r="C161" s="272" t="inlineStr">
        <is>
          <t>Done</t>
        </is>
      </c>
      <c r="D161" t="inlineStr">
        <is>
          <t>ML</t>
        </is>
      </c>
      <c r="E161" s="209" t="n">
        <v>46243</v>
      </c>
      <c r="F161" s="209" t="n">
        <v>46243</v>
      </c>
      <c r="G161" s="214"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91">
      <c r="A162" t="inlineStr">
        <is>
          <t>E8 Model Quality</t>
        </is>
      </c>
      <c r="B162" t="inlineStr">
        <is>
          <t>DECISION: H2H penalty rejected</t>
        </is>
      </c>
      <c r="C162" s="272" t="inlineStr">
        <is>
          <t>Done</t>
        </is>
      </c>
      <c r="D162" t="inlineStr">
        <is>
          <t>ML</t>
        </is>
      </c>
      <c r="E162" s="209" t="n">
        <v>46243</v>
      </c>
      <c r="F162" s="209" t="n">
        <v>46243</v>
      </c>
      <c r="G162" s="214"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91">
      <c r="A163" t="inlineStr">
        <is>
          <t>E8 Model Quality</t>
        </is>
      </c>
      <c r="B163" t="inlineStr">
        <is>
          <t>DECISION: completeness gate rejected</t>
        </is>
      </c>
      <c r="C163" s="272" t="inlineStr">
        <is>
          <t>Done</t>
        </is>
      </c>
      <c r="D163" t="inlineStr">
        <is>
          <t>ML</t>
        </is>
      </c>
      <c r="E163" s="209" t="n">
        <v>46243</v>
      </c>
      <c r="F163" s="209" t="n">
        <v>46243</v>
      </c>
      <c r="G163" s="214"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91">
      <c r="A164" t="inlineStr">
        <is>
          <t>E11 Ops Resilience</t>
        </is>
      </c>
      <c r="B164" t="inlineStr">
        <is>
          <t>Stale loopback server resolved (reboot)</t>
        </is>
      </c>
      <c r="C164" s="272" t="inlineStr">
        <is>
          <t>Done</t>
        </is>
      </c>
      <c r="D164" t="inlineStr">
        <is>
          <t>Ops</t>
        </is>
      </c>
      <c r="E164" s="209" t="n">
        <v>46243</v>
      </c>
      <c r="F164" s="209" t="n">
        <v>46243</v>
      </c>
      <c r="G164" s="214" t="inlineStr">
        <is>
          <t>127.0.0.1:8000 and the LAN IP served DIFFERENT data for days - an ownerless socket. Made a working fix look broken. Both now agree</t>
        </is>
      </c>
      <c r="I164" t="inlineStr">
        <is>
          <t>X</t>
        </is>
      </c>
      <c r="R164">
        <f>IF($A164&lt;&gt;"",$A164,R163)</f>
        <v/>
      </c>
    </row>
    <row r="165" ht="43.2" customHeight="1" s="291">
      <c r="A165" t="inlineStr">
        <is>
          <t>E9 Data Ops</t>
        </is>
      </c>
      <c r="B165" t="inlineStr">
        <is>
          <t>Collect lineups: MLS + 4 European leagues</t>
        </is>
      </c>
      <c r="C165" s="272" t="inlineStr">
        <is>
          <t>Done</t>
        </is>
      </c>
      <c r="D165" t="inlineStr">
        <is>
          <t>Data</t>
        </is>
      </c>
      <c r="E165" s="209" t="n">
        <v>46243</v>
      </c>
      <c r="F165" s="209" t="n">
        <v>46243</v>
      </c>
      <c r="G165" s="214" t="inlineStr">
        <is>
          <t>CLOSED as NO LONGER NEEDED, not as done. Commit d0a24d9 pruned the four key-player features, so lineups feed nothing the model can consume. Collecting them would repeat the ~10,500-call mistake of 9 Aug.</t>
        </is>
      </c>
      <c r="I165" t="inlineStr">
        <is>
          <t>X</t>
        </is>
      </c>
      <c r="R165">
        <f>IF($A165&lt;&gt;"",$A165,R164)</f>
        <v/>
      </c>
    </row>
    <row r="166" ht="28.8" customHeight="1" s="291">
      <c r="A166" t="inlineStr">
        <is>
          <t>E9 Data Ops</t>
        </is>
      </c>
      <c r="B166" t="inlineStr">
        <is>
          <t>Collect corners: 4 European leagues</t>
        </is>
      </c>
      <c r="C166" s="272" t="inlineStr">
        <is>
          <t>Done</t>
        </is>
      </c>
      <c r="D166" t="inlineStr">
        <is>
          <t>Data</t>
        </is>
      </c>
      <c r="E166" s="209" t="n">
        <v>46243</v>
      </c>
      <c r="F166" s="209" t="n">
        <v>46243</v>
      </c>
      <c r="G166" s="214" t="inlineStr">
        <is>
          <t>CLOSED 13 Aug: the backfill took coverage 66% -&gt; 91% overall and all four now carry corners. Veikkausliiga at 44% is genuine provider absence, not a collection miss.</t>
        </is>
      </c>
      <c r="I166" t="inlineStr">
        <is>
          <t>X</t>
        </is>
      </c>
      <c r="R166">
        <f>IF($A166&lt;&gt;"",$A166,R165)</f>
        <v/>
      </c>
    </row>
    <row r="167" ht="28.8" customHeight="1" s="291">
      <c r="A167" t="inlineStr">
        <is>
          <t>E9 Data Ops</t>
        </is>
      </c>
      <c r="B167" t="inlineStr">
        <is>
          <t>NEXT: lineups for bundesliga/laliga/ligue1/seriea</t>
        </is>
      </c>
      <c r="C167" s="272" t="inlineStr">
        <is>
          <t>Done</t>
        </is>
      </c>
      <c r="D167" t="inlineStr">
        <is>
          <t>Data</t>
        </is>
      </c>
      <c r="E167" s="209" t="n">
        <v>46243</v>
      </c>
      <c r="F167" s="209" t="n">
        <v>46247</v>
      </c>
      <c r="G167" s="214" t="inlineStr">
        <is>
          <t>CLOSED as NO LONGER NEEDED - same reason: the features these would feed were pruned in d0a24d9. Reopen only alongside rebuilding key-player availability.</t>
        </is>
      </c>
      <c r="R167">
        <f>IF($A167&lt;&gt;"",$A167,R166)</f>
        <v/>
      </c>
    </row>
    <row r="168" ht="28.8" customHeight="1" s="291">
      <c r="A168" t="inlineStr">
        <is>
          <t>E8 Model Quality</t>
        </is>
      </c>
      <c r="B168" t="inlineStr">
        <is>
          <t>NEXT: retrain on the complete 9-league pool</t>
        </is>
      </c>
      <c r="C168" s="272" t="inlineStr">
        <is>
          <t>Done</t>
        </is>
      </c>
      <c r="D168" t="inlineStr">
        <is>
          <t>ML</t>
        </is>
      </c>
      <c r="E168" s="209" t="n">
        <v>46243</v>
      </c>
      <c r="F168" s="209" t="n">
        <v>46247</v>
      </c>
      <c r="G168" s="214" t="inlineStr">
        <is>
          <t>CLOSED - superseded. The serving model is pooled across 18 leagues, with per-league AND per-league-x-per-market metrics reported every run.</t>
        </is>
      </c>
      <c r="R168">
        <f>IF($A168&lt;&gt;"",$A168,R167)</f>
        <v/>
      </c>
    </row>
    <row r="169" ht="43.2" customHeight="1" s="291">
      <c r="A169" t="inlineStr">
        <is>
          <t>E8 Model Quality</t>
        </is>
      </c>
      <c r="B169" t="inlineStr">
        <is>
          <t>NEXT: re-fit the corners blend lambda after retrain</t>
        </is>
      </c>
      <c r="C169" s="185" t="inlineStr">
        <is>
          <t>Planned</t>
        </is>
      </c>
      <c r="D169" t="inlineStr">
        <is>
          <t>ML</t>
        </is>
      </c>
      <c r="E169" s="209" t="n">
        <v>46243</v>
      </c>
      <c r="G169" s="214" t="inlineStr">
        <is>
          <t>ACTION (DEV): 0.75 was fitted against the CURRENT corners model. A better model deserves different weight - easy to forget and would leave a stale constant in production</t>
        </is>
      </c>
      <c r="R169">
        <f>IF($A169&lt;&gt;"",$A169,R168)</f>
        <v/>
      </c>
    </row>
    <row r="170" ht="28.8" customHeight="1" s="291">
      <c r="A170" t="inlineStr">
        <is>
          <t>E8 Model Quality</t>
        </is>
      </c>
      <c r="B170" t="inlineStr">
        <is>
          <t>Closing odds capture + CLV metric</t>
        </is>
      </c>
      <c r="C170" s="272" t="inlineStr">
        <is>
          <t>Done</t>
        </is>
      </c>
      <c r="D170" t="inlineStr">
        <is>
          <t>ML</t>
        </is>
      </c>
      <c r="E170" s="209" t="n">
        <v>46243</v>
      </c>
      <c r="F170" s="209" t="n">
        <v>46247</v>
      </c>
      <c r="G170" s="214" t="inlineStr">
        <is>
          <t>CLOSED as BUILT: capture_closing_odds runs on schedule, closing_line_value() exists, and the notebook reports CLV with a control arm. The first read at a real sample size is data-gated - see the 22 Sep milestone.</t>
        </is>
      </c>
      <c r="R170">
        <f>IF($A170&lt;&gt;"",$A170,R169)</f>
        <v/>
      </c>
    </row>
    <row r="171" ht="28.8" customHeight="1" s="291">
      <c r="A171" t="inlineStr">
        <is>
          <t>E8 Model Quality</t>
        </is>
      </c>
      <c r="B171" t="inlineStr">
        <is>
          <t>Multiple form windows (3 / 5 / 10 / season)</t>
        </is>
      </c>
      <c r="C171" s="272" t="inlineStr">
        <is>
          <t>Done</t>
        </is>
      </c>
      <c r="D171" t="inlineStr">
        <is>
          <t>ML</t>
        </is>
      </c>
      <c r="E171" s="209" t="n">
        <v>46243</v>
      </c>
      <c r="F171" s="209" t="n">
        <v>46247</v>
      </c>
      <c r="G171" s="214" t="inlineStr">
        <is>
          <t>CLOSED 13 Aug for ALL THREE SPORTS, the last inherited hyperparameter. Football moved UP to 10 from an inherited 5; tennis (0.6377 vs 0.6312) and NBA (RPS 0.2013 vs 0.2039 and 0.2041) both defended 10 against shorter windows. 'Shorter is fresher' is dead.</t>
        </is>
      </c>
      <c r="R171">
        <f>IF($A171&lt;&gt;"",$A171,R170)</f>
        <v/>
      </c>
    </row>
    <row r="172" ht="28.8" customHeight="1" s="291">
      <c r="A172" t="inlineStr">
        <is>
          <t>E8 Model Quality</t>
        </is>
      </c>
      <c r="B172" t="inlineStr">
        <is>
          <t>Wire shots / shots-on-target / possession as features</t>
        </is>
      </c>
      <c r="C172" s="185" t="inlineStr">
        <is>
          <t>Planned</t>
        </is>
      </c>
      <c r="D172" t="inlineStr">
        <is>
          <t>ML</t>
        </is>
      </c>
      <c r="E172" s="209" t="n">
        <v>46243</v>
      </c>
      <c r="G172" s="214" t="inlineStr">
        <is>
          <t>ACTION (DEV): ALREADY FETCHED for the H2H panel, just not model inputs. Shots predict goals better than goals do at small samples</t>
        </is>
      </c>
      <c r="R172">
        <f>IF($A172&lt;&gt;"",$A172,R171)</f>
        <v/>
      </c>
    </row>
    <row r="173" ht="28.8" customHeight="1" s="291">
      <c r="A173" t="inlineStr">
        <is>
          <t>E6 Picks</t>
        </is>
      </c>
      <c r="B173" t="inlineStr">
        <is>
          <t>BTTS market</t>
        </is>
      </c>
      <c r="C173" s="185" t="inlineStr">
        <is>
          <t>Planned</t>
        </is>
      </c>
      <c r="D173" t="inlineStr">
        <is>
          <t>Backend</t>
        </is>
      </c>
      <c r="E173" s="209" t="n">
        <v>46243</v>
      </c>
      <c r="G173" s="214" t="inlineStr">
        <is>
          <t>ACTION (DEV): Only named market from the top-30 doc we lack. (1-e^-xg_home)(1-e^-xg_away) on the existing Poisson assumption - no new data</t>
        </is>
      </c>
      <c r="R173">
        <f>IF($A173&lt;&gt;"",$A173,R172)</f>
        <v/>
      </c>
    </row>
    <row r="174" ht="57.6" customHeight="1" s="291">
      <c r="A174" t="inlineStr">
        <is>
          <t>E9 Data Ops</t>
        </is>
      </c>
      <c r="B174" t="inlineStr">
        <is>
          <t>Probe coverage.odds for the top-30 doc's Tier-1 ten</t>
        </is>
      </c>
      <c r="C174" s="272" t="inlineStr">
        <is>
          <t>Done</t>
        </is>
      </c>
      <c r="D174" t="inlineStr">
        <is>
          <t>Data</t>
        </is>
      </c>
      <c r="E174" s="209" t="n">
        <v>46243</v>
      </c>
      <c r="G174" s="214"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91">
      <c r="A175" t="inlineStr">
        <is>
          <t>E9 Data Ops</t>
        </is>
      </c>
      <c r="B175" t="inlineStr">
        <is>
          <t>Game logs for whichever Tier-1 leagues have odds</t>
        </is>
      </c>
      <c r="C175" s="185" t="inlineStr">
        <is>
          <t>Planned</t>
        </is>
      </c>
      <c r="D175" t="inlineStr">
        <is>
          <t>Data</t>
        </is>
      </c>
      <c r="E175" s="209" t="n">
        <v>46243</v>
      </c>
      <c r="G175" s="214" t="inlineStr">
        <is>
          <t>ACTION (DEV): ~5 calls per league. 1X2 + goals + BTTS need ONLY the game log; corners/lineups are the expensive per-fixture extras</t>
        </is>
      </c>
      <c r="R175">
        <f>IF($A175&lt;&gt;"",$A175,R174)</f>
        <v/>
      </c>
    </row>
    <row r="176" ht="100.8" customHeight="1" s="291">
      <c r="A176" t="inlineStr">
        <is>
          <t>E10 Deploy</t>
        </is>
      </c>
      <c r="B176" t="inlineStr">
        <is>
          <t>Check Expo push RECEIPTS, not just tickets</t>
        </is>
      </c>
      <c r="C176" s="272" t="inlineStr">
        <is>
          <t>Done</t>
        </is>
      </c>
      <c r="D176" t="inlineStr">
        <is>
          <t>Backend</t>
        </is>
      </c>
      <c r="E176" s="209" t="n">
        <v>46243</v>
      </c>
      <c r="F176" s="209" t="n">
        <v>46244</v>
      </c>
      <c r="G176" s="214"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91">
      <c r="A177" t="inlineStr">
        <is>
          <t>E11 Ops Resilience</t>
        </is>
      </c>
      <c r="B177" t="inlineStr">
        <is>
          <t>Purge 141 fake push tokens from the dev DB</t>
        </is>
      </c>
      <c r="C177" s="272" t="inlineStr">
        <is>
          <t>Done</t>
        </is>
      </c>
      <c r="D177" t="inlineStr">
        <is>
          <t>Ops</t>
        </is>
      </c>
      <c r="E177" s="209" t="n">
        <v>46243</v>
      </c>
      <c r="F177" s="209" t="n">
        <v>46247</v>
      </c>
      <c r="G177" s="214" t="inlineStr">
        <is>
          <t>CLOSED 13 Aug: 0 test tokens remain (queried).</t>
        </is>
      </c>
      <c r="R177">
        <f>IF($A177&lt;&gt;"",$A177,R176)</f>
        <v/>
      </c>
    </row>
    <row r="178" ht="28.8" customHeight="1" s="291">
      <c r="A178" t="inlineStr">
        <is>
          <t>E11 Ops Resilience</t>
        </is>
      </c>
      <c r="B178" t="inlineStr">
        <is>
          <t>Dedicated test database</t>
        </is>
      </c>
      <c r="C178" s="272" t="inlineStr">
        <is>
          <t>Done</t>
        </is>
      </c>
      <c r="D178" t="inlineStr">
        <is>
          <t>Ops</t>
        </is>
      </c>
      <c r="E178" s="209" t="n">
        <v>46243</v>
      </c>
      <c r="F178" s="209" t="n">
        <v>46247</v>
      </c>
      <c r="G178" s="214" t="inlineStr">
        <is>
          <t>CLOSED: suite runs against sportiq_test, created and migrated by conftest, which refuses to start if the test URL resolves to the app database.</t>
        </is>
      </c>
      <c r="R178">
        <f>IF($A178&lt;&gt;"",$A178,R177)</f>
        <v/>
      </c>
    </row>
    <row r="179" ht="86.40000000000001" customHeight="1" s="291">
      <c r="A179" t="inlineStr">
        <is>
          <t>E11 Ops Resilience</t>
        </is>
      </c>
      <c r="B179" t="inlineStr">
        <is>
          <t>Extend ruff/black to ml/</t>
        </is>
      </c>
      <c r="C179" s="272" t="inlineStr">
        <is>
          <t>Done</t>
        </is>
      </c>
      <c r="D179" t="inlineStr">
        <is>
          <t>Ops</t>
        </is>
      </c>
      <c r="E179" s="209" t="n">
        <v>46243</v>
      </c>
      <c r="F179" s="209" t="n">
        <v>46244</v>
      </c>
      <c r="G179" s="214"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91">
      <c r="A180" t="inlineStr">
        <is>
          <t>E9 Data Ops</t>
        </is>
      </c>
      <c r="B180" t="inlineStr">
        <is>
          <t>DECIDE by 22 Sep: renew API-Football Ultra?</t>
        </is>
      </c>
      <c r="C180" s="19" t="inlineStr">
        <is>
          <t>Milestone</t>
        </is>
      </c>
      <c r="D180" t="inlineStr">
        <is>
          <t>Data</t>
        </is>
      </c>
      <c r="E180" s="209" t="n">
        <v>46243</v>
      </c>
      <c r="G180" s="214" t="inlineStr">
        <is>
          <t>ACTION (YOU): Ends 2026-09-29, NOT 08-29 as previously recorded - confirmed live via GET /status. Ultra is 75,000/day; current burn is ~24k on a heavy collection day, so the allowance is not the constraint, the end date is</t>
        </is>
      </c>
      <c r="R180">
        <f>IF($A180&lt;&gt;"",$A180,R179)</f>
        <v/>
      </c>
    </row>
    <row r="181" ht="28.8" customHeight="1" s="291">
      <c r="A181" t="inlineStr">
        <is>
          <t>E9 Data Ops</t>
        </is>
      </c>
      <c r="B181" t="inlineStr">
        <is>
          <t>Game logs for the 9 odds-covered Tier-1 leagues</t>
        </is>
      </c>
      <c r="C181" s="272" t="inlineStr">
        <is>
          <t>Done</t>
        </is>
      </c>
      <c r="D181" t="inlineStr">
        <is>
          <t>Data</t>
        </is>
      </c>
      <c r="E181" s="209" t="n">
        <v>46244</v>
      </c>
      <c r="F181" s="209" t="n">
        <v>46243</v>
      </c>
      <c r="G181" s="214" t="inlineStr">
        <is>
          <t>DONE: 22,972 game-log rows / 11,486 fixtures, 9 leagues x 2021-2025, plus real xG at 99-100% resolution per league</t>
        </is>
      </c>
      <c r="R181">
        <f>IF($A181&lt;&gt;"",$A181,R180)</f>
        <v/>
      </c>
    </row>
    <row r="182" ht="72" customHeight="1" s="291">
      <c r="A182" t="inlineStr">
        <is>
          <t>E4 ML Football</t>
        </is>
      </c>
      <c r="B182" t="inlineStr">
        <is>
          <t>Pooled retrain across 18 leagues</t>
        </is>
      </c>
      <c r="C182" s="272" t="inlineStr">
        <is>
          <t>Done</t>
        </is>
      </c>
      <c r="D182" t="inlineStr">
        <is>
          <t>ML</t>
        </is>
      </c>
      <c r="E182" s="209" t="n">
        <v>46243</v>
      </c>
      <c r="F182" s="209" t="n">
        <v>46243</v>
      </c>
      <c r="G182" s="214"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91">
      <c r="B183" t="inlineStr">
        <is>
          <t>Corners history for the 9 Tier-1 leagues</t>
        </is>
      </c>
      <c r="C183" s="272" t="inlineStr">
        <is>
          <t>Done</t>
        </is>
      </c>
      <c r="D183" t="inlineStr">
        <is>
          <t>Data</t>
        </is>
      </c>
      <c r="E183" s="209" t="n">
        <v>46244</v>
      </c>
      <c r="F183" s="209" t="n">
        <v>46244</v>
      </c>
      <c r="G183" s="214" t="inlineStr">
        <is>
          <t>DONE: 14,390 rows / 7,195 fixtures, 35-71% coverage per league. Sampled 6 fixtures/league first to confirm coverage before spending ~11,486 calls</t>
        </is>
      </c>
      <c r="J183" t="inlineStr">
        <is>
          <t>|</t>
        </is>
      </c>
      <c r="R183">
        <f>IF($A183&lt;&gt;"",$A183,R182)</f>
        <v/>
      </c>
    </row>
    <row r="184" ht="72" customHeight="1" s="291">
      <c r="A184" t="inlineStr">
        <is>
          <t>E8 Model Quality</t>
        </is>
      </c>
      <c r="B184" t="inlineStr">
        <is>
          <t>Completeness floor on best_pick</t>
        </is>
      </c>
      <c r="C184" s="272" t="inlineStr">
        <is>
          <t>Done</t>
        </is>
      </c>
      <c r="D184" t="inlineStr">
        <is>
          <t>Backend</t>
        </is>
      </c>
      <c r="E184" s="209" t="n">
        <v>46244</v>
      </c>
      <c r="F184" s="209" t="n">
        <v>46244</v>
      </c>
      <c r="G184" s="214"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91">
      <c r="A185" t="inlineStr">
        <is>
          <t>E11 Ops Resilience</t>
        </is>
      </c>
      <c r="B185" t="inlineStr">
        <is>
          <t>Duplicate uvicorn/celery processes cleared</t>
        </is>
      </c>
      <c r="C185" s="272" t="inlineStr">
        <is>
          <t>Done</t>
        </is>
      </c>
      <c r="D185" t="inlineStr">
        <is>
          <t>Ops</t>
        </is>
      </c>
      <c r="E185" s="209" t="n">
        <v>46244</v>
      </c>
      <c r="F185" s="209" t="n">
        <v>46244</v>
      </c>
      <c r="G185" s="214"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91">
      <c r="A186" t="inlineStr">
        <is>
          <t>E2 Ingestion</t>
        </is>
      </c>
      <c r="B186" t="inlineStr">
        <is>
          <t>Wire the 9 Tier-1 leagues into live serving</t>
        </is>
      </c>
      <c r="C186" s="272" t="inlineStr">
        <is>
          <t>Done</t>
        </is>
      </c>
      <c r="D186" t="inlineStr">
        <is>
          <t>Backend</t>
        </is>
      </c>
      <c r="E186" s="209" t="n">
        <v>46244</v>
      </c>
      <c r="F186" s="209" t="n">
        <v>46244</v>
      </c>
      <c r="G186" s="214"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91">
      <c r="B187" t="inlineStr">
        <is>
          <t>Fix: J1 League season labelled by its END year</t>
        </is>
      </c>
      <c r="C187" s="272" t="inlineStr">
        <is>
          <t>Done</t>
        </is>
      </c>
      <c r="D187" t="inlineStr">
        <is>
          <t>Backend</t>
        </is>
      </c>
      <c r="E187" s="209" t="n">
        <v>46244</v>
      </c>
      <c r="F187" s="209" t="n">
        <v>46244</v>
      </c>
      <c r="G187" s="214"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91">
      <c r="A188" t="inlineStr">
        <is>
          <t>E9 Data Ops</t>
        </is>
      </c>
      <c r="B188" t="inlineStr">
        <is>
          <t>APIs &amp; Quotas sheet refreshed from live /status</t>
        </is>
      </c>
      <c r="C188" s="272" t="inlineStr">
        <is>
          <t>Done</t>
        </is>
      </c>
      <c r="D188" t="inlineStr">
        <is>
          <t>Data</t>
        </is>
      </c>
      <c r="E188" s="209" t="n">
        <v>46244</v>
      </c>
      <c r="F188" s="209" t="n">
        <v>46244</v>
      </c>
      <c r="G188" s="214"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91">
      <c r="A189" t="inlineStr">
        <is>
          <t>E4 ML Football</t>
        </is>
      </c>
      <c r="B189" t="inlineStr">
        <is>
          <t>Retrain: corners regressors finally see all 18 leagues</t>
        </is>
      </c>
      <c r="C189" s="272" t="inlineStr">
        <is>
          <t>Done</t>
        </is>
      </c>
      <c r="D189" t="inlineStr">
        <is>
          <t>ML</t>
        </is>
      </c>
      <c r="E189" s="209" t="n">
        <v>46244</v>
      </c>
      <c r="F189" s="209" t="n">
        <v>46244</v>
      </c>
      <c r="G189" s="214"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91">
      <c r="A190" t="inlineStr">
        <is>
          <t>E8 Model Quality</t>
        </is>
      </c>
      <c r="B190" t="inlineStr">
        <is>
          <t>MEASURED: new-league picks are genuinely overconfident</t>
        </is>
      </c>
      <c r="C190" s="272" t="inlineStr">
        <is>
          <t>Done</t>
        </is>
      </c>
      <c r="D190" t="inlineStr">
        <is>
          <t>ML</t>
        </is>
      </c>
      <c r="E190" s="209" t="n">
        <v>46244</v>
      </c>
      <c r="F190" s="209" t="n">
        <v>46244</v>
      </c>
      <c r="G190" s="214"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91">
      <c r="A191" t="inlineStr">
        <is>
          <t>E9 Data Ops</t>
        </is>
      </c>
      <c r="B191" t="inlineStr">
        <is>
          <t>Current-season history for the 9 new leagues</t>
        </is>
      </c>
      <c r="C191" s="272" t="inlineStr">
        <is>
          <t>Done</t>
        </is>
      </c>
      <c r="D191" t="inlineStr">
        <is>
          <t>Data</t>
        </is>
      </c>
      <c r="E191" s="209" t="n">
        <v>46244</v>
      </c>
      <c r="F191" s="209" t="n">
        <v>46244</v>
      </c>
      <c r="G191" s="214"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91">
      <c r="A192" t="inlineStr">
        <is>
          <t>E8 Model Quality</t>
        </is>
      </c>
      <c r="B192" t="inlineStr">
        <is>
          <t>Elo silently absent for parquet-sourced retrodictions</t>
        </is>
      </c>
      <c r="C192" s="272" t="inlineStr">
        <is>
          <t>Done</t>
        </is>
      </c>
      <c r="D192" t="inlineStr">
        <is>
          <t>Backend</t>
        </is>
      </c>
      <c r="E192" s="209" t="n">
        <v>46244</v>
      </c>
      <c r="F192" s="209" t="n">
        <v>46244</v>
      </c>
      <c r="G192" s="214"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91">
      <c r="A193" t="inlineStr">
        <is>
          <t>E2 Ingestion</t>
        </is>
      </c>
      <c r="B193" t="inlineStr">
        <is>
          <t>Season resolved from the provider, not a hardcoded guess</t>
        </is>
      </c>
      <c r="C193" s="272" t="inlineStr">
        <is>
          <t>Done</t>
        </is>
      </c>
      <c r="D193" t="inlineStr">
        <is>
          <t>Backend</t>
        </is>
      </c>
      <c r="E193" s="209" t="n">
        <v>46244</v>
      </c>
      <c r="F193" s="209" t="n">
        <v>46244</v>
      </c>
      <c r="G193" s="214"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91">
      <c r="A194" t="inlineStr">
        <is>
          <t>E9 Data Ops</t>
        </is>
      </c>
      <c r="B194" t="inlineStr">
        <is>
          <t>AUDIT: no other silent int/str join splits</t>
        </is>
      </c>
      <c r="C194" s="272" t="inlineStr">
        <is>
          <t>Done</t>
        </is>
      </c>
      <c r="D194" t="inlineStr">
        <is>
          <t>Data</t>
        </is>
      </c>
      <c r="E194" s="209" t="n">
        <v>46244</v>
      </c>
      <c r="F194" s="209" t="n">
        <v>46244</v>
      </c>
      <c r="G194" s="214"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91">
      <c r="B195" t="inlineStr">
        <is>
          <t>Corners for the new leagues' 2026 seasons</t>
        </is>
      </c>
      <c r="C195" s="272" t="inlineStr">
        <is>
          <t>Done</t>
        </is>
      </c>
      <c r="D195" t="inlineStr">
        <is>
          <t>Data</t>
        </is>
      </c>
      <c r="E195" s="209" t="n">
        <v>46244</v>
      </c>
      <c r="F195" s="209" t="n">
        <v>46244</v>
      </c>
      <c r="G195" s="214"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91">
      <c r="A196" t="inlineStr">
        <is>
          <t>E4 ML Football</t>
        </is>
      </c>
      <c r="B196" t="inlineStr">
        <is>
          <t>Retrain was a NO-OP: seasons outside the split are dropped</t>
        </is>
      </c>
      <c r="C196" s="272" t="inlineStr">
        <is>
          <t>Done</t>
        </is>
      </c>
      <c r="D196" t="inlineStr">
        <is>
          <t>ML</t>
        </is>
      </c>
      <c r="E196" s="209" t="n">
        <v>46244</v>
      </c>
      <c r="F196" s="209" t="n">
        <v>46244</v>
      </c>
      <c r="G196" s="214"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91">
      <c r="A197" t="inlineStr">
        <is>
          <t>E11 Ops Resilience</t>
        </is>
      </c>
      <c r="B197" t="inlineStr">
        <is>
          <t>Cleared 165 test push tokens from the dev DB</t>
        </is>
      </c>
      <c r="C197" s="272" t="inlineStr">
        <is>
          <t>Done</t>
        </is>
      </c>
      <c r="D197" t="inlineStr">
        <is>
          <t>Ops</t>
        </is>
      </c>
      <c r="E197" s="209" t="n">
        <v>46244</v>
      </c>
      <c r="F197" s="209" t="n">
        <v>46244</v>
      </c>
      <c r="G197" s="214"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91">
      <c r="A198" t="inlineStr">
        <is>
          <t>E4 ML Football</t>
        </is>
      </c>
      <c r="B198" t="inlineStr">
        <is>
          <t>DECIDE: advance the split windows once 2026 is complete</t>
        </is>
      </c>
      <c r="C198" s="19" t="inlineStr">
        <is>
          <t>Milestone</t>
        </is>
      </c>
      <c r="D198" t="inlineStr">
        <is>
          <t>ML</t>
        </is>
      </c>
      <c r="E198" s="209" t="n">
        <v>46327</v>
      </c>
      <c r="G198" s="214" t="inlineStr">
        <is>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91">
      <c r="A199" t="inlineStr">
        <is>
          <t>E5 ML Tennis</t>
        </is>
      </c>
      <c r="B199" t="inlineStr">
        <is>
          <t>Impossible drawn outcomes: guarded and removed</t>
        </is>
      </c>
      <c r="C199" s="272" t="inlineStr">
        <is>
          <t>Done</t>
        </is>
      </c>
      <c r="D199" t="inlineStr">
        <is>
          <t>Backend</t>
        </is>
      </c>
      <c r="E199" s="209" t="n">
        <v>46244</v>
      </c>
      <c r="F199" s="209" t="n">
        <v>46244</v>
      </c>
      <c r="G199" s="214"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91">
      <c r="A200" t="inlineStr">
        <is>
          <t>E9 Data Ops</t>
        </is>
      </c>
      <c r="B200" t="inlineStr">
        <is>
          <t>CORRECTED: 'player1 is always the winner' is too strong</t>
        </is>
      </c>
      <c r="C200" s="272" t="inlineStr">
        <is>
          <t>Done</t>
        </is>
      </c>
      <c r="D200" t="inlineStr">
        <is>
          <t>Data</t>
        </is>
      </c>
      <c r="E200" s="209" t="n">
        <v>46244</v>
      </c>
      <c r="F200" s="209" t="n">
        <v>46244</v>
      </c>
      <c r="G200" s="214"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91">
      <c r="A201" t="inlineStr">
        <is>
          <t>E11 Ops Resilience</t>
        </is>
      </c>
      <c r="B201" t="inlineStr">
        <is>
          <t>Stale Celery worker hit AGAIN (2nd time in one day)</t>
        </is>
      </c>
      <c r="C201" s="272" t="inlineStr">
        <is>
          <t>Done</t>
        </is>
      </c>
      <c r="D201" t="inlineStr">
        <is>
          <t>Ops</t>
        </is>
      </c>
      <c r="E201" s="209" t="n">
        <v>46244</v>
      </c>
      <c r="F201" s="209" t="n">
        <v>46244</v>
      </c>
      <c r="G201" s="214"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91">
      <c r="B202" t="inlineStr">
        <is>
          <t>Test DB truncated per session; teardown kept</t>
        </is>
      </c>
      <c r="C202" s="272" t="inlineStr">
        <is>
          <t>Done</t>
        </is>
      </c>
      <c r="D202" t="inlineStr">
        <is>
          <t>Ops</t>
        </is>
      </c>
      <c r="E202" s="209" t="n">
        <v>46244</v>
      </c>
      <c r="F202" s="209" t="n">
        <v>46244</v>
      </c>
      <c r="G202" s="214"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91">
      <c r="A203" t="inlineStr">
        <is>
          <t>E8 Model Quality</t>
        </is>
      </c>
      <c r="B203" t="inlineStr">
        <is>
          <t>Key-player features re-measured, then deleted</t>
        </is>
      </c>
      <c r="C203" s="272" t="inlineStr">
        <is>
          <t>Done</t>
        </is>
      </c>
      <c r="D203" t="inlineStr">
        <is>
          <t>ML</t>
        </is>
      </c>
      <c r="E203" s="209" t="n">
        <v>46244</v>
      </c>
      <c r="F203" s="209" t="n">
        <v>46244</v>
      </c>
      <c r="G203" s="214"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91">
      <c r="A204" t="inlineStr">
        <is>
          <t>E6 Picks</t>
        </is>
      </c>
      <c r="B204" t="inlineStr">
        <is>
          <t>DECIDED: do not exclude Polymarket at ingest</t>
        </is>
      </c>
      <c r="C204" s="272" t="inlineStr">
        <is>
          <t>Done</t>
        </is>
      </c>
      <c r="D204" t="inlineStr">
        <is>
          <t>Backend</t>
        </is>
      </c>
      <c r="E204" s="209" t="n">
        <v>46244</v>
      </c>
      <c r="F204" s="209" t="n">
        <v>46244</v>
      </c>
      <c r="G204" s="214"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91">
      <c r="B205" t="inlineStr">
        <is>
          <t>Implausible prices no longer win best-odds selection</t>
        </is>
      </c>
      <c r="C205" s="272" t="inlineStr">
        <is>
          <t>Done</t>
        </is>
      </c>
      <c r="D205" t="inlineStr">
        <is>
          <t>Backend</t>
        </is>
      </c>
      <c r="E205" s="209" t="n">
        <v>46244</v>
      </c>
      <c r="F205" s="209" t="n">
        <v>46244</v>
      </c>
      <c r="G205" s="214"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91">
      <c r="A206" t="inlineStr">
        <is>
          <t>E8 Model Quality</t>
        </is>
      </c>
      <c r="B206" t="inlineStr">
        <is>
          <t>Availability: Stage 1 run, id-first join, injuries deduped</t>
        </is>
      </c>
      <c r="C206" s="272" t="inlineStr">
        <is>
          <t>Done</t>
        </is>
      </c>
      <c r="D206" t="inlineStr">
        <is>
          <t>Backend</t>
        </is>
      </c>
      <c r="E206" s="209" t="n">
        <v>46244</v>
      </c>
      <c r="F206" s="209" t="n">
        <v>46245</v>
      </c>
      <c r="G206" s="214"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91">
      <c r="A207" t="inlineStr">
        <is>
          <t>E9 Data Ops</t>
        </is>
      </c>
      <c r="B207" t="inlineStr">
        <is>
          <t>Stage 1 rosters are thin for the live season</t>
        </is>
      </c>
      <c r="C207" s="272" t="inlineStr">
        <is>
          <t>Done</t>
        </is>
      </c>
      <c r="D207" t="inlineStr">
        <is>
          <t>Data</t>
        </is>
      </c>
      <c r="E207" s="209" t="n">
        <v>46244</v>
      </c>
      <c r="F207" s="209" t="n">
        <v>46245</v>
      </c>
      <c r="G207" s="214"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91">
      <c r="A208" t="inlineStr">
        <is>
          <t>E6 Picks</t>
        </is>
      </c>
      <c r="B208" t="inlineStr">
        <is>
          <t>Best odds quoted a price no longer on offer</t>
        </is>
      </c>
      <c r="C208" s="272" t="inlineStr">
        <is>
          <t>Done</t>
        </is>
      </c>
      <c r="D208" t="inlineStr">
        <is>
          <t>Backend</t>
        </is>
      </c>
      <c r="E208" s="209" t="n">
        <v>46245</v>
      </c>
      <c r="F208" s="209" t="n">
        <v>46245</v>
      </c>
      <c r="G208" s="214"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91">
      <c r="A209" t="inlineStr">
        <is>
          <t>E11 Ops Resilience</t>
        </is>
      </c>
      <c r="B209" t="inlineStr">
        <is>
          <t>watchlist_items.created_at NOT NULL</t>
        </is>
      </c>
      <c r="C209" s="272" t="inlineStr">
        <is>
          <t>Done</t>
        </is>
      </c>
      <c r="D209" t="inlineStr">
        <is>
          <t>Ops</t>
        </is>
      </c>
      <c r="E209" s="209" t="n">
        <v>46245</v>
      </c>
      <c r="F209" s="209" t="n">
        <v>46245</v>
      </c>
      <c r="G209" s="214"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91">
      <c r="A210" t="inlineStr">
        <is>
          <t>E8 Model Quality</t>
        </is>
      </c>
      <c r="B210" t="inlineStr">
        <is>
          <t>confidence_tier marked unvalidated in every schema</t>
        </is>
      </c>
      <c r="C210" s="272" t="inlineStr">
        <is>
          <t>Done</t>
        </is>
      </c>
      <c r="D210" t="inlineStr">
        <is>
          <t>Backend</t>
        </is>
      </c>
      <c r="E210" s="209" t="n">
        <v>46245</v>
      </c>
      <c r="F210" s="209" t="n">
        <v>46245</v>
      </c>
      <c r="G210" s="214"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1" ht="72" customHeight="1" s="291">
      <c r="A211" t="inlineStr">
        <is>
          <t>E11 Ops Resilience</t>
        </is>
      </c>
      <c r="B211" t="inlineStr">
        <is>
          <t>Withdrawn fixtures retired from the provider's own list, not the clock</t>
        </is>
      </c>
      <c r="C211" s="272" t="inlineStr">
        <is>
          <t>Done</t>
        </is>
      </c>
      <c r="D211" t="inlineStr">
        <is>
          <t>Backend</t>
        </is>
      </c>
      <c r="E211" s="209" t="n">
        <v>46246</v>
      </c>
      <c r="F211" s="209" t="n">
        <v>46246</v>
      </c>
      <c r="G211" s="214" t="inlineStr">
        <is>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is>
      </c>
      <c r="J211" t="inlineStr">
        <is>
          <t>|</t>
        </is>
      </c>
      <c r="R211">
        <f>IF($A211&lt;&gt;"",$A211,R210)</f>
        <v/>
      </c>
    </row>
    <row r="212" ht="43.2" customHeight="1" s="291">
      <c r="A212" t="inlineStr">
        <is>
          <t>E11 Ops Resilience</t>
        </is>
      </c>
      <c r="B212" t="inlineStr">
        <is>
          <t>Tennis odds gap diagnosed: coverage was already 100%</t>
        </is>
      </c>
      <c r="C212" s="272" t="inlineStr">
        <is>
          <t>Done</t>
        </is>
      </c>
      <c r="D212" t="inlineStr">
        <is>
          <t>Backend</t>
        </is>
      </c>
      <c r="E212" s="209" t="n">
        <v>46246</v>
      </c>
      <c r="F212" s="209" t="n">
        <v>46246</v>
      </c>
      <c r="G212" s="214" t="inlineStr">
        <is>
          <t>Reported as missing odds. Cadence, quota, name matching and stale workers all measured and cleared; every real fixture was priced. The unpriced cards were matches that did not exist</t>
        </is>
      </c>
      <c r="J212" t="inlineStr">
        <is>
          <t>|</t>
        </is>
      </c>
      <c r="R212">
        <f>IF($A212&lt;&gt;"",$A212,R211)</f>
        <v/>
      </c>
    </row>
    <row r="213" ht="57.6" customHeight="1" s="291">
      <c r="A213" t="inlineStr">
        <is>
          <t>E11 Ops Resilience</t>
        </is>
      </c>
      <c r="B213" t="inlineStr">
        <is>
          <t>Withdrawn fixtures hidden; called-off ones still shown</t>
        </is>
      </c>
      <c r="C213" s="272" t="inlineStr">
        <is>
          <t>Done</t>
        </is>
      </c>
      <c r="D213" t="inlineStr">
        <is>
          <t>Backend</t>
        </is>
      </c>
      <c r="E213" s="209" t="n">
        <v>46246</v>
      </c>
      <c r="F213" s="209" t="n">
        <v>46246</v>
      </c>
      <c r="G213" s="214" t="inlineStr">
        <is>
          <t>fixtures.withdrawn (faa1ecc4c1ac). Retiring the phantoms left 33 grey cards above the day's 2 real picks. Flag set only by the reconciliation, cleared when the provider relists - a flag that cannot be cleared hides a fixture forever. Detail still serves them</t>
        </is>
      </c>
      <c r="J213" t="inlineStr">
        <is>
          <t>|</t>
        </is>
      </c>
      <c r="R213">
        <f>IF($A213&lt;&gt;"",$A213,R212)</f>
        <v/>
      </c>
    </row>
    <row r="214" ht="72" customHeight="1" s="291">
      <c r="A214" t="inlineStr">
        <is>
          <t>E8 Model Quality</t>
        </is>
      </c>
      <c r="B214" t="inlineStr">
        <is>
          <t>Corners Poisson regressors tuned (last untuned estimator)</t>
        </is>
      </c>
      <c r="C214" s="272" t="inlineStr">
        <is>
          <t>Done</t>
        </is>
      </c>
      <c r="D214" t="inlineStr">
        <is>
          <t>ML</t>
        </is>
      </c>
      <c r="E214" s="209" t="n">
        <v>46247</v>
      </c>
      <c r="F214" s="209" t="n">
        <v>46247</v>
      </c>
      <c r="G214" s="214" t="inlineStr">
        <is>
          <t>Pre-registered WITH tolerances. under-9.5 Brier 0.2535-&gt;0.2509, corners MAE 2.158-&gt;2.120, under-10.5 buckets inverted-&gt;monotonic. Defaults wrong again: depth 4-&gt;3/4, lr 0.3-&gt;0.032. Scoping proved by booster hashes - layer1/layer2 byte-identical. football_xgb_v20260813004745</t>
        </is>
      </c>
      <c r="J214" t="inlineStr">
        <is>
          <t>|</t>
        </is>
      </c>
      <c r="R214">
        <f>IF($A214&lt;&gt;"",$A214,R213)</f>
        <v/>
      </c>
    </row>
    <row r="215" ht="57.6" customHeight="1" s="291">
      <c r="A215" t="inlineStr">
        <is>
          <t>E8 Model Quality</t>
        </is>
      </c>
      <c r="B215" t="inlineStr">
        <is>
          <t>Over/Under CORNERS held-out evaluation (never existed)</t>
        </is>
      </c>
      <c r="C215" s="272" t="inlineStr">
        <is>
          <t>Done</t>
        </is>
      </c>
      <c r="D215" t="inlineStr">
        <is>
          <t>ML</t>
        </is>
      </c>
      <c r="E215" s="209" t="n">
        <v>46247</v>
      </c>
      <c r="F215" s="209" t="n">
        <v>46247</v>
      </c>
      <c r="G215" s="214" t="inlineStr">
        <is>
          <t>Corners was judged by MAE alone, which is not what the market sells - the same gap that let goals ship overconfident. Brier + reliability buckets per line, every run, logged to MLflow. Shows discrimination is real but weak: predicted spans 0.2-0.7, observed only 0.44-0.56</t>
        </is>
      </c>
      <c r="J215" t="inlineStr">
        <is>
          <t>|</t>
        </is>
      </c>
      <c r="R215">
        <f>IF($A215&lt;&gt;"",$A215,R214)</f>
        <v/>
      </c>
    </row>
    <row r="216" ht="57.6" customHeight="1" s="291">
      <c r="A216" t="inlineStr">
        <is>
          <t>E11 Ops Resilience</t>
        </is>
      </c>
      <c r="B216" t="inlineStr">
        <is>
          <t>Retrains now reach the feed (stale model_version re-queue)</t>
        </is>
      </c>
      <c r="C216" s="272" t="inlineStr">
        <is>
          <t>Done</t>
        </is>
      </c>
      <c r="D216" t="inlineStr">
        <is>
          <t>Backend</t>
        </is>
      </c>
      <c r="E216" s="209" t="n">
        <v>46247</v>
      </c>
      <c r="F216" s="209" t="n">
        <v>46247</v>
      </c>
      <c r="G216" s="214" t="inlineStr">
        <is>
          <t>All 135 upcoming football fixtures were serving predictions from one of FOUR superseded versions. Guard only asked 'does a prediction exist'; promotion is a DB update so nothing logged. Re-queues on version change only, so a daily run still queues nothing</t>
        </is>
      </c>
      <c r="J216" t="inlineStr">
        <is>
          <t>|</t>
        </is>
      </c>
      <c r="R216">
        <f>IF($A216&lt;&gt;"",$A216,R215)</f>
        <v/>
      </c>
    </row>
    <row r="217" ht="86.40000000000001" customHeight="1" s="291">
      <c r="A217" t="inlineStr">
        <is>
          <t>E8 Model Quality</t>
        </is>
      </c>
      <c r="B217" t="inlineStr">
        <is>
          <t>Prediction-history analytics notebook</t>
        </is>
      </c>
      <c r="C217" s="272" t="inlineStr">
        <is>
          <t>Done</t>
        </is>
      </c>
      <c r="D217" t="inlineStr">
        <is>
          <t>ML</t>
        </is>
      </c>
      <c r="E217" s="209" t="n">
        <v>46247</v>
      </c>
      <c r="F217" s="209" t="n">
        <v>46247</v>
      </c>
      <c r="G217" s="214" t="inlineStr">
        <is>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is>
      </c>
      <c r="J217" t="inlineStr">
        <is>
          <t>|</t>
        </is>
      </c>
      <c r="R217">
        <f>IF($A217&lt;&gt;"",$A217,R216)</f>
        <v/>
      </c>
    </row>
    <row r="218" ht="72" customHeight="1" s="291">
      <c r="A218" t="inlineStr">
        <is>
          <t>E8 Model Quality</t>
        </is>
      </c>
      <c r="B218" t="inlineStr">
        <is>
          <t>History metrics counted rows, not fixtures</t>
        </is>
      </c>
      <c r="C218" s="272" t="inlineStr">
        <is>
          <t>Done</t>
        </is>
      </c>
      <c r="D218" t="inlineStr">
        <is>
          <t>Backend</t>
        </is>
      </c>
      <c r="E218" s="209" t="n">
        <v>46247</v>
      </c>
      <c r="F218" s="209" t="n">
        <v>46247</v>
      </c>
      <c r="G218" s="214" t="inlineStr">
        <is>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is>
      </c>
      <c r="J218" t="inlineStr">
        <is>
          <t>|</t>
        </is>
      </c>
      <c r="R218">
        <f>IF($A218&lt;&gt;"",$A218,R217)</f>
        <v/>
      </c>
    </row>
    <row r="219" ht="86.40000000000001" customHeight="1" s="291">
      <c r="A219" t="inlineStr">
        <is>
          <t>E6 Picks</t>
        </is>
      </c>
      <c r="B219" t="inlineStr">
        <is>
          <t>Tennis base-rate gate removed (was inverting 25% of picks)</t>
        </is>
      </c>
      <c r="C219" s="272" t="inlineStr">
        <is>
          <t>Done</t>
        </is>
      </c>
      <c r="D219" t="inlineStr">
        <is>
          <t>Backend</t>
        </is>
      </c>
      <c r="E219" s="209" t="n">
        <v>46247</v>
      </c>
      <c r="F219" s="209" t="n">
        <v>46247</v>
      </c>
      <c r="G219" s="214" t="inlineStr">
        <is>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is>
      </c>
      <c r="J219" t="inlineStr">
        <is>
          <t>|</t>
        </is>
      </c>
      <c r="R219">
        <f>IF($A219&lt;&gt;"",$A219,R218)</f>
        <v/>
      </c>
    </row>
    <row r="220" ht="72" customHeight="1" s="291">
      <c r="A220" t="inlineStr">
        <is>
          <t>E8 Model Quality</t>
        </is>
      </c>
      <c r="B220" t="inlineStr">
        <is>
          <t>Ranking baseline reported per surface, gate pre-registered</t>
        </is>
      </c>
      <c r="C220" s="272" t="inlineStr">
        <is>
          <t>Done</t>
        </is>
      </c>
      <c r="D220" t="inlineStr">
        <is>
          <t>ML</t>
        </is>
      </c>
      <c r="E220" s="209" t="n">
        <v>46247</v>
      </c>
      <c r="F220" s="209" t="n">
        <v>46247</v>
      </c>
      <c r="G220" s="214" t="inlineStr">
        <is>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is>
      </c>
      <c r="J220" t="inlineStr">
        <is>
          <t>|</t>
        </is>
      </c>
      <c r="R220">
        <f>IF($A220&lt;&gt;"",$A220,R219)</f>
        <v/>
      </c>
    </row>
    <row r="221" ht="57.6" customHeight="1" s="291">
      <c r="A221" t="inlineStr">
        <is>
          <t>E9 Data Ops</t>
        </is>
      </c>
      <c r="B221" t="inlineStr">
        <is>
          <t>Tennis surface whitespace bug ('Grass' vs 'Grass ')</t>
        </is>
      </c>
      <c r="C221" s="272" t="inlineStr">
        <is>
          <t>Done</t>
        </is>
      </c>
      <c r="D221" t="inlineStr">
        <is>
          <t>ML</t>
        </is>
      </c>
      <c r="E221" s="209" t="n">
        <v>46247</v>
      </c>
      <c r="F221" s="209" t="n">
        <v>46247</v>
      </c>
      <c r="G221" s="214" t="inlineStr">
        <is>
          <t>4,296 vs 386 rows as separate categories. Not cosmetic - surface_win_rate, surface_streak and h2h_win_rate_surface all match on this string, so 8% of grass matches were compared against the wrong pool. Stripped at collection and on load</t>
        </is>
      </c>
      <c r="J221" t="inlineStr">
        <is>
          <t>|</t>
        </is>
      </c>
      <c r="R221">
        <f>IF($A221&lt;&gt;"",$A221,R220)</f>
        <v/>
      </c>
    </row>
    <row r="222" ht="72" customHeight="1" s="291">
      <c r="A222" t="inlineStr">
        <is>
          <t>E6 Picks</t>
        </is>
      </c>
      <c r="B222" t="inlineStr">
        <is>
          <t>MIN_FEATURE_COMPLETENESS raised 0.25 -&gt; 0.35</t>
        </is>
      </c>
      <c r="C222" s="272" t="inlineStr">
        <is>
          <t>Done</t>
        </is>
      </c>
      <c r="D222" t="inlineStr">
        <is>
          <t>Backend</t>
        </is>
      </c>
      <c r="E222" s="209" t="n">
        <v>46247</v>
      </c>
      <c r="F222" s="209" t="n">
        <v>46247</v>
      </c>
      <c r="G222" s="214" t="inlineStr">
        <is>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is>
      </c>
      <c r="J222" t="inlineStr">
        <is>
          <t>|</t>
        </is>
      </c>
      <c r="R222">
        <f>IF($A222&lt;&gt;"",$A222,R221)</f>
        <v/>
      </c>
    </row>
    <row r="223" ht="57.6" customHeight="1" s="291">
      <c r="A223" t="inlineStr">
        <is>
          <t>E9 Data Ops</t>
        </is>
      </c>
      <c r="B223" t="inlineStr">
        <is>
          <t>Corners coverage backfilled 66% -&gt; 91%</t>
        </is>
      </c>
      <c r="C223" s="272" t="inlineStr">
        <is>
          <t>Done</t>
        </is>
      </c>
      <c r="D223" t="inlineStr">
        <is>
          <t>ML</t>
        </is>
      </c>
      <c r="E223" s="209" t="n">
        <v>46247</v>
      </c>
      <c r="F223" s="209" t="n">
        <v>46247</v>
      </c>
      <c r="G223" s="214" t="inlineStr">
        <is>
          <t>+6,913 fixtures, 50,540 rows. The date bound was a 7,500/day budget decision; the plan is Ultra at 75,000/day. Sampled 12 gaps first - 8 returned real data, so most were collection misses. Corners training rows 10,877 -&gt; 14,745</t>
        </is>
      </c>
      <c r="J223" t="inlineStr">
        <is>
          <t>|</t>
        </is>
      </c>
      <c r="R223">
        <f>IF($A223&lt;&gt;"",$A223,R222)</f>
        <v/>
      </c>
    </row>
    <row r="224" ht="72" customHeight="1" s="291">
      <c r="A224" t="inlineStr">
        <is>
          <t>E9 Data Ops</t>
        </is>
      </c>
      <c r="B224" t="inlineStr">
        <is>
          <t>collect_league silently skipped 4 leagues incl. EPL</t>
        </is>
      </c>
      <c r="C224" s="272" t="inlineStr">
        <is>
          <t>Done</t>
        </is>
      </c>
      <c r="D224" t="inlineStr">
        <is>
          <t>ML</t>
        </is>
      </c>
      <c r="E224" s="209" t="n">
        <v>46247</v>
      </c>
      <c r="F224" s="209" t="n">
        <v>46247</v>
      </c>
      <c r="G224" s="214" t="inlineStr">
        <is>
          <t>Gated on games_path AND names_path existing, so the four leagues with no team_names parquet returned immediately for every non-gamelog stage, logging 'no game log yet' about a 3,800-row file. Found only because the backfill measured per league and those four gained exactly zero</t>
        </is>
      </c>
      <c r="J224" t="inlineStr">
        <is>
          <t>|</t>
        </is>
      </c>
      <c r="R224">
        <f>IF($A224&lt;&gt;"",$A224,R223)</f>
        <v/>
      </c>
    </row>
    <row r="225" ht="57.6" customHeight="1" s="291">
      <c r="A225" t="inlineStr">
        <is>
          <t>E8 Model Quality</t>
        </is>
      </c>
      <c r="B225" t="inlineStr">
        <is>
          <t>Football retrained on fuller corners data</t>
        </is>
      </c>
      <c r="C225" s="272" t="inlineStr">
        <is>
          <t>Done</t>
        </is>
      </c>
      <c r="D225" t="inlineStr">
        <is>
          <t>ML</t>
        </is>
      </c>
      <c r="E225" s="209" t="n">
        <v>46247</v>
      </c>
      <c r="F225" s="209" t="n">
        <v>46247</v>
      </c>
      <c r="G225" s="214" t="inlineStr">
        <is>
          <t>football_xgb_v20260813134423. layer1/layer2 byte-identical by hash, only corners changed. MAE 2.120 both sides but the test set grew 35% so not like-for-like; under-10.5 bucket spread 0.149 -&gt; 0.277 and still monotonic, which is the structural read</t>
        </is>
      </c>
      <c r="J225" t="inlineStr">
        <is>
          <t>|</t>
        </is>
      </c>
      <c r="R225">
        <f>IF($A225&lt;&gt;"",$A225,R224)</f>
        <v/>
      </c>
    </row>
    <row r="226" ht="43.2" customHeight="1" s="291">
      <c r="A226" t="inlineStr">
        <is>
          <t>E9 Data Ops</t>
        </is>
      </c>
      <c r="B226" t="inlineStr">
        <is>
          <t>API-Football plan facts corrected in CLAUDE.md</t>
        </is>
      </c>
      <c r="C226" s="272" t="inlineStr">
        <is>
          <t>Done</t>
        </is>
      </c>
      <c r="D226" t="inlineStr">
        <is>
          <t>Docs</t>
        </is>
      </c>
      <c r="E226" s="209" t="n">
        <v>46247</v>
      </c>
      <c r="F226" s="209" t="n">
        <v>46247</v>
      </c>
      <c r="G226" s="214" t="inlineStr">
        <is>
          <t>Documented as Pro/7,500/day ending 2026-08-29; actually Ultra/75,000/day ending 2026-09-29. Several 'cannot afford' decisions were sized against the old ceiling</t>
        </is>
      </c>
      <c r="J226" t="inlineStr">
        <is>
          <t>|</t>
        </is>
      </c>
      <c r="R226">
        <f>IF($A226&lt;&gt;"",$A226,R225)</f>
        <v/>
      </c>
    </row>
    <row r="227" ht="86.40000000000001" customHeight="1" s="291">
      <c r="A227" t="inlineStr">
        <is>
          <t>E9 Data Ops</t>
        </is>
      </c>
      <c r="B227" t="inlineStr">
        <is>
          <t>Budget audit: no further cheap data wins remain</t>
        </is>
      </c>
      <c r="C227" s="272" t="inlineStr">
        <is>
          <t>Done</t>
        </is>
      </c>
      <c r="D227" t="inlineStr">
        <is>
          <t>ML</t>
        </is>
      </c>
      <c r="E227" s="209" t="n">
        <v>46247</v>
      </c>
      <c r="F227" s="209" t="n">
        <v>46247</v>
      </c>
      <c r="G227" s="214" t="inlineStr">
        <is>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is>
      </c>
      <c r="J227" t="inlineStr">
        <is>
          <t>|</t>
        </is>
      </c>
      <c r="R227">
        <f>IF($A227&lt;&gt;"",$A227,R226)</f>
        <v/>
      </c>
    </row>
    <row r="228">
      <c r="A228" t="inlineStr">
        <is>
          <t>E8 Model Quality</t>
        </is>
      </c>
      <c r="B228" t="inlineStr">
        <is>
          <t>1X2 held-out log loss / Brier / ECE / reliability</t>
        </is>
      </c>
      <c r="C228" s="272" t="inlineStr">
        <is>
          <t>Done</t>
        </is>
      </c>
      <c r="D228" t="inlineStr">
        <is>
          <t>ML</t>
        </is>
      </c>
      <c r="E228" s="209" t="n">
        <v>46247</v>
      </c>
      <c r="F228" s="209" t="n">
        <v>46247</v>
      </c>
      <c r="G228" s="214" t="n"/>
      <c r="J228" t="inlineStr">
        <is>
          <t>|</t>
        </is>
      </c>
      <c r="R228">
        <f>IF($A228&lt;&gt;"",$A228,R227)</f>
        <v/>
      </c>
    </row>
    <row r="229">
      <c r="A229" t="inlineStr">
        <is>
          <t>E8 Model Quality</t>
        </is>
      </c>
      <c r="B229" t="inlineStr">
        <is>
          <t>Per-fixture test outputs saved (comparisons now joinable)</t>
        </is>
      </c>
      <c r="C229" s="272" t="inlineStr">
        <is>
          <t>Done</t>
        </is>
      </c>
      <c r="D229" t="inlineStr">
        <is>
          <t>ML</t>
        </is>
      </c>
      <c r="E229" s="209" t="n">
        <v>46247</v>
      </c>
      <c r="F229" s="209" t="n">
        <v>46247</v>
      </c>
      <c r="G229" s="214" t="n"/>
      <c r="J229" t="inlineStr">
        <is>
          <t>|</t>
        </is>
      </c>
      <c r="R229">
        <f>IF($A229&lt;&gt;"",$A229,R228)</f>
        <v/>
      </c>
    </row>
    <row r="230">
      <c r="A230" t="inlineStr">
        <is>
          <t>E6 Picks</t>
        </is>
      </c>
      <c r="B230" t="inlineStr">
        <is>
          <t>Settled cards no longer re-gated by a tightened floor</t>
        </is>
      </c>
      <c r="C230" s="272" t="inlineStr">
        <is>
          <t>Done</t>
        </is>
      </c>
      <c r="D230" t="inlineStr">
        <is>
          <t>Backend</t>
        </is>
      </c>
      <c r="E230" s="209" t="n">
        <v>46247</v>
      </c>
      <c r="F230" s="209" t="n">
        <v>46247</v>
      </c>
      <c r="G230" s="214" t="n"/>
      <c r="J230" t="inlineStr">
        <is>
          <t>|</t>
        </is>
      </c>
      <c r="R230">
        <f>IF($A230&lt;&gt;"",$A230,R229)</f>
        <v/>
      </c>
    </row>
    <row r="231">
      <c r="A231" t="inlineStr">
        <is>
          <t>E8 Model Quality</t>
        </is>
      </c>
      <c r="B231" t="inlineStr">
        <is>
          <t>Notebook grades the CARD's pick across all four markets</t>
        </is>
      </c>
      <c r="C231" s="272" t="inlineStr">
        <is>
          <t>Done</t>
        </is>
      </c>
      <c r="D231" t="inlineStr">
        <is>
          <t>ML</t>
        </is>
      </c>
      <c r="E231" s="209" t="n">
        <v>46247</v>
      </c>
      <c r="F231" s="209" t="n">
        <v>46247</v>
      </c>
      <c r="G231" s="214" t="n"/>
      <c r="J231" t="inlineStr">
        <is>
          <t>|</t>
        </is>
      </c>
      <c r="R231">
        <f>IF($A231&lt;&gt;"",$A231,R230)</f>
        <v/>
      </c>
    </row>
    <row r="232">
      <c r="A232" t="inlineStr">
        <is>
          <t>E8 Model Quality</t>
        </is>
      </c>
      <c r="B232" t="inlineStr">
        <is>
          <t>/history serves the card's verdict, not just the 1X2 call</t>
        </is>
      </c>
      <c r="C232" s="272" t="inlineStr">
        <is>
          <t>Done</t>
        </is>
      </c>
      <c r="D232" t="inlineStr">
        <is>
          <t>Backend</t>
        </is>
      </c>
      <c r="E232" s="209" t="n">
        <v>46247</v>
      </c>
      <c r="F232" s="209" t="n">
        <v>46247</v>
      </c>
      <c r="G232" s="214" t="n"/>
      <c r="J232" t="inlineStr">
        <is>
          <t>|</t>
        </is>
      </c>
      <c r="R232">
        <f>IF($A232&lt;&gt;"",$A232,R231)</f>
        <v/>
      </c>
    </row>
    <row r="233">
      <c r="A233" t="inlineStr">
        <is>
          <t>E11 Ops Resilience</t>
        </is>
      </c>
      <c r="B233" t="inlineStr">
        <is>
          <t>Snapshot job warns when a window captures nothing</t>
        </is>
      </c>
      <c r="C233" s="272" t="inlineStr">
        <is>
          <t>Done</t>
        </is>
      </c>
      <c r="D233" t="inlineStr">
        <is>
          <t>Backend</t>
        </is>
      </c>
      <c r="E233" s="209" t="n">
        <v>46247</v>
      </c>
      <c r="F233" s="209" t="n">
        <v>46247</v>
      </c>
      <c r="G233" s="214" t="n"/>
      <c r="J233" t="inlineStr">
        <is>
          <t>|</t>
        </is>
      </c>
      <c r="R233">
        <f>IF($A233&lt;&gt;"",$A233,R232)</f>
        <v/>
      </c>
    </row>
    <row r="234">
      <c r="A234" t="inlineStr">
        <is>
          <t>E8 Model Quality</t>
        </is>
      </c>
      <c r="B234" t="inlineStr">
        <is>
          <t>Per-league x per-market metrics (last critique gap)</t>
        </is>
      </c>
      <c r="C234" s="272" t="inlineStr">
        <is>
          <t>Done</t>
        </is>
      </c>
      <c r="D234" t="inlineStr">
        <is>
          <t>ML</t>
        </is>
      </c>
      <c r="E234" s="209" t="n">
        <v>46247</v>
      </c>
      <c r="F234" s="209" t="n">
        <v>46247</v>
      </c>
      <c r="G234" s="214" t="n"/>
      <c r="J234" t="inlineStr">
        <is>
          <t>|</t>
        </is>
      </c>
      <c r="R234">
        <f>IF($A234&lt;&gt;"",$A234,R233)</f>
        <v/>
      </c>
    </row>
    <row r="235">
      <c r="A235" t="inlineStr">
        <is>
          <t>E9 Data Ops</t>
        </is>
      </c>
      <c r="B235" t="inlineStr">
        <is>
          <t>Tennis tournament_surface backfilled 14% -&gt; 98%</t>
        </is>
      </c>
      <c r="C235" s="272" t="inlineStr">
        <is>
          <t>Done</t>
        </is>
      </c>
      <c r="D235" t="inlineStr">
        <is>
          <t>ML</t>
        </is>
      </c>
      <c r="E235" s="209" t="n">
        <v>46247</v>
      </c>
      <c r="F235" s="209" t="n">
        <v>46247</v>
      </c>
      <c r="G235" s="214" t="n"/>
      <c r="J235" t="inlineStr">
        <is>
          <t>|</t>
        </is>
      </c>
      <c r="R235">
        <f>IF($A235&lt;&gt;"",$A235,R234)</f>
        <v/>
      </c>
    </row>
    <row r="236">
      <c r="A236" t="inlineStr">
        <is>
          <t>E8 Model Quality</t>
        </is>
      </c>
      <c r="B236" t="inlineStr">
        <is>
          <t>NBA training seed pinned (was tuning subsample unseeded)</t>
        </is>
      </c>
      <c r="C236" s="272" t="inlineStr">
        <is>
          <t>Done</t>
        </is>
      </c>
      <c r="D236" t="inlineStr">
        <is>
          <t>ML</t>
        </is>
      </c>
      <c r="E236" s="209" t="n">
        <v>46247</v>
      </c>
      <c r="F236" s="209" t="n">
        <v>46247</v>
      </c>
      <c r="G236" s="214" t="n"/>
      <c r="J236" t="inlineStr">
        <is>
          <t>|</t>
        </is>
      </c>
      <c r="R236">
        <f>IF($A236&lt;&gt;"",$A236,R235)</f>
        <v/>
      </c>
    </row>
    <row r="237">
      <c r="A237" t="inlineStr">
        <is>
          <t>E5 ML Tennis</t>
        </is>
      </c>
      <c r="B237" t="inlineStr">
        <is>
          <t>Form window measured: 10 beats 5, kept on evidence</t>
        </is>
      </c>
      <c r="C237" s="272" t="inlineStr">
        <is>
          <t>Done</t>
        </is>
      </c>
      <c r="D237" t="inlineStr">
        <is>
          <t>ML</t>
        </is>
      </c>
      <c r="E237" s="209" t="n">
        <v>46247</v>
      </c>
      <c r="F237" s="209" t="n">
        <v>46247</v>
      </c>
      <c r="G237" s="214" t="n"/>
      <c r="J237" t="inlineStr">
        <is>
          <t>|</t>
        </is>
      </c>
      <c r="R237">
        <f>IF($A237&lt;&gt;"",$A237,R236)</f>
        <v/>
      </c>
    </row>
    <row r="238">
      <c r="A238" t="inlineStr">
        <is>
          <t>E11 Ops Resilience</t>
        </is>
      </c>
      <c r="B238" t="inlineStr">
        <is>
          <t>--no-activate: a measurement run can no longer promote itself</t>
        </is>
      </c>
      <c r="C238" s="272" t="inlineStr">
        <is>
          <t>Done</t>
        </is>
      </c>
      <c r="D238" t="inlineStr">
        <is>
          <t>ML</t>
        </is>
      </c>
      <c r="E238" s="209" t="n">
        <v>46247</v>
      </c>
      <c r="F238" s="209" t="n">
        <v>46247</v>
      </c>
      <c r="G238" s="214" t="n"/>
      <c r="J238" t="inlineStr">
        <is>
          <t>|</t>
        </is>
      </c>
      <c r="R238">
        <f>IF($A238&lt;&gt;"",$A238,R237)</f>
        <v/>
      </c>
    </row>
    <row r="239">
      <c r="A239" t="inlineStr">
        <is>
          <t>E3 ML NBA</t>
        </is>
      </c>
      <c r="B239" t="inlineStr">
        <is>
          <t>Form window measured: 10 wins on RPS, all 3 sports converge</t>
        </is>
      </c>
      <c r="C239" s="272" t="inlineStr">
        <is>
          <t>Done</t>
        </is>
      </c>
      <c r="D239" t="inlineStr">
        <is>
          <t>ML</t>
        </is>
      </c>
      <c r="E239" s="209" t="n">
        <v>46247</v>
      </c>
      <c r="F239" s="209" t="n">
        <v>46247</v>
      </c>
      <c r="G239" s="214" t="n"/>
      <c r="J239" t="inlineStr">
        <is>
          <t>|</t>
        </is>
      </c>
      <c r="R239">
        <f>IF($A239&lt;&gt;"",$A239,R238)</f>
        <v/>
      </c>
    </row>
    <row r="240">
      <c r="A240" t="inlineStr">
        <is>
          <t>E11 Ops Resilience</t>
        </is>
      </c>
      <c r="B240" t="inlineStr">
        <is>
          <t>--no-activate no longer strands a sport with zero models</t>
        </is>
      </c>
      <c r="C240" s="272" t="inlineStr">
        <is>
          <t>Done</t>
        </is>
      </c>
      <c r="D240" t="inlineStr">
        <is>
          <t>ML</t>
        </is>
      </c>
      <c r="E240" s="209" t="n">
        <v>46247</v>
      </c>
      <c r="F240" s="209" t="n">
        <v>46247</v>
      </c>
      <c r="G240" s="214" t="n"/>
      <c r="J240" t="inlineStr">
        <is>
          <t>|</t>
        </is>
      </c>
      <c r="R240">
        <f>IF($A240&lt;&gt;"",$A240,R239)</f>
        <v/>
      </c>
    </row>
    <row r="241" ht="72" customHeight="1" s="291">
      <c r="A241" t="inlineStr">
        <is>
          <t>E3 ML NBA</t>
        </is>
      </c>
      <c r="B241" t="inlineStr">
        <is>
          <t>WNBA live: 2nd basketball league on the NBA model</t>
        </is>
      </c>
      <c r="C241" s="272" t="inlineStr">
        <is>
          <t>Done</t>
        </is>
      </c>
      <c r="D241" t="inlineStr">
        <is>
          <t>Backend</t>
        </is>
      </c>
      <c r="E241" s="209" t="n">
        <v>46247</v>
      </c>
      <c r="F241" s="209" t="n">
        <v>46247</v>
      </c>
      <c r="G241" s="214" t="inlineStr">
        <is>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is>
      </c>
      <c r="J241" t="inlineStr">
        <is>
          <t>|</t>
        </is>
      </c>
      <c r="R241">
        <f>IF($A241&lt;&gt;"",$A241,R240)</f>
        <v/>
      </c>
    </row>
    <row r="242" ht="57.6" customHeight="1" s="291">
      <c r="A242" t="inlineStr">
        <is>
          <t>E7 Mobile</t>
        </is>
      </c>
      <c r="B242" t="inlineStr">
        <is>
          <t>Design system: tokens, type, geometry, odds format (Phase 0)</t>
        </is>
      </c>
      <c r="C242" s="278" t="inlineStr">
        <is>
          <t>Done</t>
        </is>
      </c>
      <c r="D242" t="inlineStr">
        <is>
          <t>Mobile</t>
        </is>
      </c>
      <c r="E242" s="209" t="n">
        <v>46254</v>
      </c>
      <c r="F242" s="209" t="n">
        <v>46254</v>
      </c>
      <c r="G242" s="214" t="inlineStr">
        <is>
          <t>Theme tokens, type ramp and named geometry extracted from the design spec into mobile/lib/theme so a shape cannot drift by a pixel between two screens meant to look identical. Reads the existing 3-state theme store rather than adding a second source of truth.</t>
        </is>
      </c>
      <c r="K242" t="inlineStr">
        <is>
          <t>|</t>
        </is>
      </c>
      <c r="R242">
        <f>IF($A242&lt;&gt;"",$A242,R241)</f>
        <v/>
      </c>
    </row>
    <row r="243" ht="57.6" customHeight="1" s="291">
      <c r="B243" t="inlineStr">
        <is>
          <t>Picks screen rebuilt to the new design (Phase 1)</t>
        </is>
      </c>
      <c r="C243" s="278" t="inlineStr">
        <is>
          <t>Done</t>
        </is>
      </c>
      <c r="D243" t="inlineStr">
        <is>
          <t>Mobile</t>
        </is>
      </c>
      <c r="E243" s="209" t="n">
        <v>46254</v>
      </c>
      <c r="F243" s="209" t="n">
        <v>46255</v>
      </c>
      <c r="G243" s="214" t="inlineStr">
        <is>
          <t>Header, date stepper, summary strip, segmented control, league groups with favourite pinning, match rows and filter sheet. Country filter shows flags rather than names and football is the default sport, per direct feedback mid-build. A globe stands in for All.</t>
        </is>
      </c>
      <c r="K243" t="inlineStr">
        <is>
          <t>|</t>
        </is>
      </c>
      <c r="R243">
        <f>IF($A243&lt;&gt;"",$A243,R242)</f>
        <v/>
      </c>
    </row>
    <row r="244" ht="43.2" customHeight="1" s="291">
      <c r="B244" t="inlineStr">
        <is>
          <t>Saved picks, as-of provenance and receipts folded in (Phase 2)</t>
        </is>
      </c>
      <c r="C244" s="278" t="inlineStr">
        <is>
          <t>Done</t>
        </is>
      </c>
      <c r="D244" t="inlineStr">
        <is>
          <t>Mobile</t>
        </is>
      </c>
      <c r="E244" s="209" t="n">
        <v>46255</v>
      </c>
      <c r="F244" s="209" t="n">
        <v>46255</v>
      </c>
      <c r="G244" s="214" t="inlineStr">
        <is>
          <t>The features built after the spec was written but absent from it. Full details link restored to the fixture screen after Phase 1 made it unreachable - caught by the user, not by review.</t>
        </is>
      </c>
      <c r="K244" t="inlineStr">
        <is>
          <t>|</t>
        </is>
      </c>
      <c r="R244">
        <f>IF($A244&lt;&gt;"",$A244,R243)</f>
        <v/>
      </c>
    </row>
    <row r="245" ht="72" customHeight="1" s="291">
      <c r="B245" t="inlineStr">
        <is>
          <t>Tab bar clears Android's navigation buttons</t>
        </is>
      </c>
      <c r="C245" s="278" t="inlineStr">
        <is>
          <t>Done</t>
        </is>
      </c>
      <c r="D245" t="inlineStr">
        <is>
          <t>Mobile</t>
        </is>
      </c>
      <c r="E245" s="209" t="n">
        <v>46256</v>
      </c>
      <c r="F245" s="209" t="n">
        <v>46256</v>
      </c>
      <c r="G245" s="214" t="inlineStr">
        <is>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is>
      </c>
      <c r="K245" t="inlineStr">
        <is>
          <t>|</t>
        </is>
      </c>
      <c r="R245">
        <f>IF($A245&lt;&gt;"",$A245,R244)</f>
        <v/>
      </c>
    </row>
    <row r="246" ht="72" customHeight="1" s="291">
      <c r="B246" t="inlineStr">
        <is>
          <t>Live matches no longer sit in Upcoming</t>
        </is>
      </c>
      <c r="C246" s="278" t="inlineStr">
        <is>
          <t>Done</t>
        </is>
      </c>
      <c r="D246" t="inlineStr">
        <is>
          <t>Mobile</t>
        </is>
      </c>
      <c r="E246" s="209" t="n">
        <v>46256</v>
      </c>
      <c r="F246" s="209" t="n">
        <v>46256</v>
      </c>
      <c r="G246" s="214" t="inlineStr">
        <is>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is>
      </c>
      <c r="K246" t="inlineStr">
        <is>
          <t>|</t>
        </is>
      </c>
      <c r="R246">
        <f>IF($A246&lt;&gt;"",$A246,R245)</f>
        <v/>
      </c>
    </row>
    <row r="247" ht="86.40000000000001" customHeight="1" s="291">
      <c r="A247" t="inlineStr">
        <is>
          <t>E8 Model Quality</t>
        </is>
      </c>
      <c r="B247" t="inlineStr">
        <is>
          <t>Market-feature usage measured across all three sports</t>
        </is>
      </c>
      <c r="C247" s="278" t="inlineStr">
        <is>
          <t>Done</t>
        </is>
      </c>
      <c r="D247" t="inlineStr">
        <is>
          <t>ML</t>
        </is>
      </c>
      <c r="E247" s="209" t="n">
        <v>46256</v>
      </c>
      <c r="F247" s="209" t="n">
        <v>46256</v>
      </c>
      <c r="G247" s="214" t="inlineStr">
        <is>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is>
      </c>
      <c r="K247" t="inlineStr">
        <is>
          <t>|</t>
        </is>
      </c>
      <c r="R247">
        <f>IF($A247&lt;&gt;"",$A247,R246)</f>
        <v/>
      </c>
    </row>
    <row r="248" ht="86.40000000000001" customHeight="1" s="291">
      <c r="B248" t="inlineStr">
        <is>
          <t>train_football.py --market-blind toggle</t>
        </is>
      </c>
      <c r="C248" s="278" t="inlineStr">
        <is>
          <t>Done</t>
        </is>
      </c>
      <c r="D248" t="inlineStr">
        <is>
          <t>ML</t>
        </is>
      </c>
      <c r="E248" s="209" t="n">
        <v>46256</v>
      </c>
      <c r="F248" s="209" t="n">
        <v>46256</v>
      </c>
      <c r="G248" s="214" t="inlineStr">
        <is>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is>
      </c>
      <c r="K248" t="inlineStr">
        <is>
          <t>|</t>
        </is>
      </c>
      <c r="R248">
        <f>IF($A248&lt;&gt;"",$A248,R247)</f>
        <v/>
      </c>
    </row>
    <row r="249" ht="100.8" customHeight="1" s="291">
      <c r="B249" t="inlineStr">
        <is>
          <t>Attribution engine: exact TreeSHAP, grouped and routed</t>
        </is>
      </c>
      <c r="C249" s="278" t="inlineStr">
        <is>
          <t>Done</t>
        </is>
      </c>
      <c r="D249" t="inlineStr">
        <is>
          <t>ML</t>
        </is>
      </c>
      <c r="E249" s="209" t="n">
        <v>46256</v>
      </c>
      <c r="F249" s="209" t="n">
        <v>46256</v>
      </c>
      <c r="G249" s="214" t="inlineStr">
        <is>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is>
      </c>
      <c r="K249" t="inlineStr">
        <is>
          <t>|</t>
        </is>
      </c>
      <c r="R249">
        <f>IF($A249&lt;&gt;"",$A249,R248)</f>
        <v/>
      </c>
    </row>
    <row r="250" ht="100.8" customHeight="1" s="291">
      <c r="B250" t="inlineStr">
        <is>
          <t>Divergence guard + prediction-time storage</t>
        </is>
      </c>
      <c r="C250" s="279" t="inlineStr">
        <is>
          <t>Done</t>
        </is>
      </c>
      <c r="D250" t="inlineStr">
        <is>
          <t>Backend</t>
        </is>
      </c>
      <c r="E250" s="209" t="n">
        <v>46256</v>
      </c>
      <c r="F250" s="209" t="n">
        <v>46256</v>
      </c>
      <c r="G250" s="214" t="inlineStr">
        <is>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is>
      </c>
      <c r="K250" t="inlineStr">
        <is>
          <t>|</t>
        </is>
      </c>
      <c r="R250">
        <f>IF($A250&lt;&gt;"",$A250,R249)</f>
        <v/>
      </c>
    </row>
    <row r="251" ht="86.40000000000001" customHeight="1" s="291">
      <c r="B251" t="inlineStr">
        <is>
          <t>Market-blind football artefact trained and registered</t>
        </is>
      </c>
      <c r="C251" s="279" t="inlineStr">
        <is>
          <t>Done</t>
        </is>
      </c>
      <c r="D251" t="inlineStr">
        <is>
          <t>ML</t>
        </is>
      </c>
      <c r="E251" s="209" t="n">
        <v>46256</v>
      </c>
      <c r="F251" s="209" t="n">
        <v>46256</v>
      </c>
      <c r="G251" s="214" t="inlineStr">
        <is>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is>
      </c>
      <c r="K251" t="inlineStr">
        <is>
          <t>|</t>
        </is>
      </c>
      <c r="R251">
        <f>IF($A251&lt;&gt;"",$A251,R250)</f>
        <v/>
      </c>
    </row>
    <row r="252" ht="86.40000000000001" customHeight="1" s="291">
      <c r="B252" t="inlineStr">
        <is>
          <t>stage_artefacts stages blind variants too</t>
        </is>
      </c>
      <c r="C252" s="279" t="inlineStr">
        <is>
          <t>Done</t>
        </is>
      </c>
      <c r="D252" t="inlineStr">
        <is>
          <t>Deploy</t>
        </is>
      </c>
      <c r="E252" s="209" t="n">
        <v>46256</v>
      </c>
      <c r="F252" s="209" t="n">
        <v>46256</v>
      </c>
      <c r="G252" s="214" t="inlineStr">
        <is>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is>
      </c>
      <c r="K252" t="inlineStr">
        <is>
          <t>|</t>
        </is>
      </c>
      <c r="R252">
        <f>IF($A252&lt;&gt;"",$A252,R251)</f>
        <v/>
      </c>
    </row>
    <row r="253" ht="100.8" customHeight="1" s="291">
      <c r="A253" t="inlineStr">
        <is>
          <t>E7 Mobile</t>
        </is>
      </c>
      <c r="B253" t="inlineStr">
        <is>
          <t>Driver panel: three factor rows in the expanded card</t>
        </is>
      </c>
      <c r="C253" s="279" t="inlineStr">
        <is>
          <t>Done</t>
        </is>
      </c>
      <c r="D253" t="inlineStr">
        <is>
          <t>Mobile</t>
        </is>
      </c>
      <c r="E253" s="209" t="n">
        <v>46256</v>
      </c>
      <c r="F253" s="209" t="n">
        <v>46256</v>
      </c>
      <c r="G253" s="214" t="inlineStr">
        <is>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is>
      </c>
      <c r="K253" t="inlineStr">
        <is>
          <t>|</t>
        </is>
      </c>
      <c r="R253">
        <f>IF($A253&lt;&gt;"",$A253,R252)</f>
        <v/>
      </c>
    </row>
    <row r="254" ht="100.8" customHeight="1" s="291">
      <c r="A254" t="inlineStr">
        <is>
          <t>E6 Picks</t>
        </is>
      </c>
      <c r="B254" t="inlineStr">
        <is>
          <t>Live at-risk rules: one rule set for the tag and the alert</t>
        </is>
      </c>
      <c r="C254" s="280" t="inlineStr">
        <is>
          <t>Done</t>
        </is>
      </c>
      <c r="D254" t="inlineStr">
        <is>
          <t>Backend</t>
        </is>
      </c>
      <c r="E254" s="209" t="n">
        <v>46257</v>
      </c>
      <c r="F254" s="209" t="n">
        <v>46257</v>
      </c>
      <c r="G254" s="214" t="inlineStr">
        <is>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is>
      </c>
      <c r="K254" t="inlineStr">
        <is>
          <t>|</t>
        </is>
      </c>
      <c r="R254">
        <f>IF($A254&lt;&gt;"",$A254,R253)</f>
        <v/>
      </c>
    </row>
    <row r="255" ht="86.40000000000001" customHeight="1" s="291">
      <c r="B255" t="inlineStr">
        <is>
          <t>At-risk push for saved picks, deduped</t>
        </is>
      </c>
      <c r="C255" s="280" t="inlineStr">
        <is>
          <t>Done</t>
        </is>
      </c>
      <c r="D255" t="inlineStr">
        <is>
          <t>Backend</t>
        </is>
      </c>
      <c r="E255" s="209" t="n">
        <v>46257</v>
      </c>
      <c r="F255" s="209" t="n">
        <v>46257</v>
      </c>
      <c r="G255" s="214" t="inlineStr">
        <is>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is>
      </c>
      <c r="K255" t="inlineStr">
        <is>
          <t>|</t>
        </is>
      </c>
      <c r="R255">
        <f>IF($A255&lt;&gt;"",$A255,R254)</f>
        <v/>
      </c>
    </row>
    <row r="256" ht="57.6" customHeight="1" s="291">
      <c r="A256" t="inlineStr">
        <is>
          <t>E7 Mobile</t>
        </is>
      </c>
      <c r="B256" t="inlineStr">
        <is>
          <t>Live card: verdict tag and colour-coded progress bar</t>
        </is>
      </c>
      <c r="C256" s="280" t="inlineStr">
        <is>
          <t>Done</t>
        </is>
      </c>
      <c r="D256" t="inlineStr">
        <is>
          <t>Mobile</t>
        </is>
      </c>
      <c r="E256" s="209" t="n">
        <v>46257</v>
      </c>
      <c r="F256" s="209" t="n">
        <v>46257</v>
      </c>
      <c r="G256" s="214" t="inlineStr">
        <is>
          <t>Per the user's own framing: the bar's LENGTH stays elapsed time while its COLOUR becomes the verdict, so a list of live cards reads at a glance without parsing a tag. Neutral where no verdict exists rather than green.</t>
        </is>
      </c>
      <c r="K256" t="inlineStr">
        <is>
          <t>|</t>
        </is>
      </c>
      <c r="R256">
        <f>IF($A256&lt;&gt;"",$A256,R255)</f>
        <v/>
      </c>
    </row>
    <row r="257" ht="86.40000000000001" customHeight="1" s="291">
      <c r="A257" t="inlineStr">
        <is>
          <t>E8 Model Quality</t>
        </is>
      </c>
      <c r="B257" t="inlineStr">
        <is>
          <t>Re-derive at-risk thresholds against settled fixtures</t>
        </is>
      </c>
      <c r="C257" s="281" t="inlineStr">
        <is>
          <t>Done</t>
        </is>
      </c>
      <c r="D257" t="inlineStr">
        <is>
          <t>ML</t>
        </is>
      </c>
      <c r="E257" s="209" t="n">
        <v>46257</v>
      </c>
      <c r="F257" s="209" t="n">
        <v>46257</v>
      </c>
      <c r="G257" s="214" t="inlineStr">
        <is>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is>
      </c>
      <c r="K257" t="inlineStr">
        <is>
          <t>|</t>
        </is>
      </c>
      <c r="R257">
        <f>IF($A257&lt;&gt;"",$A257,R256)</f>
        <v/>
      </c>
    </row>
    <row r="258">
      <c r="A258" t="inlineStr">
        <is>
          <t>E6 Picks</t>
        </is>
      </c>
      <c r="B258" t="inlineStr">
        <is>
          <t>Multi-select sport/tour filter; tapping again deselects</t>
        </is>
      </c>
      <c r="C258" s="281" t="inlineStr">
        <is>
          <t>Done</t>
        </is>
      </c>
      <c r="D258" t="inlineStr">
        <is>
          <t>Mobile</t>
        </is>
      </c>
      <c r="E258" s="209" t="inlineStr">
        <is>
          <t>2026-08-24 00:00:00</t>
        </is>
      </c>
      <c r="F258" s="209" t="inlineStr">
        <is>
          <t>2026-08-24 00:00:00</t>
        </is>
      </c>
      <c r="G258" s="214" t="inlineStr">
        <is>
          <t>Filtering moved client-side: /fixtures takes one slug and the selection is a set. Empty means no restriction.</t>
        </is>
      </c>
      <c r="L258" t="inlineStr">
        <is>
          <t>|</t>
        </is>
      </c>
      <c r="R258">
        <f>IF($A258&lt;&gt;"",$A258,R257)</f>
        <v/>
      </c>
    </row>
    <row r="259">
      <c r="B259" t="inlineStr">
        <is>
          <t>Watchlist receipt records the pick the CARD showed</t>
        </is>
      </c>
      <c r="C259" s="281" t="inlineStr">
        <is>
          <t>Done</t>
        </is>
      </c>
      <c r="D259" t="inlineStr">
        <is>
          <t>Backend</t>
        </is>
      </c>
      <c r="E259" s="209" t="inlineStr">
        <is>
          <t>2026-08-25 00:00:00</t>
        </is>
      </c>
      <c r="F259" s="209" t="inlineStr">
        <is>
          <t>2026-08-25 00:00:00</t>
        </is>
      </c>
      <c r="G259" s="214" t="inlineStr">
        <is>
          <t>Saved 'HOME 1.55' read back as '1X 1.17': the card ranks candidates clearing the user's sliders, the server recomputed with none. Client now sends the shown pick; server confirms it against real candidates.</t>
        </is>
      </c>
      <c r="L259" t="inlineStr">
        <is>
          <t>|</t>
        </is>
      </c>
      <c r="R259">
        <f>IF($A259&lt;&gt;"",$A259,R258)</f>
        <v/>
      </c>
    </row>
    <row r="260">
      <c r="A260" t="inlineStr">
        <is>
          <t>E7 Mobile</t>
        </is>
      </c>
      <c r="B260" t="inlineStr">
        <is>
          <t>Session survives launch: single-flight refresh, no logout on a network error</t>
        </is>
      </c>
      <c r="C260" s="281" t="inlineStr">
        <is>
          <t>Done</t>
        </is>
      </c>
      <c r="D260" t="inlineStr">
        <is>
          <t>Mobile</t>
        </is>
      </c>
      <c r="E260" s="209" t="inlineStr">
        <is>
          <t>2026-08-25 00:00:00</t>
        </is>
      </c>
      <c r="F260" s="209" t="inlineStr">
        <is>
          <t>2026-08-25 00:00:00</t>
        </is>
      </c>
      <c r="G260" s="214" t="inlineStr">
        <is>
          <t>Tokens were persisted and then DELETED. Measured: two concurrent /auth/refresh with one token -&gt; 200 and 401; and any failure (cold Render) cleared the session. Only 401/403 clears now.</t>
        </is>
      </c>
      <c r="L260" t="inlineStr">
        <is>
          <t>|</t>
        </is>
      </c>
      <c r="R260">
        <f>IF($A260&lt;&gt;"",$A260,R259)</f>
        <v/>
      </c>
    </row>
    <row r="261">
      <c r="B261" t="inlineStr">
        <is>
          <t>Recent form: last five W/D/L per team or player</t>
        </is>
      </c>
      <c r="C261" s="281" t="inlineStr">
        <is>
          <t>Done</t>
        </is>
      </c>
      <c r="D261" t="inlineStr">
        <is>
          <t>Mobile</t>
        </is>
      </c>
      <c r="E261" s="209" t="inlineStr">
        <is>
          <t>2026-08-25 00:00:00</t>
        </is>
      </c>
      <c r="F261" s="209" t="inlineStr">
        <is>
          <t>2026-08-25 00:00:00</t>
        </is>
      </c>
      <c r="G261" s="214" t="inlineStr">
        <is>
          <t>A sequence, not a count: win_streak cannot tell WWWLL from WWWWW. Costs no API call; all three adapters already held the completed matches.</t>
        </is>
      </c>
      <c r="L261" t="inlineStr">
        <is>
          <t>|</t>
        </is>
      </c>
      <c r="R261">
        <f>IF($A261&lt;&gt;"",$A261,R260)</f>
        <v/>
      </c>
    </row>
    <row r="262">
      <c r="A262" t="inlineStr">
        <is>
          <t>E8 Model Quality</t>
        </is>
      </c>
      <c r="B262" t="inlineStr">
        <is>
          <t>No-signal bar changes hands: corners barred, goals admitted</t>
        </is>
      </c>
      <c r="C262" s="281" t="inlineStr">
        <is>
          <t>Done</t>
        </is>
      </c>
      <c r="D262" t="inlineStr">
        <is>
          <t>ML</t>
        </is>
      </c>
      <c r="E262" s="209" t="inlineStr">
        <is>
          <t>2026-08-30 00:00:00</t>
        </is>
      </c>
      <c r="F262" s="209" t="inlineStr">
        <is>
          <t>2026-08-30 00:00:00</t>
        </is>
      </c>
      <c r="G262" s="214" t="inlineStr">
        <is>
          <t>Live Spearman -0.039 (n=232) vs +0.197 (n=234), read off market_signal.py's pre-registered thresholds. Counterfactual on 8 days of real cards: 0.617 -&gt; 0.653.</t>
        </is>
      </c>
      <c r="L262" t="inlineStr">
        <is>
          <t>|</t>
        </is>
      </c>
      <c r="R262">
        <f>IF($A262&lt;&gt;"",$A262,R261)</f>
        <v/>
      </c>
    </row>
    <row r="263">
      <c r="A263" t="inlineStr">
        <is>
          <t>E10 Deploy</t>
        </is>
      </c>
      <c r="B263" t="inlineStr">
        <is>
          <t>Serving registry repairs itself when an artefact is missing</t>
        </is>
      </c>
      <c r="C263" s="281" t="inlineStr">
        <is>
          <t>Done</t>
        </is>
      </c>
      <c r="D263" t="inlineStr">
        <is>
          <t>Deploy</t>
        </is>
      </c>
      <c r="E263" s="209" t="inlineStr">
        <is>
          <t>2026-09-04 00:00:00</t>
        </is>
      </c>
      <c r="F263" s="209" t="inlineStr">
        <is>
          <t>2026-09-04 00:00:00</t>
        </is>
      </c>
      <c r="G263" s="214" t="inlineStr">
        <is>
          <t>Football dark for days: 1 of 190 upcoming fixtures predicted vs tennis 7/7. Registry named an artefact absent from the image. Runs in BOTH worker and API - the API redeployed in 3 min while the worker had not after 40.</t>
        </is>
      </c>
      <c r="M263" t="inlineStr">
        <is>
          <t>|</t>
        </is>
      </c>
      <c r="R263">
        <f>IF($A263&lt;&gt;"",$A263,R262)</f>
        <v/>
      </c>
    </row>
    <row r="264">
      <c r="A264" t="inlineStr">
        <is>
          <t>E6 Picks</t>
        </is>
      </c>
      <c r="B264" t="inlineStr">
        <is>
          <t>Cards frozen at kickoff; candidate set stored, sliders applied at read</t>
        </is>
      </c>
      <c r="C264" s="281" t="inlineStr">
        <is>
          <t>Done</t>
        </is>
      </c>
      <c r="D264" t="inlineStr">
        <is>
          <t>Backend</t>
        </is>
      </c>
      <c r="E264" s="209" t="inlineStr">
        <is>
          <t>2026-09-09 00:00:00</t>
        </is>
      </c>
      <c r="F264" s="209" t="inlineStr">
        <is>
          <t>2026-09-09 00:00:00</t>
        </is>
      </c>
      <c r="G264" s="214" t="inlineStr">
        <is>
          <t>19% of published cards altered or deleted in five days (28 changed bet, 48 gone of 396). Freezing only the WINNER then deleted cards a slider rejected - 7 of 8 had a qualifying alternative - so the guarded CANDIDATES are frozen instead.</t>
        </is>
      </c>
      <c r="N264" t="inlineStr">
        <is>
          <t>|</t>
        </is>
      </c>
      <c r="R264">
        <f>IF($A264&lt;&gt;"",$A264,R263)</f>
        <v/>
      </c>
    </row>
    <row r="265">
      <c r="A265" t="inlineStr">
        <is>
          <t>E11 Ops Resilience</t>
        </is>
      </c>
      <c r="B265" t="inlineStr">
        <is>
          <t>ATP requests paced to 54/min so the GOAT-&gt;ALL-STAR downgrade is safe</t>
        </is>
      </c>
      <c r="C265" s="281" t="inlineStr">
        <is>
          <t>Done</t>
        </is>
      </c>
      <c r="D265" t="inlineStr">
        <is>
          <t>Backend</t>
        </is>
      </c>
      <c r="E265" s="209" t="inlineStr">
        <is>
          <t>2026-09-15 00:00:00</t>
        </is>
      </c>
      <c r="F265" s="209" t="inlineStr">
        <is>
          <t>2026-09-15 00:00:00</t>
        </is>
      </c>
      <c r="G265" s="214" t="inlineStr">
        <is>
          <t>Limit falls 600-&gt;60/min per sport. Measured 17 requests per fixture. Verified live: 17 requests, zero 429s, 55.3/min. Saves $30/month.</t>
        </is>
      </c>
      <c r="O265" t="inlineStr">
        <is>
          <t>|</t>
        </is>
      </c>
      <c r="R265">
        <f>IF($A265&lt;&gt;"",$A265,R264)</f>
        <v/>
      </c>
    </row>
    <row r="266">
      <c r="A266" t="inlineStr">
        <is>
          <t>E2 Ingestion</t>
        </is>
      </c>
      <c r="B266" t="inlineStr">
        <is>
          <t>Six football leagues added on measured coverage</t>
        </is>
      </c>
      <c r="C266" s="281" t="inlineStr">
        <is>
          <t>Done</t>
        </is>
      </c>
      <c r="D266" t="inlineStr">
        <is>
          <t>Backend</t>
        </is>
      </c>
      <c r="E266" s="209" t="inlineStr">
        <is>
          <t>2026-09-15 00:00:00</t>
        </is>
      </c>
      <c r="F266" s="209" t="inlineStr">
        <is>
          <t>2026-09-15 00:00:00</t>
        </is>
      </c>
      <c r="G266" s="214" t="inlineStr">
        <is>
          <t>Eredivisie, Primeira Liga, Belgian Pro, Super Lig, 2. Bundesliga, Serie B. 8-9 bookmakers pricing four markets, 11-13 seasons of stats, real xG. Seed list unified into app/sports/catalog.py; API seeds missing rows at startup.</t>
        </is>
      </c>
      <c r="O266" t="inlineStr">
        <is>
          <t>|</t>
        </is>
      </c>
      <c r="R266">
        <f>IF($A266&lt;&gt;"",$A266,R265)</f>
        <v/>
      </c>
    </row>
    <row r="267">
      <c r="A267" t="inlineStr">
        <is>
          <t>E9 Data Ops</t>
        </is>
      </c>
      <c r="B267" t="inlineStr">
        <is>
          <t>History collected for the six before Ultra expires 29 Sep</t>
        </is>
      </c>
      <c r="C267" s="281" t="inlineStr">
        <is>
          <t>Done</t>
        </is>
      </c>
      <c r="D267" t="inlineStr">
        <is>
          <t>ML</t>
        </is>
      </c>
      <c r="E267" s="209" t="inlineStr">
        <is>
          <t>2026-09-16 00:00:00</t>
        </is>
      </c>
      <c r="F267" s="209" t="inlineStr">
        <is>
          <t>2026-09-16 00:00:00</t>
        </is>
      </c>
      <c r="G267" s="214" t="inlineStr">
        <is>
          <t>20,558 game-log rows / 10,279 fixtures; corners 86-92% after the retry sweep; xG collection running. No retrain - promotion needs pre-registered criteria.</t>
        </is>
      </c>
      <c r="O267" t="inlineStr">
        <is>
          <t>|</t>
        </is>
      </c>
      <c r="R267">
        <f>IF($A267&lt;&gt;"",$A267,R266)</f>
        <v/>
      </c>
    </row>
    <row r="269">
      <c r="A269" s="23" t="inlineStr">
        <is>
          <t>Legend</t>
        </is>
      </c>
      <c r="B269" s="5" t="inlineStr">
        <is>
          <t>Done</t>
        </is>
      </c>
      <c r="C269" s="15" t="inlineStr">
        <is>
          <t>In progress</t>
        </is>
      </c>
      <c r="D269" s="17" t="inlineStr">
        <is>
          <t>Planned</t>
        </is>
      </c>
      <c r="E269" s="21" t="inlineStr">
        <is>
          <t>Blocked</t>
        </is>
      </c>
      <c r="F269"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3"/>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91" min="1" max="1"/>
    <col width="11.47265625" customWidth="1" style="291" min="2" max="19"/>
    <col width="2" customWidth="1" style="291" min="20" max="20"/>
  </cols>
  <sheetData>
    <row r="1" ht="30" customHeight="1" s="291">
      <c r="A1" s="302" t="inlineStr">
        <is>
          <t>SportIQ — End-to-End Architecture</t>
        </is>
      </c>
    </row>
    <row r="2" ht="18" customHeight="1" s="291">
      <c r="A2" s="309" t="inlineStr">
        <is>
          <t>Data flows top to bottom.  Green = live and working   Amber = works with a real gap   Red = stubbed or blocked.  Offline training track shown separately at the foot.</t>
        </is>
      </c>
    </row>
    <row r="4" ht="20.05" customHeight="1" s="291">
      <c r="A4" s="297" t="inlineStr">
        <is>
          <t>1 · EXTERNAL DATA PROVIDERS</t>
        </is>
      </c>
    </row>
    <row r="5" ht="52" customHeight="1" s="291">
      <c r="A5" s="35" t="inlineStr">
        <is>
          <t>Vendors</t>
        </is>
      </c>
      <c r="B5" s="287" t="inlineStr">
        <is>
          <t>API-Football (Ultra)
fixtures • team stats • injuries
H2H • lineups • corners
ENDS 2026-09-29</t>
        </is>
      </c>
      <c r="C5" s="288" t="n"/>
      <c r="D5" s="289" t="n"/>
      <c r="E5" s="292" t="inlineStr">
        <is>
          <t>TheRundown
odds: NBA + 5 EU + MLS
HEALTHY 5,000/mon</t>
        </is>
      </c>
      <c r="F5" s="288" t="n"/>
      <c r="G5" s="289" t="n"/>
      <c r="H5" s="292" t="inlineStr">
        <is>
          <t>BallDontLie
NBA stats · ATP tennis
WTA 401 — unsubscribed</t>
        </is>
      </c>
      <c r="I5" s="288" t="n"/>
      <c r="J5" s="289" t="n"/>
      <c r="K5" s="287" t="inlineStr">
        <is>
          <t>TheStatsAPI
xG · shotmaps · shots
collection in progress</t>
        </is>
      </c>
      <c r="L5" s="288" t="n"/>
      <c r="M5" s="289" t="n"/>
      <c r="N5" s="294" t="inlineStr">
        <is>
          <t>RotoWire
NBA injuries
NO KEY PROVISIONED</t>
        </is>
      </c>
      <c r="O5" s="288" t="n"/>
      <c r="P5" s="289" t="n"/>
      <c r="Q5" s="294" t="inlineStr">
        <is>
          <t>SportsDataIO / Highlightly
Phase 2 US sports · video
NOT INTEGRATED</t>
        </is>
      </c>
      <c r="R5" s="288" t="n"/>
      <c r="S5" s="289" t="n"/>
    </row>
    <row r="6" ht="15" customHeight="1" s="291">
      <c r="B6" s="290" t="inlineStr">
        <is>
          <t>▼</t>
        </is>
      </c>
    </row>
    <row r="7" ht="20.05" customHeight="1" s="291">
      <c r="A7" s="297" t="inlineStr">
        <is>
          <t>2 · ADAPTER LAYER  —  every provider call goes through here, never direct from a worker</t>
        </is>
      </c>
    </row>
    <row r="8" ht="46" customHeight="1" s="291">
      <c r="A8" s="35" t="inlineStr">
        <is>
          <t>Abstraction</t>
        </is>
      </c>
      <c r="B8" s="300" t="inlineStr">
        <is>
          <t>DataSourceAdapter (ABC)
fetch_fixtures · fetch_odds
fetch_team_stats · fetch_injuries</t>
        </is>
      </c>
      <c r="C8" s="288" t="n"/>
      <c r="D8" s="288" t="n"/>
      <c r="E8" s="288" t="n"/>
      <c r="F8" s="288" t="n"/>
      <c r="G8" s="288" t="n"/>
      <c r="H8" s="288" t="n"/>
      <c r="I8" s="288" t="n"/>
      <c r="J8" s="289" t="n"/>
      <c r="K8" s="300" t="inlineStr">
        <is>
          <t>AdapterFactory
routes by sport slug
per-adapter error isolation</t>
        </is>
      </c>
      <c r="L8" s="288" t="n"/>
      <c r="M8" s="288" t="n"/>
      <c r="N8" s="288" t="n"/>
      <c r="O8" s="288" t="n"/>
      <c r="P8" s="288" t="n"/>
      <c r="Q8" s="288" t="n"/>
      <c r="R8" s="288" t="n"/>
      <c r="S8" s="289" t="n"/>
    </row>
    <row r="9" ht="15" customHeight="1" s="291">
      <c r="B9" s="290" t="inlineStr">
        <is>
          <t>▼</t>
        </is>
      </c>
    </row>
    <row r="10" ht="20.05" customHeight="1" s="291">
      <c r="A10" s="297" t="inlineStr">
        <is>
          <t>3 · INGESTION &amp; INFERENCE WORKERS  (Celery + beat, Redis broker)</t>
        </is>
      </c>
    </row>
    <row r="11" ht="54" customHeight="1" s="291">
      <c r="A11" s="35" t="inlineStr">
        <is>
          <t>Scheduled jobs</t>
        </is>
      </c>
      <c r="B11" s="287" t="inlineStr">
        <is>
          <t>ingest_fixtures
daily 02:00 UTC
±7 days · features · Elo</t>
        </is>
      </c>
      <c r="C11" s="288" t="n"/>
      <c r="D11" s="289" t="n"/>
      <c r="E11" s="287" t="inlineStr">
        <is>
          <t>ingest_odds
every 6h · 3-day window
only dates with fixtures</t>
        </is>
      </c>
      <c r="F11" s="288" t="n"/>
      <c r="G11" s="289" t="n"/>
      <c r="H11" s="287" t="inlineStr">
        <is>
          <t>ingest_live_scores
every 5 min
scores · status · settlement</t>
        </is>
      </c>
      <c r="I11" s="288" t="n"/>
      <c r="J11" s="289" t="n"/>
      <c r="K11" s="292" t="inlineStr">
        <is>
          <t>ingest_injuries
every 30 min
per-sport isolation (fixed)</t>
        </is>
      </c>
      <c r="L11" s="288" t="n"/>
      <c r="M11" s="289" t="n"/>
      <c r="N11" s="287" t="inlineStr">
        <is>
          <t>run_predictions
on new fixture
+ injury re-inference</t>
        </is>
      </c>
      <c r="O11" s="288" t="n"/>
      <c r="P11" s="289" t="n"/>
      <c r="Q11" s="287" t="inlineStr">
        <is>
          <t>backfill_predictions
retrodiction
leakage-safe game log</t>
        </is>
      </c>
      <c r="R11" s="288" t="n"/>
      <c r="S11" s="289" t="n"/>
    </row>
    <row r="12" ht="15" customHeight="1" s="291">
      <c r="B12" s="290" t="inlineStr">
        <is>
          <t>▼</t>
        </is>
      </c>
    </row>
    <row r="13" ht="20.05" customHeight="1" s="291">
      <c r="A13" s="297" t="inlineStr">
        <is>
          <t>4 · STORAGE</t>
        </is>
      </c>
    </row>
    <row r="14" ht="52" customHeight="1" s="291">
      <c r="A14" s="35" t="inlineStr">
        <is>
          <t>Persistence</t>
        </is>
      </c>
      <c r="B14" s="295" t="inlineStr">
        <is>
          <t>PostgreSQL 16
fixtures · teams · odds · predictions
outcomes · users · team_features</t>
        </is>
      </c>
      <c r="C14" s="288" t="n"/>
      <c r="D14" s="288" t="n"/>
      <c r="E14" s="288" t="n"/>
      <c r="F14" s="288" t="n"/>
      <c r="G14" s="289" t="n"/>
      <c r="H14" s="295" t="inlineStr">
        <is>
          <t>Redis 7
pick cache · guest sessions (24h)
Celery broker</t>
        </is>
      </c>
      <c r="I14" s="288" t="n"/>
      <c r="J14" s="288" t="n"/>
      <c r="K14" s="288" t="n"/>
      <c r="L14" s="288" t="n"/>
      <c r="M14" s="289" t="n"/>
      <c r="N14" s="295" t="inlineStr">
        <is>
          <t>models_registry
active model per sport
promotion = DB update</t>
        </is>
      </c>
      <c r="O14" s="288" t="n"/>
      <c r="P14" s="289" t="n"/>
      <c r="Q14" s="292" t="inlineStr">
        <is>
          <t>ml/artifacts
joblib model files
(absolute path — deploy risk)</t>
        </is>
      </c>
      <c r="R14" s="288" t="n"/>
      <c r="S14" s="289" t="n"/>
    </row>
    <row r="15" ht="15" customHeight="1" s="291">
      <c r="B15" s="290" t="inlineStr">
        <is>
          <t>▲  features read   ▼  predictions written</t>
        </is>
      </c>
    </row>
    <row r="16" ht="20.05" customHeight="1" s="291">
      <c r="A16" s="297" t="inlineStr">
        <is>
          <t>5 · ML / INFERENCE</t>
        </is>
      </c>
    </row>
    <row r="17" ht="54" customHeight="1" s="291">
      <c r="A17" s="35" t="inlineStr">
        <is>
          <t>Serving</t>
        </is>
      </c>
      <c r="B17" s="296" t="inlineStr">
        <is>
          <t>Feature assembly
football (18) • nba (16) • tennis (14)
train/serve parity enforced</t>
        </is>
      </c>
      <c r="C17" s="288" t="n"/>
      <c r="D17" s="288" t="n"/>
      <c r="E17" s="288" t="n"/>
      <c r="F17" s="288" t="n"/>
      <c r="G17" s="289" t="n"/>
      <c r="H17" s="296" t="inlineStr">
        <is>
          <t>FootballModel
Poisson xG ×2 → XGB 1X2
+ corners regressors</t>
        </is>
      </c>
      <c r="I17" s="288" t="n"/>
      <c r="J17" s="289" t="n"/>
      <c r="K17" s="296" t="inlineStr">
        <is>
          <t>NBAModel / TennisModel
XGB binary + isotonic
2-outcome, no draw</t>
        </is>
      </c>
      <c r="L17" s="288" t="n"/>
      <c r="M17" s="289" t="n"/>
      <c r="N17" s="296" t="inlineStr">
        <is>
          <t>markets.py
double chance · O/U goals
O/U corners (Poisson)</t>
        </is>
      </c>
      <c r="O17" s="288" t="n"/>
      <c r="P17" s="289" t="n"/>
      <c r="Q17" s="296" t="inlineStr">
        <is>
          <t>Calibration
isotonic per class
+ xG rate calibrators</t>
        </is>
      </c>
      <c r="R17" s="288" t="n"/>
      <c r="S17" s="289" t="n"/>
    </row>
    <row r="18" ht="15" customHeight="1" s="291">
      <c r="B18" s="290" t="inlineStr">
        <is>
          <t>▼</t>
        </is>
      </c>
    </row>
    <row r="19" ht="20.05" customHeight="1" s="291">
      <c r="A19" s="297" t="inlineStr">
        <is>
          <t>6 · API  —  FastAPI + Uvicorn</t>
        </is>
      </c>
    </row>
    <row r="20" ht="46" customHeight="1" s="291">
      <c r="A20" s="35" t="inlineStr">
        <is>
          <t>REST</t>
        </is>
      </c>
      <c r="B20" s="298" t="inlineStr">
        <is>
          <t>/fixtures · /picks
best pick across 4 markets
min_probability · min_odds</t>
        </is>
      </c>
      <c r="C20" s="288" t="n"/>
      <c r="D20" s="288" t="n"/>
      <c r="E20" s="288" t="n"/>
      <c r="F20" s="288" t="n"/>
      <c r="G20" s="289" t="n"/>
      <c r="H20" s="298" t="inlineStr">
        <is>
          <t>/history · /stats/model
settled performance
vs training metrics</t>
        </is>
      </c>
      <c r="I20" s="288" t="n"/>
      <c r="J20" s="288" t="n"/>
      <c r="K20" s="288" t="n"/>
      <c r="L20" s="288" t="n"/>
      <c r="M20" s="289" t="n"/>
      <c r="N20" s="298" t="inlineStr">
        <is>
          <t>/auth · /guest · /user
Argon2id · JWT + refresh
guest → account migration</t>
        </is>
      </c>
      <c r="O20" s="288" t="n"/>
      <c r="P20" s="288" t="n"/>
      <c r="Q20" s="288" t="n"/>
      <c r="R20" s="288" t="n"/>
      <c r="S20" s="289" t="n"/>
    </row>
    <row r="21" ht="15" customHeight="1" s="291">
      <c r="B21" s="290" t="inlineStr">
        <is>
          <t>▼</t>
        </is>
      </c>
    </row>
    <row r="22" ht="20.05" customHeight="1" s="291">
      <c r="A22" s="297" t="inlineStr">
        <is>
          <t>7 · MOBILE CLIENT  —  Expo / React Native (the only client)</t>
        </is>
      </c>
    </row>
    <row r="23" ht="52" customHeight="1" s="291">
      <c r="A23" s="35" t="inlineStr">
        <is>
          <t>App</t>
        </is>
      </c>
      <c r="B23" s="298" t="inlineStr">
        <is>
          <t>Picks tab
day navigator · sport / status
filters · league grouping</t>
        </is>
      </c>
      <c r="C23" s="288" t="n"/>
      <c r="D23" s="288" t="n"/>
      <c r="E23" s="288" t="n"/>
      <c r="F23" s="288" t="n"/>
      <c r="G23" s="289" t="n"/>
      <c r="H23" s="298" t="inlineStr">
        <is>
          <t>Live tab
in-play fixtures</t>
        </is>
      </c>
      <c r="I23" s="288" t="n"/>
      <c r="J23" s="289" t="n"/>
      <c r="K23" s="298" t="inlineStr">
        <is>
          <t>Profile
prefs · theme · push · biometrics</t>
        </is>
      </c>
      <c r="L23" s="288" t="n"/>
      <c r="M23" s="289" t="n"/>
      <c r="N23" s="298" t="inlineStr">
        <is>
          <t>Fixture detail
probability bar · H2H panel
other markets</t>
        </is>
      </c>
      <c r="O23" s="288" t="n"/>
      <c r="P23" s="289" t="n"/>
      <c r="Q23" s="294" t="inlineStr">
        <is>
          <t>Push notifications
code real • EAS project linked
no EXPO_ACCESS_TOKEN yet</t>
        </is>
      </c>
      <c r="R23" s="288" t="n"/>
      <c r="S23" s="289" t="n"/>
    </row>
    <row r="26" ht="20.05" customHeight="1" s="291">
      <c r="A26" s="303" t="inlineStr">
        <is>
          <t>OFFLINE TRAINING TRACK  —  run locally, never from a production worker</t>
        </is>
      </c>
    </row>
    <row r="27" ht="52" customHeight="1" s="291">
      <c r="A27" s="35" t="inlineStr">
        <is>
          <t>Pipeline</t>
        </is>
      </c>
      <c r="B27" s="287" t="inlineStr">
        <is>
          <t>collect_*_data.py
API-Football · BallDontLie
nba_api (local only)</t>
        </is>
      </c>
      <c r="C27" s="288" t="n"/>
      <c r="D27" s="289" t="n"/>
      <c r="E27" s="287" t="inlineStr">
        <is>
          <t>collect_thestatsapi_xg.py
xG + cross-provider join
date+score, name tiebreak</t>
        </is>
      </c>
      <c r="F27" s="288" t="n"/>
      <c r="G27" s="289" t="n"/>
      <c r="H27" s="295" t="inlineStr">
        <is>
          <t>ml/data/*.parquet
game logs · lineups
corners · xG</t>
        </is>
      </c>
      <c r="I27" s="288" t="n"/>
      <c r="J27" s="289" t="n"/>
      <c r="K27" s="296" t="inlineStr">
        <is>
          <t>train_*.py
Optuna → calibration
→ joblib artefact</t>
        </is>
      </c>
      <c r="L27" s="288" t="n"/>
      <c r="M27" s="289" t="n"/>
      <c r="N27" s="296" t="inlineStr">
        <is>
          <t>MLflow
runs · metrics
local store</t>
        </is>
      </c>
      <c r="O27" s="288" t="n"/>
      <c r="P27" s="289" t="n"/>
      <c r="Q27" s="295" t="inlineStr">
        <is>
          <t>models_registry row
is_active flip promotes
no redeploy needed</t>
        </is>
      </c>
      <c r="R27" s="288" t="n"/>
      <c r="S27" s="289" t="n"/>
    </row>
    <row r="30" ht="20.05" customHeight="1" s="291">
      <c r="A30" s="297" t="inlineStr">
        <is>
          <t>ARCHITECTURAL NOTES</t>
        </is>
      </c>
    </row>
    <row r="31" ht="16" customHeight="1" s="291">
      <c r="A31" s="293" t="inlineStr">
        <is>
          <t>•  Sport-agnostic by design — every core table is keyed by sport_id; adding a sport is a config/data insert, not a schema change.</t>
        </is>
      </c>
    </row>
    <row r="32" ht="16" customHeight="1" s="291">
      <c r="A32" s="293" t="inlineStr">
        <is>
          <t>•  Model promotion is a DB update (models_registry.is_active), never a redeploy — TDD §3.1.</t>
        </is>
      </c>
    </row>
    <row r="33" ht="16" customHeight="1" s="291">
      <c r="A33" s="293" t="inlineStr">
        <is>
          <t>•  Train/serve parity is enforced in one module per sport: assemble_from_game_log and assemble_from_live_db must stay in lock-step.</t>
        </is>
      </c>
    </row>
    <row r="34" ht="16" customHeight="1" s="291">
      <c r="A34" s="293" t="inlineStr">
        <is>
          <t>•  Historical (box-score) key-player logic is kept OUT of app/models_ml/ so it can never be imported into the live path — target-leakage guard.</t>
        </is>
      </c>
    </row>
    <row r="35" ht="16" customHeight="1" s="291">
      <c r="A35" s="293" t="inlineStr">
        <is>
          <t>•  Per-item error isolation is now the default in every provider loop: one league or sport failing must not abort the rest.</t>
        </is>
      </c>
    </row>
    <row r="36" ht="16" customHeight="1" s="291">
      <c r="A36" s="293" t="inlineStr">
        <is>
          <t>•  nba_api is offline-only — stats.nba.com blocks all cloud IPs, so it must never run from a production worker.</t>
        </is>
      </c>
    </row>
    <row r="37" ht="16" customHeight="1" s="291">
      <c r="A37" s="304" t="inlineStr">
        <is>
          <t>⚠  DEPLOYMENT GAP: nothing is deployed. No infra/, artefact paths are absolute Windows paths, no monitoring, no EAS build.</t>
        </is>
      </c>
    </row>
    <row r="39" ht="18" customHeight="1" s="291">
      <c r="A39" s="36" t="inlineStr">
        <is>
          <t>Legend</t>
        </is>
      </c>
      <c r="B39" s="307" t="inlineStr">
        <is>
          <t>Live &amp; working</t>
        </is>
      </c>
      <c r="E39" s="305" t="inlineStr">
        <is>
          <t>Real gap</t>
        </is>
      </c>
      <c r="H39" s="308" t="inlineStr">
        <is>
          <t>Stubbed / blocked</t>
        </is>
      </c>
      <c r="K39" s="301" t="inlineStr">
        <is>
          <t>Datastore</t>
        </is>
      </c>
      <c r="N39" s="299" t="inlineStr">
        <is>
          <t>ML</t>
        </is>
      </c>
      <c r="Q39" s="306" t="inlineStr">
        <is>
          <t>API / App</t>
        </is>
      </c>
    </row>
    <row r="41">
      <c r="A41" s="297" t="inlineStr">
        <is>
          <t>8 • RUNTIME  •  Render (production, live 13 Aug 2026)</t>
        </is>
      </c>
    </row>
    <row r="42" ht="77.7" customHeight="1" s="291">
      <c r="A42" s="35" t="inlineStr">
        <is>
          <t>Deployed</t>
        </is>
      </c>
      <c r="B42" s="298" t="inlineStr">
        <is>
          <t>sportpiq-api (web)
gunicorn • binds $PORT
alembic in preDeployCommand</t>
        </is>
      </c>
      <c r="H42" s="298" t="inlineStr">
        <is>
          <t>sportpiq-worker
Celery prefork
executes every task</t>
        </is>
      </c>
      <c r="K42" s="298" t="inlineStr">
        <is>
          <t>sportpiq-beat
EXACTLY ONE, ever
two would double-spend quota</t>
        </is>
      </c>
      <c r="N42" s="298" t="inlineStr">
        <is>
          <t>sportpiq-db (PG16)
sportpiq-redis
managed, private network</t>
        </is>
      </c>
      <c r="Q42" s="298" t="inlineStr">
        <is>
          <t>Models baked into the image
stage_artefacts + manifest
seed_model_registry on a new DB</t>
        </is>
      </c>
    </row>
    <row r="43">
      <c r="A43" s="309" t="inlineStr">
        <is>
          <t>Local celery must stay OFF while production runs: both hit the same metered providers, and TheRundown is 5,000 per MONTH. Promotion is no longer a DB flip -- retrain, stage, commit, redeploy, seed.</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91" min="1" max="1"/>
    <col width="9" customWidth="1" style="291" min="2" max="3"/>
    <col width="20" customWidth="1" style="291" min="4" max="4"/>
    <col width="10" customWidth="1" style="291" min="5" max="5"/>
    <col width="13" customWidth="1" style="291" min="6" max="6"/>
  </cols>
  <sheetData>
    <row r="1" ht="26.05" customHeight="1" s="291">
      <c r="A1" s="282" t="inlineStr">
        <is>
          <t>Epic Summary</t>
        </is>
      </c>
      <c r="B1" s="283" t="n"/>
      <c r="C1" s="283" t="n"/>
      <c r="D1" s="283" t="n"/>
      <c r="E1" s="283" t="n"/>
      <c r="F1" s="284"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4"/>
  <sheetViews>
    <sheetView tabSelected="1" workbookViewId="0">
      <pane ySplit="3" topLeftCell="A55" activePane="bottomLeft" state="frozen"/>
      <selection pane="bottomLeft" activeCell="E54" sqref="E54"/>
    </sheetView>
  </sheetViews>
  <sheetFormatPr baseColWidth="8" defaultRowHeight="14.4"/>
  <cols>
    <col width="34" customWidth="1" style="291" min="1" max="1"/>
    <col width="13" customWidth="1" style="291" min="2" max="2"/>
    <col width="11" customWidth="1" style="291" min="3" max="3"/>
    <col width="12" customWidth="1" style="291" min="4" max="4"/>
    <col width="95.578125" customWidth="1" style="277" min="5" max="5"/>
  </cols>
  <sheetData>
    <row r="1" ht="26.05" customHeight="1" s="291">
      <c r="A1" s="282" t="inlineStr">
        <is>
          <t>Risks, Blockers &amp; Open Decisions</t>
        </is>
      </c>
      <c r="B1" s="283" t="n"/>
      <c r="C1" s="283" t="n"/>
      <c r="D1" s="283" t="n"/>
      <c r="E1" s="284" t="n"/>
    </row>
    <row r="3">
      <c r="A3" s="29" t="inlineStr">
        <is>
          <t>Item</t>
        </is>
      </c>
      <c r="B3" s="29" t="inlineStr">
        <is>
          <t>Type</t>
        </is>
      </c>
      <c r="C3" s="29" t="inlineStr">
        <is>
          <t>Impact</t>
        </is>
      </c>
      <c r="D3" s="29" t="inlineStr">
        <is>
          <t>Status</t>
        </is>
      </c>
      <c r="E3" s="1" t="inlineStr">
        <is>
          <t>Action / Owner decision</t>
        </is>
      </c>
    </row>
    <row r="4" ht="28" customHeight="1" s="291">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91">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91">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91">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91">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91">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91">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91">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91">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91">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91">
      <c r="A14" s="30" t="inlineStr">
        <is>
          <t>Mobile has no Jest/ESLint</t>
        </is>
      </c>
      <c r="B14" s="11" t="inlineStr">
        <is>
          <t>Risk</t>
        </is>
      </c>
      <c r="C14" s="17" t="inlineStr">
        <is>
          <t>Medium</t>
        </is>
      </c>
      <c r="D14" s="11" t="inlineStr">
        <is>
          <t>Planned</t>
        </is>
      </c>
      <c r="E14" s="31" t="inlineStr">
        <is>
          <t>tsc is the only automated mobile check.</t>
        </is>
      </c>
    </row>
    <row r="15" ht="28" customHeight="1" s="291">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91">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91">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91">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91">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91">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91">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91">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91">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91">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91">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91">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91">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91">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91">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91">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91">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91">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91">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91">
      <c r="A34" s="133" t="inlineStr">
        <is>
          <t>Web testing does not catch device layout bugs</t>
        </is>
      </c>
      <c r="B34" s="128" t="inlineStr">
        <is>
          <t>Insight</t>
        </is>
      </c>
      <c r="C34" s="122" t="inlineStr">
        <is>
          <t>High</t>
        </is>
      </c>
      <c r="D34" s="128" t="inlineStr">
        <is>
          <t>Open</t>
        </is>
      </c>
      <c r="E34" s="134"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91">
      <c r="A35" s="135" t="inlineStr">
        <is>
          <t>The test suite writes to the dev database</t>
        </is>
      </c>
      <c r="B35" s="123" t="inlineStr">
        <is>
          <t>Risk</t>
        </is>
      </c>
      <c r="C35" s="131" t="inlineStr">
        <is>
          <t>Medium</t>
        </is>
      </c>
      <c r="D35" s="123" t="inlineStr">
        <is>
          <t>Open</t>
        </is>
      </c>
      <c r="E35" s="136"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91">
      <c r="A36" s="146" t="inlineStr">
        <is>
          <t>TheRundown quota exhausted</t>
        </is>
      </c>
      <c r="B36" s="144" t="inlineStr">
        <is>
          <t>Risk</t>
        </is>
      </c>
      <c r="C36" s="147" t="inlineStr">
        <is>
          <t>Critical</t>
        </is>
      </c>
      <c r="D36" s="152" t="inlineStr">
        <is>
          <t>Closed (see correction)</t>
        </is>
      </c>
      <c r="E36" s="152"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91">
      <c r="A37" s="149" t="inlineStr">
        <is>
          <t>Odds quota cost is fixture-gated, not league-gated</t>
        </is>
      </c>
      <c r="B37" s="139" t="inlineStr">
        <is>
          <t>Insight</t>
        </is>
      </c>
      <c r="C37" s="150" t="inlineStr">
        <is>
          <t>Medium</t>
        </is>
      </c>
      <c r="D37" s="139" t="inlineStr">
        <is>
          <t>Open</t>
        </is>
      </c>
      <c r="E37" s="151"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91">
      <c r="A38" s="146" t="inlineStr">
        <is>
          <t>TheRundown value starts 21 Aug, not today</t>
        </is>
      </c>
      <c r="B38" s="144" t="inlineStr">
        <is>
          <t>Insight</t>
        </is>
      </c>
      <c r="C38" s="150" t="inlineStr">
        <is>
          <t>Low</t>
        </is>
      </c>
      <c r="D38" s="144" t="inlineStr">
        <is>
          <t>Open</t>
        </is>
      </c>
      <c r="E38" s="148"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91">
      <c r="A39" s="159" t="inlineStr">
        <is>
          <t>Is API-Football EPL odds coverage real or seasonal?</t>
        </is>
      </c>
      <c r="B39" s="156" t="inlineStr">
        <is>
          <t>Risk</t>
        </is>
      </c>
      <c r="C39" s="160" t="inlineStr">
        <is>
          <t>High</t>
        </is>
      </c>
      <c r="D39" s="156" t="inlineStr">
        <is>
          <t>Open</t>
        </is>
      </c>
      <c r="E39" s="161"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91">
      <c r="A40" s="167" t="inlineStr">
        <is>
          <t>The basic quota was burned by a bug, not demand</t>
        </is>
      </c>
      <c r="B40" s="164" t="inlineStr">
        <is>
          <t>Insight</t>
        </is>
      </c>
      <c r="C40" s="168" t="inlineStr">
        <is>
          <t>High</t>
        </is>
      </c>
      <c r="D40" s="164" t="inlineStr">
        <is>
          <t>Open</t>
        </is>
      </c>
      <c r="E40" s="169"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91">
      <c r="A41" s="170" t="inlineStr">
        <is>
          <t>API-Football renewal</t>
        </is>
      </c>
      <c r="B41" s="171" t="inlineStr">
        <is>
          <t>Decision</t>
        </is>
      </c>
      <c r="C41" s="172" t="inlineStr">
        <is>
          <t>Medium</t>
        </is>
      </c>
      <c r="D41" s="171" t="inlineStr">
        <is>
          <t>Closed</t>
        </is>
      </c>
      <c r="E41" s="173" t="inlineStr">
        <is>
          <t>User confirmed the API-Football subscription will be renewed. This was carried as an open P0 after that had already been stated - a second instance of a stale item surviving in the list. Not a risk.</t>
        </is>
      </c>
    </row>
    <row r="42" ht="32.05" customHeight="1" s="291">
      <c r="A42" s="187" t="inlineStr">
        <is>
          <t>Best-odds MAX actively selects for outliers</t>
        </is>
      </c>
      <c r="B42" s="182" t="inlineStr">
        <is>
          <t>Insight</t>
        </is>
      </c>
      <c r="C42" s="176" t="inlineStr">
        <is>
          <t>High</t>
        </is>
      </c>
      <c r="D42" s="182" t="inlineStr">
        <is>
          <t>Open</t>
        </is>
      </c>
      <c r="E42" s="188"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91">
      <c r="A43" s="189" t="inlineStr">
        <is>
          <t>Polymarket lists ATP with the sides reversed</t>
        </is>
      </c>
      <c r="B43" s="177" t="inlineStr">
        <is>
          <t>Risk</t>
        </is>
      </c>
      <c r="C43" s="185" t="inlineStr">
        <is>
          <t>Medium</t>
        </is>
      </c>
      <c r="D43" s="177" t="inlineStr">
        <is>
          <t>Mitigated</t>
        </is>
      </c>
      <c r="E43" s="190"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91">
      <c r="A44" s="187" t="inlineStr">
        <is>
          <t>A distance threshold hid a real bug</t>
        </is>
      </c>
      <c r="B44" s="182" t="inlineStr">
        <is>
          <t>Insight</t>
        </is>
      </c>
      <c r="C44" s="185" t="inlineStr">
        <is>
          <t>Medium</t>
        </is>
      </c>
      <c r="D44" s="182" t="inlineStr">
        <is>
          <t>Closed</t>
        </is>
      </c>
      <c r="E44" s="188"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91">
      <c r="A45" s="189" t="inlineStr">
        <is>
          <t>Analytics scoped to mobile only, deferred to post-launch</t>
        </is>
      </c>
      <c r="B45" s="177" t="inlineStr">
        <is>
          <t>Decision</t>
        </is>
      </c>
      <c r="C45" s="185" t="inlineStr">
        <is>
          <t>Low</t>
        </is>
      </c>
      <c r="D45" s="177" t="inlineStr">
        <is>
          <t>Open</t>
        </is>
      </c>
      <c r="E45" s="190"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91">
      <c r="A46" s="205" t="inlineStr">
        <is>
          <t>Tennis total games must not repeat the football O/U mistake</t>
        </is>
      </c>
      <c r="B46" s="193" t="inlineStr">
        <is>
          <t>Decision</t>
        </is>
      </c>
      <c r="C46" s="198" t="inlineStr">
        <is>
          <t>High</t>
        </is>
      </c>
      <c r="D46" s="193" t="inlineStr">
        <is>
          <t>Open</t>
        </is>
      </c>
      <c r="E46" s="206"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56.7" customHeight="1" s="291">
      <c r="A47" s="207" t="inlineStr">
        <is>
          <t>Serve features need a GOAT-tier upgrade</t>
        </is>
      </c>
      <c r="B47" s="199" t="inlineStr">
        <is>
          <t>Risk</t>
        </is>
      </c>
      <c r="C47" s="202" t="inlineStr">
        <is>
          <t>Medium</t>
        </is>
      </c>
      <c r="D47" s="199" t="inlineStr">
        <is>
          <t>Open</t>
        </is>
      </c>
      <c r="E47" s="208"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9.3" customHeight="1" s="291">
      <c r="A48" s="205" t="inlineStr">
        <is>
          <t>Live/in-play tennis markets are an architecture change</t>
        </is>
      </c>
      <c r="B48" s="193" t="inlineStr">
        <is>
          <t>Decision</t>
        </is>
      </c>
      <c r="C48" s="202" t="inlineStr">
        <is>
          <t>Medium</t>
        </is>
      </c>
      <c r="D48" s="193" t="inlineStr">
        <is>
          <t>Open</t>
        </is>
      </c>
      <c r="E48" s="206"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ht="28.8" customHeight="1" s="291">
      <c r="A49" t="inlineStr">
        <is>
          <t>Corners blend is data-starved</t>
        </is>
      </c>
      <c r="B49" t="inlineStr">
        <is>
          <t>Risk</t>
        </is>
      </c>
      <c r="C49" t="inlineStr">
        <is>
          <t>Medium</t>
        </is>
      </c>
      <c r="D49" t="inlineStr">
        <is>
          <t>Open</t>
        </is>
      </c>
      <c r="E49" s="277" t="inlineStr">
        <is>
          <t>Only ~27% of live fixtures have enough corner history for the reference; the rest fall back to the model alone. Grows as fixtures settle; no free backfill (zero id overlap with the parquets)</t>
        </is>
      </c>
    </row>
    <row r="50" ht="28.8" customHeight="1" s="291">
      <c r="A50" t="inlineStr">
        <is>
          <t>Draw class collapses under calibration</t>
        </is>
      </c>
      <c r="B50" t="inlineStr">
        <is>
          <t>Risk</t>
        </is>
      </c>
      <c r="C50" t="inlineStr">
        <is>
          <t>Medium</t>
        </is>
      </c>
      <c r="D50" t="inlineStr">
        <is>
          <t>Open</t>
        </is>
      </c>
      <c r="E50" s="277" t="inlineStr">
        <is>
          <t>Isotonic takes draw from favourite-11% (raw) to 1% (calibrated) while draws happen 26% of the time. Brier still improves, so not clearly wrong - but away prob has never exceeded 0.573</t>
        </is>
      </c>
    </row>
    <row r="51" ht="28.8" customHeight="1" s="291">
      <c r="A51" t="inlineStr">
        <is>
          <t>Live feature sparsity on out-of-season leagues</t>
        </is>
      </c>
      <c r="B51" t="inlineStr">
        <is>
          <t>Risk</t>
        </is>
      </c>
      <c r="C51" t="inlineStr">
        <is>
          <t>Medium</t>
        </is>
      </c>
      <c r="D51" t="inlineStr">
        <is>
          <t>Open</t>
        </is>
      </c>
      <c r="E51" s="277" t="inlineStr">
        <is>
          <t>EPL median completeness 0.12, LaLiga 0.10 - between seasons, so cards are near-pure prior. NOT a collection gap: all 9 leagues are trained. Resolves when seasons start</t>
        </is>
      </c>
    </row>
    <row r="52" ht="28.8" customHeight="1" s="291">
      <c r="A52" t="inlineStr">
        <is>
          <t>Total games market: closed, will not build</t>
        </is>
      </c>
      <c r="B52" t="inlineStr">
        <is>
          <t>Decision</t>
        </is>
      </c>
      <c r="C52" t="inlineStr">
        <is>
          <t>n/a</t>
        </is>
      </c>
      <c r="D52" t="inlineStr">
        <is>
          <t>Closed</t>
        </is>
      </c>
      <c r="E52" s="277" t="inlineStr">
        <is>
          <t>Gate failed on 1,277 held-out fixtures. Revisit only with point-level or in-play data, not more modelling of the same inputs</t>
        </is>
      </c>
    </row>
    <row r="53" ht="28.8" customHeight="1" s="291">
      <c r="A53" t="inlineStr">
        <is>
          <t>H2H as a model input: closed</t>
        </is>
      </c>
      <c r="B53" t="inlineStr">
        <is>
          <t>Decision</t>
        </is>
      </c>
      <c r="C53" t="inlineStr">
        <is>
          <t>n/a</t>
        </is>
      </c>
      <c r="D53" t="inlineStr">
        <is>
          <t>Closed</t>
        </is>
      </c>
      <c r="E53" s="277" t="inlineStr">
        <is>
          <t>Measured worse than the league mean in all three markets and at every window. The model already carries H2H features and correctly weights them near zero</t>
        </is>
      </c>
    </row>
    <row r="54" ht="57.6" customHeight="1" s="291">
      <c r="A54" s="214" t="inlineStr">
        <is>
          <t>Tier-1 league pooling: closed, KEEP</t>
        </is>
      </c>
      <c r="B54" s="214" t="inlineStr">
        <is>
          <t>Decision</t>
        </is>
      </c>
      <c r="C54" s="214" t="inlineStr">
        <is>
          <t>n/a</t>
        </is>
      </c>
      <c r="D54" s="214" t="inlineStr">
        <is>
          <t>Closed</t>
        </is>
      </c>
      <c r="E54" s="214"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91">
      <c r="A55" s="214" t="inlineStr">
        <is>
          <t>Empty feature vectors produced extreme picks</t>
        </is>
      </c>
      <c r="B55" s="214" t="inlineStr">
        <is>
          <t>Risk</t>
        </is>
      </c>
      <c r="C55" s="214" t="inlineStr">
        <is>
          <t>High</t>
        </is>
      </c>
      <c r="D55" s="214" t="inlineStr">
        <is>
          <t>Closed</t>
        </is>
      </c>
      <c r="E55" s="214"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91">
      <c r="A56" s="214" t="inlineStr">
        <is>
          <t>Trained-on but not served: 9 Tier-1 leagues</t>
        </is>
      </c>
      <c r="B56" s="214" t="inlineStr">
        <is>
          <t>Risk</t>
        </is>
      </c>
      <c r="C56" s="214" t="inlineStr">
        <is>
          <t>Medium</t>
        </is>
      </c>
      <c r="D56" s="214" t="inlineStr">
        <is>
          <t>Open</t>
        </is>
      </c>
      <c r="E56" s="214" t="inlineStr">
        <is>
          <t>The model learned from 18 leagues; the app ingests 9. Users see no Swedish/Japanese/Polish fixture. Training config and live LEAGUE_IDS are separate wirings and drifted apart</t>
        </is>
      </c>
    </row>
    <row r="57" ht="43.2" customHeight="1" s="291">
      <c r="A57" s="214" t="inlineStr">
        <is>
          <t>RETRACTED: celery beat was never duplicated</t>
        </is>
      </c>
      <c r="B57" s="214" t="inlineStr">
        <is>
          <t>Risk</t>
        </is>
      </c>
      <c r="C57" s="214" t="inlineStr">
        <is>
          <t>Medium</t>
        </is>
      </c>
      <c r="D57" s="214" t="inlineStr">
        <is>
          <t>Closed</t>
        </is>
      </c>
      <c r="E57" s="214"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91">
      <c r="A58" s="214" t="inlineStr">
        <is>
          <t>Season conventions: closed, resolved from the provider</t>
        </is>
      </c>
      <c r="B58" s="214" t="inlineStr">
        <is>
          <t>Risk</t>
        </is>
      </c>
      <c r="C58" s="214" t="inlineStr">
        <is>
          <t>Medium</t>
        </is>
      </c>
      <c r="D58" s="214" t="inlineStr">
        <is>
          <t>Closed</t>
        </is>
      </c>
      <c r="E58" s="214"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91">
      <c r="A59" s="214" t="inlineStr">
        <is>
          <t>Stale features look identical to good ones</t>
        </is>
      </c>
      <c r="B59" s="214" t="inlineStr">
        <is>
          <t>Risk</t>
        </is>
      </c>
      <c r="C59" s="214" t="inlineStr">
        <is>
          <t>High</t>
        </is>
      </c>
      <c r="D59" s="214" t="inlineStr">
        <is>
          <t>Open</t>
        </is>
      </c>
      <c r="E59" s="214"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91">
      <c r="A60" s="214" t="inlineStr">
        <is>
          <t>Silent type mismatches across data sources</t>
        </is>
      </c>
      <c r="B60" s="214" t="inlineStr">
        <is>
          <t>Risk</t>
        </is>
      </c>
      <c r="C60" s="214" t="inlineStr">
        <is>
          <t>High</t>
        </is>
      </c>
      <c r="D60" s="214" t="inlineStr">
        <is>
          <t>Closed</t>
        </is>
      </c>
      <c r="E60" s="214"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91">
      <c r="A61" s="214" t="inlineStr">
        <is>
          <t>Data collected outside the split windows is inert</t>
        </is>
      </c>
      <c r="B61" s="214" t="inlineStr">
        <is>
          <t>Risk</t>
        </is>
      </c>
      <c r="C61" s="214" t="inlineStr">
        <is>
          <t>Medium</t>
        </is>
      </c>
      <c r="D61" s="214" t="inlineStr">
        <is>
          <t>Open</t>
        </is>
      </c>
      <c r="E61" s="214"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91">
      <c r="A62" s="214" t="inlineStr">
        <is>
          <t>Stale workers keep masking real fixes</t>
        </is>
      </c>
      <c r="B62" s="214" t="inlineStr">
        <is>
          <t>Risk</t>
        </is>
      </c>
      <c r="C62" s="214" t="inlineStr">
        <is>
          <t>Medium</t>
        </is>
      </c>
      <c r="D62" s="214" t="inlineStr">
        <is>
          <t>Open</t>
        </is>
      </c>
      <c r="E62" s="214"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91">
      <c r="A63" s="214" t="inlineStr">
        <is>
          <t>Bookmaker names differ only by case</t>
        </is>
      </c>
      <c r="B63" s="214" t="inlineStr">
        <is>
          <t>Risk</t>
        </is>
      </c>
      <c r="C63" s="214" t="inlineStr">
        <is>
          <t>Low</t>
        </is>
      </c>
      <c r="D63" s="214" t="inlineStr">
        <is>
          <t>Open</t>
        </is>
      </c>
      <c r="E63" s="214"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91">
      <c r="A64" s="214" t="inlineStr">
        <is>
          <t>watchlist_items.created_at model/DB drift</t>
        </is>
      </c>
      <c r="B64" s="214" t="inlineStr">
        <is>
          <t>Risk</t>
        </is>
      </c>
      <c r="C64" s="214" t="inlineStr">
        <is>
          <t>Low</t>
        </is>
      </c>
      <c r="D64" s="214" t="inlineStr">
        <is>
          <t>Open</t>
        </is>
      </c>
      <c r="E64" s="214" t="inlineStr">
        <is>
          <t>Autogenerate wants NOT NULL; the database has it nullable. Stripped from the push-receipts migration rather than smuggled in. Needs its own migration</t>
        </is>
      </c>
    </row>
    <row r="65" ht="129.6" customHeight="1" s="291">
      <c r="A65" s="214" t="inlineStr">
        <is>
          <t>Player availability is unobservable, not unimportant</t>
        </is>
      </c>
      <c r="B65" s="214" t="inlineStr">
        <is>
          <t>Risk</t>
        </is>
      </c>
      <c r="C65" s="214" t="inlineStr">
        <is>
          <t>Medium</t>
        </is>
      </c>
      <c r="D65" s="214" t="inlineStr">
        <is>
          <t>Open</t>
        </is>
      </c>
      <c r="E65" s="214"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row r="66" ht="28.8" customHeight="1" s="291">
      <c r="A66" s="214" t="inlineStr">
        <is>
          <t>Vanished fixtures need positive evidence, not a timer</t>
        </is>
      </c>
      <c r="B66" t="inlineStr">
        <is>
          <t>Decision</t>
        </is>
      </c>
      <c r="C66" t="inlineStr">
        <is>
          <t>Medium</t>
        </is>
      </c>
      <c r="D66" t="inlineStr">
        <is>
          <t>Closed</t>
        </is>
      </c>
      <c r="E66" s="277" t="inlineStr">
        <is>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is>
      </c>
    </row>
    <row r="67" ht="28.8" customHeight="1" s="291">
      <c r="A67" s="214" t="inlineStr">
        <is>
          <t>Duplicate tennis Prediction rows</t>
        </is>
      </c>
      <c r="B67" t="inlineStr">
        <is>
          <t>Risk</t>
        </is>
      </c>
      <c r="C67" t="inlineStr">
        <is>
          <t>Low</t>
        </is>
      </c>
      <c r="D67" t="inlineStr">
        <is>
          <t>Open</t>
        </is>
      </c>
      <c r="E67" s="277" t="inlineStr">
        <is>
          <t>64 tennis fixtures carry 2 identical predictions (same model version and kind); 541 carry one. Harmless today - nothing calls scalar_one on Prediction, so this is not the MultipleResultsFound class that bit TeamFeatures - but unexplained.</t>
        </is>
      </c>
    </row>
    <row r="68" ht="57.6" customHeight="1" s="291">
      <c r="A68" s="214" t="inlineStr">
        <is>
          <t>Withdrawn vs called-off fixtures</t>
        </is>
      </c>
      <c r="B68" t="inlineStr">
        <is>
          <t>Decision</t>
        </is>
      </c>
      <c r="C68" t="inlineStr">
        <is>
          <t>Low</t>
        </is>
      </c>
      <c r="D68" t="inlineStr">
        <is>
          <t>Closed</t>
        </is>
      </c>
      <c r="E68" s="277" t="inlineStr">
        <is>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is>
      </c>
    </row>
    <row r="69" ht="43.2" customHeight="1" s="291">
      <c r="A69" s="214" t="inlineStr">
        <is>
          <t>Corners discrimination is real but weak</t>
        </is>
      </c>
      <c r="B69" t="inlineStr">
        <is>
          <t>Risk</t>
        </is>
      </c>
      <c r="C69" t="inlineStr">
        <is>
          <t>Medium</t>
        </is>
      </c>
      <c r="D69" t="inlineStr">
        <is>
          <t>Open</t>
        </is>
      </c>
      <c r="E69" s="277" t="inlineStr">
        <is>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is>
      </c>
    </row>
    <row r="70" ht="57.6" customHeight="1" s="291">
      <c r="A70" s="214" t="inlineStr">
        <is>
          <t>A promotion did not reach any user</t>
        </is>
      </c>
      <c r="B70" t="inlineStr">
        <is>
          <t>Decision</t>
        </is>
      </c>
      <c r="C70" t="inlineStr">
        <is>
          <t>High</t>
        </is>
      </c>
      <c r="D70" t="inlineStr">
        <is>
          <t>Closed</t>
        </is>
      </c>
      <c r="E70" s="277" t="inlineStr">
        <is>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is>
      </c>
    </row>
    <row r="71" ht="28.8" customHeight="1" s="291">
      <c r="A71" s="214" t="inlineStr">
        <is>
          <t>Football pre-match accuracy is below baseline</t>
        </is>
      </c>
      <c r="B71" t="inlineStr">
        <is>
          <t>Risk</t>
        </is>
      </c>
      <c r="C71" t="inlineStr">
        <is>
          <t>High</t>
        </is>
      </c>
      <c r="D71" t="inlineStr">
        <is>
          <t>Open</t>
        </is>
      </c>
      <c r="E71" s="277" t="inlineStr">
        <is>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is>
      </c>
    </row>
    <row r="72" ht="28.8" customHeight="1" s="291">
      <c r="A72" s="214" t="inlineStr">
        <is>
          <t>Duplicate predictions were mis-triaged as harmless</t>
        </is>
      </c>
      <c r="B72" t="inlineStr">
        <is>
          <t>Decision</t>
        </is>
      </c>
      <c r="C72" t="inlineStr">
        <is>
          <t>Medium</t>
        </is>
      </c>
      <c r="D72" t="inlineStr">
        <is>
          <t>Closed</t>
        </is>
      </c>
      <c r="E72" s="277" t="inlineStr">
        <is>
          <t>They were checked for the failure mode that had bitten before (MultipleResultsFound via scalar_one) and cleared on that basis, while the defect actually present was silent inflation of a live user-facing accuracy. Checking for the last bug is not the same as checking for a bug.</t>
        </is>
      </c>
    </row>
    <row r="73" ht="28.8" customHeight="1" s="291">
      <c r="A73" s="214" t="inlineStr">
        <is>
          <t>Tennis edge over a runnable baseline is 2.15pp</t>
        </is>
      </c>
      <c r="B73" t="inlineStr">
        <is>
          <t>Risk</t>
        </is>
      </c>
      <c r="C73" t="inlineStr">
        <is>
          <t>Medium</t>
        </is>
      </c>
      <c r="D73" t="inlineStr">
        <is>
          <t>Open</t>
        </is>
      </c>
      <c r="E73" s="277" t="inlineStr">
        <is>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is>
      </c>
    </row>
    <row r="74" ht="28.8" customHeight="1" s="291">
      <c r="A74" s="214" t="inlineStr">
        <is>
          <t>Base rates must describe something a user could do</t>
        </is>
      </c>
      <c r="B74" t="inlineStr">
        <is>
          <t>Decision</t>
        </is>
      </c>
      <c r="C74" t="inlineStr">
        <is>
          <t>Medium</t>
        </is>
      </c>
      <c r="D74" t="inlineStr">
        <is>
          <t>Closed</t>
        </is>
      </c>
      <c r="E74" s="277" t="inlineStr">
        <is>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is>
      </c>
    </row>
    <row r="75" ht="28.8" customHeight="1" s="291">
      <c r="A75" s="214" t="inlineStr">
        <is>
          <t>A recommendation was made on evidence not yet checked</t>
        </is>
      </c>
      <c r="B75" t="inlineStr">
        <is>
          <t>Decision</t>
        </is>
      </c>
      <c r="C75" t="inlineStr">
        <is>
          <t>Low</t>
        </is>
      </c>
      <c r="D75" t="inlineStr">
        <is>
          <t>Closed</t>
        </is>
      </c>
      <c r="E75" s="277" t="inlineStr">
        <is>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is>
      </c>
    </row>
    <row r="76" ht="28.8" customHeight="1" s="291">
      <c r="A76" s="214" t="inlineStr">
        <is>
          <t>Budget-shaped decisions outlive the budget</t>
        </is>
      </c>
      <c r="B76" t="inlineStr">
        <is>
          <t>Decision</t>
        </is>
      </c>
      <c r="C76" t="inlineStr">
        <is>
          <t>Medium</t>
        </is>
      </c>
      <c r="D76" t="inlineStr">
        <is>
          <t>Closed</t>
        </is>
      </c>
      <c r="E76" s="277" t="inlineStr">
        <is>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is>
      </c>
    </row>
    <row r="77" ht="28.8" customHeight="1" s="291">
      <c r="A77" s="214" t="inlineStr">
        <is>
          <t>Veikkausliiga corners genuinely absent</t>
        </is>
      </c>
      <c r="B77" t="inlineStr">
        <is>
          <t>Risk</t>
        </is>
      </c>
      <c r="C77" t="inlineStr">
        <is>
          <t>Low</t>
        </is>
      </c>
      <c r="D77" t="inlineStr">
        <is>
          <t>Open</t>
        </is>
      </c>
      <c r="E77" s="277" t="inlineStr">
        <is>
          <t>44% coverage after the backfill (from 35%), the worst by a wide margin. Direct re-requests for its 2021 fixtures return empty, so this is provider absence rather than a collection miss. Left as a real gap, not zero-filled.</t>
        </is>
      </c>
    </row>
    <row r="78" ht="57.6" customHeight="1" s="291">
      <c r="A78" s="214" t="inlineStr">
        <is>
          <t>Season 2021 has no xG in any league</t>
        </is>
      </c>
      <c r="B78" t="inlineStr">
        <is>
          <t>Risk</t>
        </is>
      </c>
      <c r="C78" t="inlineStr">
        <is>
          <t>Medium</t>
        </is>
      </c>
      <c r="D78" t="inlineStr">
        <is>
          <t>Open</t>
        </is>
      </c>
      <c r="E78" s="277" t="inlineStr">
        <is>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is>
      </c>
    </row>
    <row r="79" ht="28.8" customHeight="1" s="291">
      <c r="A79" s="214" t="inlineStr">
        <is>
          <t>A tightening guard rewrote published history</t>
        </is>
      </c>
      <c r="B79" t="inlineStr">
        <is>
          <t>Decision</t>
        </is>
      </c>
      <c r="C79" t="inlineStr">
        <is>
          <t>High</t>
        </is>
      </c>
      <c r="D79" t="inlineStr">
        <is>
          <t>Closed</t>
        </is>
      </c>
      <c r="E79" s="277" t="inlineStr">
        <is>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is>
      </c>
    </row>
    <row r="80" ht="28.8" customHeight="1" s="291">
      <c r="A80" s="214" t="inlineStr">
        <is>
          <t>Isotonic calibration on 1X2 may not be earning its place</t>
        </is>
      </c>
      <c r="B80" t="inlineStr">
        <is>
          <t>Risk</t>
        </is>
      </c>
      <c r="C80" t="inlineStr">
        <is>
          <t>Medium</t>
        </is>
      </c>
      <c r="D80" t="inlineStr">
        <is>
          <t>Open</t>
        </is>
      </c>
      <c r="E80" s="277" t="inlineStr">
        <is>
          <t>First held-out measurement after months in the pipeline: log loss 1.0179 calibrated vs 1.0148 raw, multiclass Brier identical to 4dp, ECE 0.0143. Not harmful at this size, but no evidence it helps. Re-measure before treating the step as load-bearing.</t>
        </is>
      </c>
    </row>
    <row r="81" ht="57.6" customHeight="1" s="291">
      <c r="A81" s="214" t="inlineStr">
        <is>
          <t>The model cannot discriminate draws</t>
        </is>
      </c>
      <c r="B81" t="inlineStr">
        <is>
          <t>Risk</t>
        </is>
      </c>
      <c r="C81" t="inlineStr">
        <is>
          <t>Medium</t>
        </is>
      </c>
      <c r="D81" t="inlineStr">
        <is>
          <t>Open</t>
        </is>
      </c>
      <c r="E81" s="277" t="inlineStr">
        <is>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is>
      </c>
    </row>
    <row r="82" ht="28.8" customHeight="1" s="291">
      <c r="A82" s="214" t="inlineStr">
        <is>
          <t>xG availability differs between train and test</t>
        </is>
      </c>
      <c r="B82" t="inlineStr">
        <is>
          <t>Risk</t>
        </is>
      </c>
      <c r="C82" t="inlineStr">
        <is>
          <t>Medium</t>
        </is>
      </c>
      <c r="D82" t="inlineStr">
        <is>
          <t>Open</t>
        </is>
      </c>
      <c r="E82" s="277" t="inlineStr">
        <is>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is>
      </c>
    </row>
    <row r="83" ht="28.8" customHeight="1" s="291">
      <c r="A83" s="214" t="inlineStr">
        <is>
          <t>Published accuracy measured a different object from the product</t>
        </is>
      </c>
      <c r="B83" t="inlineStr">
        <is>
          <t>Decision</t>
        </is>
      </c>
      <c r="C83" t="inlineStr">
        <is>
          <t>High</t>
        </is>
      </c>
      <c r="D83" t="inlineStr">
        <is>
          <t>Closed</t>
        </is>
      </c>
      <c r="E83" s="277" t="inlineStr">
        <is>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is>
      </c>
    </row>
    <row r="84" ht="57.6" customHeight="1" s="291">
      <c r="A84" s="214" t="inlineStr">
        <is>
          <t>pick_snapshots is capturing tennis only</t>
        </is>
      </c>
      <c r="B84" t="inlineStr">
        <is>
          <t>Risk</t>
        </is>
      </c>
      <c r="C84" t="inlineStr">
        <is>
          <t>Medium</t>
        </is>
      </c>
      <c r="D84" t="inlineStr">
        <is>
          <t>Open</t>
        </is>
      </c>
      <c r="E84" s="277" t="inlineStr">
        <is>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is>
      </c>
    </row>
    <row r="85" ht="28.8" customHeight="1" s="291">
      <c r="A85" s="214" t="inlineStr">
        <is>
          <t>Snapshot coverage will be thinnest when it matters most</t>
        </is>
      </c>
      <c r="B85" t="inlineStr">
        <is>
          <t>Risk</t>
        </is>
      </c>
      <c r="C85" t="inlineStr">
        <is>
          <t>Medium</t>
        </is>
      </c>
      <c r="D85" t="inlineStr">
        <is>
          <t>Open</t>
        </is>
      </c>
      <c r="E85" s="277" t="inlineStr">
        <is>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is>
      </c>
    </row>
    <row r="86" ht="28.8" customHeight="1" s="291">
      <c r="A86" s="214" t="inlineStr">
        <is>
          <t>Isotonic calibration on 1X2 judged on the wrong metric</t>
        </is>
      </c>
      <c r="B86" t="inlineStr">
        <is>
          <t>Decision</t>
        </is>
      </c>
      <c r="C86" t="inlineStr">
        <is>
          <t>Low</t>
        </is>
      </c>
      <c r="D86" t="inlineStr">
        <is>
          <t>Closed</t>
        </is>
      </c>
      <c r="E86" s="277" t="inlineStr">
        <is>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is>
      </c>
    </row>
    <row r="87" ht="28.8" customHeight="1" s="291">
      <c r="A87" s="214" t="inlineStr">
        <is>
          <t>The model cannot discriminate draws - already contained</t>
        </is>
      </c>
      <c r="B87" t="inlineStr">
        <is>
          <t>Decision</t>
        </is>
      </c>
      <c r="C87" t="inlineStr">
        <is>
          <t>Low</t>
        </is>
      </c>
      <c r="D87" t="inlineStr">
        <is>
          <t>Closed</t>
        </is>
      </c>
      <c r="E87" s="277" t="inlineStr">
        <is>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is>
      </c>
    </row>
    <row r="88" ht="28.8" customHeight="1" s="291">
      <c r="A88" s="214" t="inlineStr">
        <is>
          <t>'Nothing is deployed, no infra/' was stale for weeks</t>
        </is>
      </c>
      <c r="B88" t="inlineStr">
        <is>
          <t>Decision</t>
        </is>
      </c>
      <c r="C88" t="inlineStr">
        <is>
          <t>Medium</t>
        </is>
      </c>
      <c r="D88" t="inlineStr">
        <is>
          <t>Closed</t>
        </is>
      </c>
      <c r="E88" s="277" t="inlineStr">
        <is>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is>
      </c>
    </row>
    <row r="89" ht="28.8" customHeight="1" s="291">
      <c r="A89" s="214" t="inlineStr">
        <is>
          <t>A training run promotes itself, so an experiment's losing arm went live</t>
        </is>
      </c>
      <c r="B89" t="inlineStr">
        <is>
          <t>Decision</t>
        </is>
      </c>
      <c r="C89" t="inlineStr">
        <is>
          <t>High</t>
        </is>
      </c>
      <c r="D89" t="inlineStr">
        <is>
          <t>Closed</t>
        </is>
      </c>
      <c r="E89" s="277" t="inlineStr">
        <is>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is>
      </c>
    </row>
    <row r="90" ht="28.8" customHeight="1" s="291">
      <c r="A90" s="214" t="inlineStr">
        <is>
          <t>All three form windows now measured; 'shorter is fresher' is dead</t>
        </is>
      </c>
      <c r="B90" t="inlineStr">
        <is>
          <t>Decision</t>
        </is>
      </c>
      <c r="C90" t="inlineStr">
        <is>
          <t>Low</t>
        </is>
      </c>
      <c r="D90" t="inlineStr">
        <is>
          <t>Closed</t>
        </is>
      </c>
      <c r="E90" s="277" t="inlineStr">
        <is>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is>
      </c>
    </row>
    <row r="91" ht="28.8" customHeight="1" s="291">
      <c r="A91" s="214" t="inlineStr">
        <is>
          <t>--no-activate stranded NBA with zero active models</t>
        </is>
      </c>
      <c r="B91" t="inlineStr">
        <is>
          <t>Decision</t>
        </is>
      </c>
      <c r="C91" t="inlineStr">
        <is>
          <t>High</t>
        </is>
      </c>
      <c r="D91" t="inlineStr">
        <is>
          <t>Closed</t>
        </is>
      </c>
      <c r="E91" s="277" t="inlineStr">
        <is>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is>
      </c>
    </row>
    <row r="92" ht="100.8" customHeight="1" s="291">
      <c r="A92" s="214" t="inlineStr">
        <is>
          <t>Only football needs a market-blind model - NBA and tennis were measured, not assumed</t>
        </is>
      </c>
      <c r="B92" t="inlineStr">
        <is>
          <t>Decision</t>
        </is>
      </c>
      <c r="C92" t="inlineStr">
        <is>
          <t>Low</t>
        </is>
      </c>
      <c r="D92" t="inlineStr">
        <is>
          <t>Closed</t>
        </is>
      </c>
      <c r="E92" s="277" t="inlineStr">
        <is>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is>
      </c>
    </row>
    <row r="93" ht="86.40000000000001" customHeight="1" s="291">
      <c r="A93" s="214" t="inlineStr">
        <is>
          <t>Driver contributions cannot be backfilled, so old predictions carry no explanation</t>
        </is>
      </c>
      <c r="B93" t="inlineStr">
        <is>
          <t>Risk</t>
        </is>
      </c>
      <c r="C93" t="inlineStr">
        <is>
          <t>Low</t>
        </is>
      </c>
      <c r="D93" t="inlineStr">
        <is>
          <t>Open</t>
        </is>
      </c>
      <c r="E93" s="277" t="inlineStr">
        <is>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is>
      </c>
    </row>
    <row r="94" ht="72" customHeight="1" s="291">
      <c r="A94" s="214" t="inlineStr">
        <is>
          <t>The divergence guard suppresses a panel rather than justifying a pick the football disagrees with</t>
        </is>
      </c>
      <c r="B94" t="inlineStr">
        <is>
          <t>Decision</t>
        </is>
      </c>
      <c r="C94" t="inlineStr">
        <is>
          <t>Medium</t>
        </is>
      </c>
      <c r="D94" t="inlineStr">
        <is>
          <t>Closed</t>
        </is>
      </c>
      <c r="E94" s="277" t="inlineStr">
        <is>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7"/>
  <sheetViews>
    <sheetView workbookViewId="0">
      <pane ySplit="4" topLeftCell="A5" activePane="bottomLeft" state="frozen"/>
      <selection pane="bottomLeft" activeCell="A1" sqref="A1"/>
    </sheetView>
  </sheetViews>
  <sheetFormatPr baseColWidth="8" defaultRowHeight="14.4"/>
  <cols>
    <col width="10" customWidth="1" style="291" min="1" max="1"/>
    <col width="48" customWidth="1" style="291" min="2" max="2"/>
    <col width="12" customWidth="1" style="291" min="3" max="3"/>
    <col width="18" customWidth="1" style="291" min="4" max="4"/>
    <col width="86" customWidth="1" style="291" min="5" max="5"/>
  </cols>
  <sheetData>
    <row r="1" ht="18.3" customHeight="1" s="291">
      <c r="A1" s="218" t="inlineStr">
        <is>
          <t>SportIQ — Edge Measurement Plan (P0-P3)</t>
        </is>
      </c>
    </row>
    <row r="2" ht="46" customHeight="1" s="291">
      <c r="A2" s="310"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4">
      <c r="A4" s="219" t="inlineStr">
        <is>
          <t>Priority</t>
        </is>
      </c>
      <c r="B4" s="219" t="inlineStr">
        <is>
          <t>Item</t>
        </is>
      </c>
      <c r="C4" s="219" t="inlineStr">
        <is>
          <t>Status</t>
        </is>
      </c>
      <c r="D4" s="219" t="inlineStr">
        <is>
          <t>Depends on</t>
        </is>
      </c>
      <c r="E4" s="219" t="inlineStr">
        <is>
          <t>Why it matters / what it answers</t>
        </is>
      </c>
    </row>
    <row r="5" ht="44.05" customHeight="1" s="291">
      <c r="A5" s="220" t="inlineStr">
        <is>
          <t>P0</t>
        </is>
      </c>
      <c r="B5" s="214" t="inlineStr">
        <is>
          <t>Separate real pre-game forecasts from retrodictions</t>
        </is>
      </c>
      <c r="C5" s="227" t="inlineStr">
        <is>
          <t>Done</t>
        </is>
      </c>
      <c r="D5" s="214" t="inlineStr">
        <is>
          <t>—</t>
        </is>
      </c>
      <c r="E5" s="214"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91">
      <c r="A6" s="220" t="inlineStr">
        <is>
          <t>P0</t>
        </is>
      </c>
      <c r="B6" s="214" t="inlineStr">
        <is>
          <t>Confirm capture_closing_odds is actually writing</t>
        </is>
      </c>
      <c r="C6" s="227" t="inlineStr">
        <is>
          <t>Done</t>
        </is>
      </c>
      <c r="D6" s="214" t="inlineStr">
        <is>
          <t>—</t>
        </is>
      </c>
      <c r="E6" s="214"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91">
      <c r="A7" s="230" t="inlineStr">
        <is>
          <t>P1</t>
        </is>
      </c>
      <c r="B7" s="214" t="inlineStr">
        <is>
          <t>Spec what /history reports, before building it</t>
        </is>
      </c>
      <c r="C7" s="231" t="inlineStr">
        <is>
          <t>Done</t>
        </is>
      </c>
      <c r="D7" s="214" t="inlineStr">
        <is>
          <t>P0</t>
        </is>
      </c>
      <c r="E7" s="214"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91">
      <c r="A8" s="222" t="inlineStr">
        <is>
          <t>P1</t>
        </is>
      </c>
      <c r="B8" s="214" t="inlineStr">
        <is>
          <t>Build GET /history over existing settled outcomes</t>
        </is>
      </c>
      <c r="C8" s="233" t="inlineStr">
        <is>
          <t>Done</t>
        </is>
      </c>
      <c r="D8" s="214" t="inlineStr">
        <is>
          <t>P0, spec</t>
        </is>
      </c>
      <c r="E8" s="214"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91">
      <c r="A9" s="222" t="inlineStr">
        <is>
          <t>P1</t>
        </is>
      </c>
      <c r="B9" s="214" t="inlineStr">
        <is>
          <t>Grade the pick that was SHOWN, not a recomputed one</t>
        </is>
      </c>
      <c r="C9" s="232" t="inlineStr">
        <is>
          <t>Done</t>
        </is>
      </c>
      <c r="D9" s="214" t="inlineStr">
        <is>
          <t>P0</t>
        </is>
      </c>
      <c r="E9" s="214" t="inlineStr">
        <is>
          <t>Resolved by pick_snapshots: /history will grade the stored snapshot rather than recomputing, so it measures the product users actually saw. Applies only to fixtures captured from 2026-08-10 onward.</t>
        </is>
      </c>
    </row>
    <row r="10" ht="44.05" customHeight="1" s="291">
      <c r="A10" s="223" t="inlineStr">
        <is>
          <t>P2</t>
        </is>
      </c>
      <c r="B10" s="214" t="inlineStr">
        <is>
          <t>PRE-REGISTER the verdict thresholds (SETTLED 2026-08-11, spec §9): CLV primary over accuracy on sample size (n~223-396 vs ~1,650); edge = CI excluding 0; the no-edge response pre-committed; re-read 2026-09-15</t>
        </is>
      </c>
      <c r="C10" s="221" t="inlineStr">
        <is>
          <t>Done</t>
        </is>
      </c>
      <c r="D10" s="214" t="inlineStr">
        <is>
          <t>spec</t>
        </is>
      </c>
      <c r="E10" s="214" t="inlineStr">
        <is>
          <t>What counts as an edge, what counts as none, and what happens in each case - written before looking at results. Same discipline that made the Tier-1 and key-player calls trustworthy rather than fitted.</t>
        </is>
      </c>
    </row>
    <row r="11" ht="44.05" customHeight="1" s="291">
      <c r="A11" t="inlineStr">
        <is>
          <t>P2</t>
        </is>
      </c>
      <c r="B11" s="214"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91">
      <c r="A12" t="inlineStr">
        <is>
          <t>P2</t>
        </is>
      </c>
      <c r="B12" s="214"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91">
      <c r="A13" s="223" t="inlineStr">
        <is>
          <t>P2</t>
        </is>
      </c>
      <c r="B13" s="214" t="inlineStr">
        <is>
          <t>First honest read: per sport, per market, per league</t>
        </is>
      </c>
      <c r="C13" s="221" t="inlineStr">
        <is>
          <t>Done</t>
        </is>
      </c>
      <c r="D13" s="214" t="inlineStr">
        <is>
          <t>/history</t>
        </is>
      </c>
      <c r="E13" s="214" t="inlineStr">
        <is>
          <t>DONE 13 Aug. Per-league existed for 1X2 only and per-market pooled only; per_league_market_metrics now reports both cuts crossed. Goals under-3.5 Brier spans 0.168 (J1) to 0.261 (Veikkausliiga) against a pooled 0.2096.</t>
        </is>
      </c>
    </row>
    <row r="14" ht="44.05" customHeight="1" s="291">
      <c r="A14" s="234" t="inlineStr">
        <is>
          <t>P2</t>
        </is>
      </c>
      <c r="B14" s="214" t="inlineStr">
        <is>
          <t>Re-read CLV at a real sample size</t>
        </is>
      </c>
      <c r="C14" s="235" t="inlineStr">
        <is>
          <t>Done</t>
        </is>
      </c>
      <c r="D14" s="214" t="inlineStr">
        <is>
          <t>P0 capture check</t>
        </is>
      </c>
      <c r="E14" s="214"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91">
      <c r="A15" s="234" t="inlineStr">
        <is>
          <t>P2</t>
        </is>
      </c>
      <c r="B15" s="214" t="inlineStr">
        <is>
          <t>Do confidence tiers mean anything?</t>
        </is>
      </c>
      <c r="C15" s="235" t="inlineStr">
        <is>
          <t>Done</t>
        </is>
      </c>
      <c r="D15" s="214" t="inlineStr">
        <is>
          <t>/history</t>
        </is>
      </c>
      <c r="E15" s="214"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91">
      <c r="A16" s="234" t="inlineStr">
        <is>
          <t>P2</t>
        </is>
      </c>
      <c r="B16" s="214" t="inlineStr">
        <is>
          <t>Re-run completeness-vs-correctness</t>
        </is>
      </c>
      <c r="C16" s="235" t="inlineStr">
        <is>
          <t>Done</t>
        </is>
      </c>
      <c r="D16" s="214" t="inlineStr">
        <is>
          <t>/history</t>
        </is>
      </c>
      <c r="E16" s="214"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91">
      <c r="A17" s="224" t="inlineStr">
        <is>
          <t>P3</t>
        </is>
      </c>
      <c r="B17" s="214" t="inlineStr">
        <is>
          <t>Decide Over/Under's future on the evidence — DONE 2026-08-11, and it split in two: goals_total n=242 r=+0.049 (0.2% of variance) is barred from winning the headline pick; corners_total n=234 r=+0.288 (8.3%, ~4.4 SE from zero) is KEPT. Decidable without the CLV read</t>
        </is>
      </c>
      <c r="C17" s="221" t="inlineStr">
        <is>
          <t>Done</t>
        </is>
      </c>
      <c r="D17" s="214" t="inlineStr">
        <is>
          <t>P2 read</t>
        </is>
      </c>
      <c r="E17" s="214" t="inlineStr">
        <is>
          <t>Already measured as near-base-rate (predicted xG vs actual goals r=+0.030). The open question is not how to improve it but whether to keep surfacing it as a confident pick.</t>
        </is>
      </c>
    </row>
    <row r="18" ht="44.05" customHeight="1" s="291">
      <c r="A18" s="224" t="inlineStr">
        <is>
          <t>P3</t>
        </is>
      </c>
      <c r="B18" s="214" t="inlineStr">
        <is>
          <t>Let the measurement inform the 22 Sep renewal</t>
        </is>
      </c>
      <c r="C18" s="222" t="inlineStr">
        <is>
          <t>Milestone</t>
        </is>
      </c>
      <c r="D18" s="214" t="inlineStr">
        <is>
          <t>P2 read</t>
        </is>
      </c>
      <c r="E18" s="214" t="inlineStr">
        <is>
          <t>API-Football ends 2026-09-29. Renewing to collect more history is a different decision from renewing to serve a working product.</t>
        </is>
      </c>
    </row>
    <row r="19" ht="44.05" customHeight="1" s="291">
      <c r="A19" s="225" t="inlineStr">
        <is>
          <t>HOLD</t>
        </is>
      </c>
      <c r="B19" s="214" t="inlineStr">
        <is>
          <t>No new leagues until measurement lands</t>
        </is>
      </c>
      <c r="C19" s="224" t="inlineStr">
        <is>
          <t>Hold</t>
        </is>
      </c>
      <c r="D19" s="214" t="inlineStr">
        <is>
          <t>—</t>
        </is>
      </c>
      <c r="E19" s="214" t="inlineStr">
        <is>
          <t>Nine were added this week. More widens coverage of something whose value is unproven.</t>
        </is>
      </c>
    </row>
    <row r="20">
      <c r="A20" s="225" t="inlineStr">
        <is>
          <t>HOLD</t>
        </is>
      </c>
      <c r="B20" s="214" t="inlineStr">
        <is>
          <t>No new markets until measurement lands</t>
        </is>
      </c>
      <c r="C20" s="224" t="inlineStr">
        <is>
          <t>Hold</t>
        </is>
      </c>
      <c r="D20" s="214" t="inlineStr">
        <is>
          <t>—</t>
        </is>
      </c>
      <c r="E20" s="214" t="inlineStr">
        <is>
          <t>Corners and O/U are already surfaced without evidence they are worth backing.</t>
        </is>
      </c>
    </row>
    <row r="21" ht="58" customHeight="1" s="291">
      <c r="A21" s="225" t="inlineStr">
        <is>
          <t>HOLD</t>
        </is>
      </c>
      <c r="B21" s="214" t="inlineStr">
        <is>
          <t>No retrains chasing accuracy</t>
        </is>
      </c>
      <c r="C21" s="224" t="inlineStr">
        <is>
          <t>Hold</t>
        </is>
      </c>
      <c r="D21" s="214" t="inlineStr">
        <is>
          <t>—</t>
        </is>
      </c>
      <c r="E21" s="214" t="inlineStr">
        <is>
          <t>Three retrains in two days moved the headline by noise. The binding constraint is signal and evidence, not tuning.</t>
        </is>
      </c>
    </row>
    <row r="22" ht="58" customHeight="1" s="291"/>
    <row r="23" ht="58" customHeight="1" s="291">
      <c r="A23" s="228" t="inlineStr">
        <is>
          <t>P0</t>
        </is>
      </c>
      <c r="B23" s="214" t="inlineStr">
        <is>
          <t>FINDING: the sample cannot yet answer the question</t>
        </is>
      </c>
      <c r="C23" s="227" t="inlineStr">
        <is>
          <t>Done</t>
        </is>
      </c>
      <c r="D23" s="214" t="inlineStr">
        <is>
          <t>power analysis</t>
        </is>
      </c>
      <c r="E23" s="214"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91">
      <c r="A24" s="229" t="inlineStr">
        <is>
          <t>P1</t>
        </is>
      </c>
      <c r="B24" s="214" t="inlineStr">
        <is>
          <t>Set expectations: /history is instrumentation, not a verdict</t>
        </is>
      </c>
      <c r="C24" s="233" t="inlineStr">
        <is>
          <t>Done</t>
        </is>
      </c>
      <c r="D24" s="214" t="inlineStr">
        <is>
          <t>the finding above</t>
        </is>
      </c>
      <c r="E24" s="214"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91">
      <c r="A25" s="230" t="inlineStr">
        <is>
          <t>P1</t>
        </is>
      </c>
      <c r="B25" s="214" t="inlineStr">
        <is>
          <t>FINDING: the pick we SHOW is never persisted</t>
        </is>
      </c>
      <c r="C25" s="233" t="inlineStr">
        <is>
          <t>Done</t>
        </is>
      </c>
      <c r="D25" s="214" t="inlineStr">
        <is>
          <t>spec §2b</t>
        </is>
      </c>
      <c r="E25" s="214" t="inlineStr">
        <is>
          <t>RESOLVED by pick_snapshots (8f794e0). Product-skill metrics accumulate from 2026-08-10; nothing before it is recoverable.</t>
        </is>
      </c>
    </row>
    <row r="26" ht="43.2" customHeight="1" s="291">
      <c r="A26" s="230" t="inlineStr">
        <is>
          <t>P1</t>
        </is>
      </c>
      <c r="B26" s="214" t="inlineStr">
        <is>
          <t>Persist the pick at the moment it is shown</t>
        </is>
      </c>
      <c r="C26" s="232" t="inlineStr">
        <is>
          <t>Done</t>
        </is>
      </c>
      <c r="D26" s="214" t="inlineStr">
        <is>
          <t>the finding above</t>
        </is>
      </c>
      <c r="E26" s="214"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ht="86.40000000000001" customHeight="1" s="291">
      <c r="A27" s="234" t="inlineStr">
        <is>
          <t>P2</t>
        </is>
      </c>
      <c r="B27" s="214" t="inlineStr">
        <is>
          <t>Push gate no longer uses the confidence tier</t>
        </is>
      </c>
      <c r="C27" s="236" t="inlineStr">
        <is>
          <t>Done</t>
        </is>
      </c>
      <c r="D27" s="214" t="inlineStr">
        <is>
          <t>pre-registration</t>
        </is>
      </c>
      <c r="E27" s="214"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ht="72" customHeight="1" s="291">
      <c r="A28" s="226" t="inlineStr">
        <is>
          <t>P0</t>
        </is>
      </c>
      <c r="B28" s="214"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ht="57.6" customHeight="1" s="291">
      <c r="A29" t="inlineStr">
        <is>
          <t>P2</t>
        </is>
      </c>
      <c r="B29" s="214"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ht="72" customHeight="1" s="291">
      <c r="A30" t="inlineStr">
        <is>
          <t>P2</t>
        </is>
      </c>
      <c r="B30" s="214"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ht="72" customHeight="1" s="291">
      <c r="A31" t="inlineStr">
        <is>
          <t>P1</t>
        </is>
      </c>
      <c r="B31" s="214"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ht="57.6" customHeight="1" s="291">
      <c r="A32" t="inlineStr">
        <is>
          <t>P1</t>
        </is>
      </c>
      <c r="B32" s="214"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ht="72" customHeight="1" s="291">
      <c r="A33" t="inlineStr">
        <is>
          <t>P1</t>
        </is>
      </c>
      <c r="B33" s="214"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ht="72" customHeight="1" s="291">
      <c r="A34" t="inlineStr">
        <is>
          <t>P1</t>
        </is>
      </c>
      <c r="B34" s="214"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ht="72" customHeight="1" s="291">
      <c r="A35" t="inlineStr">
        <is>
          <t>P2</t>
        </is>
      </c>
      <c r="B35" s="214"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ht="86.40000000000001" customHeight="1" s="291">
      <c r="A36" t="inlineStr">
        <is>
          <t>P1</t>
        </is>
      </c>
      <c r="B36" s="214"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ht="72" customHeight="1" s="291">
      <c r="A37" t="inlineStr">
        <is>
          <t>P2</t>
        </is>
      </c>
      <c r="B37" s="214"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ht="57.6" customHeight="1" s="291">
      <c r="A38" t="inlineStr">
        <is>
          <t>P3</t>
        </is>
      </c>
      <c r="B38" s="214" t="inlineStr">
        <is>
          <t>Football empty cards are NOT a fault: ODDS_LOOKAHEAD_DAYS=3 and no football fixture is currently inside 3 days. Recheck once the European seasons open on 21 Aug</t>
        </is>
      </c>
      <c r="C38" t="inlineStr">
        <is>
          <t>Done</t>
        </is>
      </c>
      <c r="D38" t="inlineStr">
        <is>
          <t>odds coverage</t>
        </is>
      </c>
    </row>
    <row r="39" ht="86.40000000000001" customHeight="1" s="291">
      <c r="A39" t="inlineStr">
        <is>
          <t>P1</t>
        </is>
      </c>
      <c r="B39" s="214"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ht="57.6" customHeight="1" s="291">
      <c r="A40" t="inlineStr">
        <is>
          <t>P2</t>
        </is>
      </c>
      <c r="B40" s="214"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ht="100.8" customHeight="1" s="291">
      <c r="A41" t="inlineStr">
        <is>
          <t>P1</t>
        </is>
      </c>
      <c r="B41" s="214"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ht="57.6" customHeight="1" s="291">
      <c r="A42" t="inlineStr">
        <is>
          <t>P2</t>
        </is>
      </c>
      <c r="B42" s="214"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ht="86.40000000000001" customHeight="1" s="291">
      <c r="A43" t="inlineStr">
        <is>
          <t>P2</t>
        </is>
      </c>
      <c r="B43" s="214"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ht="72" customHeight="1" s="291">
      <c r="A44" t="inlineStr">
        <is>
          <t>P2</t>
        </is>
      </c>
      <c r="B44" s="214"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ht="43.2" customHeight="1" s="291">
      <c r="A45" t="inlineStr">
        <is>
          <t>P3</t>
        </is>
      </c>
      <c r="B45" s="214"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ht="72" customHeight="1" s="291">
      <c r="A46" s="273" t="inlineStr">
        <is>
          <t>MODEL</t>
        </is>
      </c>
      <c r="B46" s="214"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ht="72" customHeight="1" s="291">
      <c r="A47" s="273" t="inlineStr">
        <is>
          <t>MODEL</t>
        </is>
      </c>
      <c r="B47" s="214"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ht="57.6" customHeight="1" s="291">
      <c r="A48" s="273" t="inlineStr">
        <is>
          <t>MODEL</t>
        </is>
      </c>
      <c r="B48" s="214"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ht="72" customHeight="1" s="291">
      <c r="A49" s="273" t="inlineStr">
        <is>
          <t>MODEL</t>
        </is>
      </c>
      <c r="B49" s="214"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ht="86.40000000000001" customHeight="1" s="291">
      <c r="A50" s="273" t="inlineStr">
        <is>
          <t>MODEL</t>
        </is>
      </c>
      <c r="B50" s="214"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ht="115.2" customHeight="1" s="291">
      <c r="A51" s="273" t="inlineStr">
        <is>
          <t>MODEL</t>
        </is>
      </c>
      <c r="B51" s="214"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ht="100.8" customHeight="1" s="291">
      <c r="A52" s="273" t="inlineStr">
        <is>
          <t>MODEL</t>
        </is>
      </c>
      <c r="B52" s="214"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ht="72" customHeight="1" s="291">
      <c r="A53" s="273" t="inlineStr">
        <is>
          <t>MODEL</t>
        </is>
      </c>
      <c r="B53" s="214"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ht="100.8" customHeight="1" s="291">
      <c r="A54" s="273" t="inlineStr">
        <is>
          <t>MODEL</t>
        </is>
      </c>
      <c r="B54" s="214" t="inlineStr">
        <is>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is>
      </c>
      <c r="C54" t="inlineStr">
        <is>
          <t>Done</t>
        </is>
      </c>
      <c r="D54" t="inlineStr">
        <is>
          <t>#4</t>
        </is>
      </c>
    </row>
    <row r="55" ht="57.6" customHeight="1" s="291">
      <c r="A55" s="273" t="inlineStr">
        <is>
          <t>MODEL</t>
        </is>
      </c>
      <c r="B55" s="214"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row r="56" ht="43.2" customHeight="1" s="291">
      <c r="A56" s="273" t="inlineStr">
        <is>
          <t>MODEL</t>
        </is>
      </c>
      <c r="B56" s="214" t="inlineStr">
        <is>
          <t>FOLLOW-UP: the corners Poisson regressors are still untuned (MAE unchanged at 2.156, which confirms the scoping). Same pattern as Layer 1 would apply</t>
        </is>
      </c>
      <c r="C56" t="inlineStr">
        <is>
          <t>Done</t>
        </is>
      </c>
      <c r="D56" t="inlineStr">
        <is>
          <t>#5</t>
        </is>
      </c>
      <c r="E56" t="inlineStr">
        <is>
          <t>DONE 13 Aug. Tuned against validation Poisson deviance, and the Over/Under CORNERS market got its first held-out evaluation at the same time - it had shipped judged by MAE alone while the product sold P(under 9.5).</t>
        </is>
      </c>
    </row>
    <row r="57" ht="115.2" customHeight="1" s="291">
      <c r="A57" s="273" t="inlineStr">
        <is>
          <t>MODEL</t>
        </is>
      </c>
      <c r="B57" s="214" t="inlineStr">
        <is>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is>
      </c>
      <c r="C57" t="inlineStr">
        <is>
          <t>Done</t>
        </is>
      </c>
      <c r="D57" t="inlineStr">
        <is>
          <t>O/U</t>
        </is>
      </c>
    </row>
    <row r="58" ht="57.6" customHeight="1" s="291">
      <c r="A58" s="273" t="inlineStr">
        <is>
          <t>MODEL</t>
        </is>
      </c>
      <c r="B58" s="214" t="inlineStr">
        <is>
          <t>The check deliberately does NOT lift the bar itself — re-admitting a market changes what users are told to back, so that stays a human decision. Pinned by a test that the worker never imports the pick-selection set</t>
        </is>
      </c>
      <c r="C58" t="inlineStr">
        <is>
          <t>Done</t>
        </is>
      </c>
      <c r="D58" t="inlineStr">
        <is>
          <t>O/U</t>
        </is>
      </c>
    </row>
    <row r="59" ht="72" customHeight="1" s="291">
      <c r="A59" s="273" t="inlineStr">
        <is>
          <t>MODEL</t>
        </is>
      </c>
      <c r="B59" s="214" t="inlineStr">
        <is>
          <t>Same correlation function now used by BOTH the training run (test-set read, printed + logged to MLflow) and the live trigger, so the two cannot drift and a market cannot be re-admitted on evidence that does not match the bar that barred it</t>
        </is>
      </c>
      <c r="C59" t="inlineStr">
        <is>
          <t>Done</t>
        </is>
      </c>
      <c r="D59" t="inlineStr">
        <is>
          <t>O/U</t>
        </is>
      </c>
    </row>
    <row r="60" ht="57.6" customHeight="1" s="291">
      <c r="A60" s="273" t="inlineStr">
        <is>
          <t>MODEL</t>
        </is>
      </c>
      <c r="B60" s="214" t="inlineStr">
        <is>
          <t>STATUS at wiring time: n=0 — the tuned model has no settled predictions yet. ~90 football fixtures settle per week and 125 are scheduled in the next 14 days, so the trigger becomes answerable around the 2026-09-15 CLV re-read</t>
        </is>
      </c>
      <c r="C60" t="inlineStr">
        <is>
          <t>Planned</t>
        </is>
      </c>
      <c r="D60" t="inlineStr">
        <is>
          <t>O/U</t>
        </is>
      </c>
    </row>
    <row r="61" ht="72" customHeight="1" s="291">
      <c r="A61" s="273" t="inlineStr">
        <is>
          <t>MOBILE</t>
        </is>
      </c>
      <c r="B61" s="214" t="inlineStr">
        <is>
          <t>Missing country flags fixed — Norway, Finland, Denmark, Poland, Czech-Republic all rendered the globe fallback since the Tier-1 league expansion. Real PNGs added; verified in the running app on 9 Aug: 12 distinct flags render, ZERO globes remain</t>
        </is>
      </c>
      <c r="C61" t="inlineStr">
        <is>
          <t>Done</t>
        </is>
      </c>
      <c r="D61" t="inlineStr">
        <is>
          <t>user report</t>
        </is>
      </c>
    </row>
    <row r="62" ht="72" customHeight="1" s="291">
      <c r="A62" s="273" t="inlineStr">
        <is>
          <t>MOBILE</t>
        </is>
      </c>
      <c r="B62" s="214" t="inlineStr">
        <is>
          <t>Guard added (backend/tests/test_league_flags.py): every seeded league country must have a flag, and every referenced PNG must exist. Adding a league is a data insert by design, which is exactly why the flag gets forgotten — and a missing one produces no error, warning or log</t>
        </is>
      </c>
      <c r="C62" t="inlineStr">
        <is>
          <t>Done</t>
        </is>
      </c>
      <c r="D62" t="inlineStr">
        <is>
          <t>user report</t>
        </is>
      </c>
    </row>
    <row r="63" ht="72" customHeight="1" s="291">
      <c r="A63" s="273" t="inlineStr">
        <is>
          <t>MOBILE</t>
        </is>
      </c>
      <c r="B63" s="214" t="inlineStr">
        <is>
          <t>NOTE: the guard caught a real miss immediately — the normalising fallback for API-Football's hyphenated 'Czech-Republic' had silently failed to apply; only the exact map key landed. Flags worked, but the intended safety net did not exist</t>
        </is>
      </c>
      <c r="C63" t="inlineStr">
        <is>
          <t>Done</t>
        </is>
      </c>
      <c r="D63" t="inlineStr">
        <is>
          <t>user report</t>
        </is>
      </c>
    </row>
    <row r="64" ht="86.40000000000001" customHeight="1" s="291">
      <c r="A64" s="273" t="inlineStr">
        <is>
          <t>MODEL</t>
        </is>
      </c>
      <c r="B64" s="214" t="inlineStr">
        <is>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is>
      </c>
      <c r="C64" t="inlineStr">
        <is>
          <t>Done</t>
        </is>
      </c>
      <c r="D64" t="inlineStr">
        <is>
          <t>O/U structure</t>
        </is>
      </c>
    </row>
    <row r="65" ht="72" customHeight="1" s="291">
      <c r="A65" s="273" t="inlineStr">
        <is>
          <t>MODEL</t>
        </is>
      </c>
      <c r="B65" s="214" t="inlineStr">
        <is>
          <t>RESULT: value of modelling dependence AT ALL = +0.0005 nats — the ceiling for any bivariate Poisson or Dixon-Coles. Our model beats the dependence-aware reference by 0.0835, so per-fixture conditioning is worth ~167x the entire dependence structure. NO new score model</t>
        </is>
      </c>
      <c r="C65" t="inlineStr">
        <is>
          <t>Done</t>
        </is>
      </c>
      <c r="D65" t="inlineStr">
        <is>
          <t>O/U structure</t>
        </is>
      </c>
    </row>
    <row r="66" ht="72" customHeight="1" s="291">
      <c r="A66" s="273" t="inlineStr">
        <is>
          <t>MODEL</t>
        </is>
      </c>
      <c r="B66" s="214" t="inlineStr">
        <is>
          <t>Per-league dispersion re-measured on 27,914 fixtures: 9 of 18 leagues UNDERdispersed (incl. EPL, Serie A, Bundesliga) so a negative binomial is inadmissible; 15 of 18 have NEGATIVE home/away correlation so a bivariate Poisson cannot express the sign</t>
        </is>
      </c>
      <c r="C66" t="inlineStr">
        <is>
          <t>Done</t>
        </is>
      </c>
      <c r="D66" t="inlineStr">
        <is>
          <t>O/U structure</t>
        </is>
      </c>
    </row>
    <row r="67" ht="86.40000000000001" customHeight="1" s="291">
      <c r="A67" s="273" t="inlineStr">
        <is>
          <t>BUG</t>
        </is>
      </c>
      <c r="B67" s="214" t="inlineStr">
        <is>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is>
      </c>
      <c r="C67" t="inlineStr">
        <is>
          <t>Done</t>
        </is>
      </c>
      <c r="D67" t="inlineStr">
        <is>
          <t>user report</t>
        </is>
      </c>
    </row>
    <row r="68" ht="72" customHeight="1" s="291">
      <c r="A68" s="273" t="inlineStr">
        <is>
          <t>BUG</t>
        </is>
      </c>
      <c r="B68" s="214" t="inlineStr">
        <is>
          <t>Self-monitoring added: _warn_if_stale_fixtures_remain counts fixtures the sweep should have caught and logs WARNING to Sentry. All three recurrences were invisible to us — a too-generous threshold looks exactly like a working sweep unless something counts leftovers</t>
        </is>
      </c>
      <c r="C68" t="inlineStr">
        <is>
          <t>Done</t>
        </is>
      </c>
      <c r="D68" t="inlineStr">
        <is>
          <t>user report</t>
        </is>
      </c>
    </row>
    <row r="69" ht="57.6" customHeight="1" s="291">
      <c r="A69" s="273" t="inlineStr">
        <is>
          <t>BUG</t>
        </is>
      </c>
      <c r="B69" s="214" t="inlineStr">
        <is>
          <t>NOTE: the provider was NOT the answer this time — BallDontLie still reported the cancelled match as scheduled 36h on, unlike earlier cases that 404d. "Ask the provider" would have been a fix that fixed nothing</t>
        </is>
      </c>
      <c r="C69" t="inlineStr">
        <is>
          <t>Done</t>
        </is>
      </c>
      <c r="D69" t="inlineStr">
        <is>
          <t>user report</t>
        </is>
      </c>
    </row>
    <row r="70" ht="86.40000000000001" customHeight="1" s="291">
      <c r="A70" s="273" t="inlineStr">
        <is>
          <t>MODEL</t>
        </is>
      </c>
      <c r="B70" s="214" t="inlineStr">
        <is>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is>
      </c>
      <c r="C70" t="inlineStr">
        <is>
          <t>Done</t>
        </is>
      </c>
      <c r="D70" t="inlineStr">
        <is>
          <t>windows</t>
        </is>
      </c>
    </row>
    <row r="71" ht="43.2" customHeight="1" s="291">
      <c r="A71" s="273" t="inlineStr">
        <is>
          <t>MODEL</t>
        </is>
      </c>
      <c r="B71" s="214" t="inlineStr">
        <is>
          <t>n=3 loses outright and breaks under-3.5 bucket monotonicity (.744-&gt;.676) — the "shorter window is fresher" intuition is dead</t>
        </is>
      </c>
      <c r="C71" t="inlineStr">
        <is>
          <t>Done</t>
        </is>
      </c>
      <c r="D71" t="inlineStr">
        <is>
          <t>windows</t>
        </is>
      </c>
    </row>
    <row r="72" ht="72" customHeight="1" s="291">
      <c r="A72" s="273" t="inlineStr">
        <is>
          <t>MODEL</t>
        </is>
      </c>
      <c r="B72" s="214" t="inlineStr">
        <is>
          <t>DEVIATION RECORDED: n=10 lost the ONE pre-registered criterion (RPS 0.2097-&gt;0.2098, 0.05% relative). The rule carried no tolerance and was badly specified; overriding it was a deliberate user-approved call, documented as an override rather than reinterpreted</t>
        </is>
      </c>
      <c r="C72" t="inlineStr">
        <is>
          <t>Done</t>
        </is>
      </c>
      <c r="D72" t="inlineStr">
        <is>
          <t>windows</t>
        </is>
      </c>
    </row>
    <row r="73" ht="57.6" customHeight="1" s="291">
      <c r="A73" s="273" t="inlineStr">
        <is>
          <t>MODEL</t>
        </is>
      </c>
      <c r="B73" s="214" t="inlineStr">
        <is>
          <t>OPEN: NBA and tennis still use LAST_N_FORM=10 by inheritance, untested. Tennis is the more suspect — players compete in bursts, so 10 matches can span surfaces and months</t>
        </is>
      </c>
      <c r="C73" t="inlineStr">
        <is>
          <t>Done</t>
        </is>
      </c>
      <c r="D73" t="inlineStr">
        <is>
          <t>windows</t>
        </is>
      </c>
      <c r="E73" t="inlineStr">
        <is>
          <t>DONE 13 Aug. Both measured and both DEFENDED 10. All three sports now converge on 10.</t>
        </is>
      </c>
    </row>
    <row r="75">
      <c r="A75" s="273" t="inlineStr">
        <is>
          <t>P1</t>
        </is>
      </c>
      <c r="B75" t="inlineStr">
        <is>
          <t>THE MEASUREMENT MEASURED THE WRONG OBJECT: /history and the notebook graded the 1X2 argmax while the product shows best_pick across four markets</t>
        </is>
      </c>
      <c r="C75" t="inlineStr">
        <is>
          <t>Done</t>
        </is>
      </c>
      <c r="D75" t="inlineStr">
        <is>
          <t>user report</t>
        </is>
      </c>
      <c r="E75" t="inlineStr">
        <is>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is>
      </c>
    </row>
    <row r="76">
      <c r="A76" s="273" t="inlineStr">
        <is>
          <t>P1</t>
        </is>
      </c>
      <c r="B76" t="inlineStr">
        <is>
          <t>grade_pick ported from TypeScript so endpoint, notebook and card cannot disagree</t>
        </is>
      </c>
      <c r="C76" t="inlineStr">
        <is>
          <t>Done</t>
        </is>
      </c>
      <c r="D76" t="inlineStr">
        <is>
          <t>card grading</t>
        </is>
      </c>
      <c r="E76" t="inlineStr">
        <is>
          <t>The four-market rule existed once, in mobile/lib/pickFormat.ts, so only the phone could say whether a card had been right. Deliberate line-by-line port including the parts that look like bugs ('12' ungraded, an exact push losing both ways).</t>
        </is>
      </c>
    </row>
    <row r="77">
      <c r="A77" s="273" t="inlineStr">
        <is>
          <t>P1</t>
        </is>
      </c>
      <c r="B77" t="inlineStr">
        <is>
          <t>1X2 got log loss / multiclass Brier / ECE / per-class reliability</t>
        </is>
      </c>
      <c r="C77" t="inlineStr">
        <is>
          <t>Done</t>
        </is>
      </c>
      <c r="D77" t="inlineStr">
        <is>
          <t>critique</t>
        </is>
      </c>
      <c r="E77" t="inlineStr">
        <is>
          <t>The flagship market had RPS and nothing else - Over/Under goals and corners each got a reliability table only after shipping wrong. FINDING: 92% of test fixtures get a draw probability in 0.2-0.3 (observed 0.257): right on average, no per-fixture information.</t>
        </is>
      </c>
    </row>
    <row r="78">
      <c r="A78" s="273" t="inlineStr">
        <is>
          <t>P2</t>
        </is>
      </c>
      <c r="B78" t="inlineStr">
        <is>
          <t>CORRECTION: isotonic calibration on 1X2 DOES earn its place</t>
        </is>
      </c>
      <c r="C78" t="inlineStr">
        <is>
          <t>Done</t>
        </is>
      </c>
      <c r="D78" t="inlineStr">
        <is>
          <t>1X2 metrics</t>
        </is>
      </c>
      <c r="E78" t="inlineStr">
        <is>
          <t>Reported as not earning it on log loss (1.0179 vs 1.0148) and Brier (identical). Both are the wrong instrument - the product reads the probability VALUE through min_probability, the base-rate gates and EV. ECE 0.0143 vs 0.0195 uncalibrated. Judge a component on the metric it exists for.</t>
        </is>
      </c>
    </row>
    <row r="79">
      <c r="A79" s="273" t="inlineStr">
        <is>
          <t>P2</t>
        </is>
      </c>
      <c r="B79" t="inlineStr">
        <is>
          <t>The draw finding needs no new guard - it is already contained</t>
        </is>
      </c>
      <c r="C79" t="inlineStr">
        <is>
          <t>Done</t>
        </is>
      </c>
      <c r="D79" t="inlineStr">
        <is>
          <t>1X2 metrics</t>
        </is>
      </c>
      <c r="E79" t="inlineStr">
        <is>
          <t>MIN_EDGE_OVER_BASE_RATE requires a draw to reach 0.3038 and ZERO draw picks have ever reached a card, measured over the whole settled history.</t>
        </is>
      </c>
    </row>
    <row r="80">
      <c r="A80" s="273" t="inlineStr">
        <is>
          <t>P1</t>
        </is>
      </c>
      <c r="B80" t="inlineStr">
        <is>
          <t>Per-fixture test outputs saved, so model comparisons are a join not a memory</t>
        </is>
      </c>
      <c r="C80" t="inlineStr">
        <is>
          <t>Done</t>
        </is>
      </c>
      <c r="D80" t="inlineStr">
        <is>
          <t>critique</t>
        </is>
      </c>
      <c r="E80" t="inlineStr">
        <is>
          <t>Every comparison had rested on printed headlines plus booster hashes - enough to prove scope, useless for attribution. It is what forced the caveat that corners MAE 2.167 -&gt; 2.157 was not an improvement because the test set grew 35%.</t>
        </is>
      </c>
    </row>
    <row r="81">
      <c r="A81" s="273" t="inlineStr">
        <is>
          <t>P0</t>
        </is>
      </c>
      <c r="B81" t="inlineStr">
        <is>
          <t>TRAP: a training run promoted itself, and the losing arm went live</t>
        </is>
      </c>
      <c r="C81" t="inlineStr">
        <is>
          <t>Done</t>
        </is>
      </c>
      <c r="D81" t="inlineStr">
        <is>
          <t>windows</t>
        </is>
      </c>
      <c r="E81" t="inlineStr">
        <is>
          <t>The tennis n=5 arm scored worse on accuracy AND RPS and became the served model by finishing. Worse than a bad number: LAST_N_FORM reads back at 10 when serving, so a model trained on 5 would have been fed 10. --no-activate added to all three scripts.</t>
        </is>
      </c>
    </row>
    <row r="82">
      <c r="A82" s="273" t="inlineStr">
        <is>
          <t>P0</t>
        </is>
      </c>
      <c r="B82" t="inlineStr">
        <is>
          <t>TRAP: --no-activate then stranded NBA with ZERO active models</t>
        </is>
      </c>
      <c r="C82" t="inlineStr">
        <is>
          <t>Done</t>
        </is>
      </c>
      <c r="D82" t="inlineStr">
        <is>
          <t>windows</t>
        </is>
      </c>
      <c r="E82" t="inlineStr">
        <is>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is>
      </c>
    </row>
    <row r="83">
      <c r="A83" s="273" t="inlineStr">
        <is>
          <t>P1</t>
        </is>
      </c>
      <c r="B83" t="inlineStr">
        <is>
          <t>A tightening guard rewrote published history</t>
        </is>
      </c>
      <c r="C83" t="inlineStr">
        <is>
          <t>Done</t>
        </is>
      </c>
      <c r="D83" t="inlineStr">
        <is>
          <t>user report</t>
        </is>
      </c>
      <c r="E83" t="inlineStr">
        <is>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is>
      </c>
    </row>
    <row r="84">
      <c r="A84" s="273" t="inlineStr">
        <is>
          <t>P0</t>
        </is>
      </c>
      <c r="B84" t="inlineStr">
        <is>
          <t>LIVE IN PRODUCTION - the measurement now has a real population to accumulate</t>
        </is>
      </c>
      <c r="C84" t="inlineStr">
        <is>
          <t>Done</t>
        </is>
      </c>
      <c r="D84" t="inlineStr">
        <is>
          <t>deploy</t>
        </is>
      </c>
      <c r="E84" t="inlineStr">
        <is>
          <t>Deployed 13 Aug. Every number measured so far is from the LOCAL database; production starts its own history from today, so /history there will read as a new model with no record until it accumulates.</t>
        </is>
      </c>
    </row>
    <row r="85">
      <c r="A85" s="273" t="inlineStr">
        <is>
          <t>P2</t>
        </is>
      </c>
      <c r="B85" t="inlineStr">
        <is>
          <t>PRODUCTION AND LOCAL SHARE THE SAME METERED QUOTAS</t>
        </is>
      </c>
      <c r="C85" t="inlineStr">
        <is>
          <t>Done</t>
        </is>
      </c>
      <c r="D85" t="inlineStr">
        <is>
          <t>deploy</t>
        </is>
      </c>
      <c r="E85" t="inlineStr">
        <is>
          <t>Local celery (2 workers + 2 beats) was killed on 13 Aug and the dev app repointed at production, so exactly one scheduler now spends TheRundown's 5,000/month. Running local beat alongside production double-spends it.</t>
        </is>
      </c>
    </row>
    <row r="86">
      <c r="A86" s="273" t="inlineStr">
        <is>
          <t>HOLD</t>
        </is>
      </c>
      <c r="B86" t="inlineStr">
        <is>
          <t>EXCEPTION TAKEN to 'no new leagues until measurement lands': WNBA</t>
        </is>
      </c>
      <c r="C86" t="inlineStr">
        <is>
          <t>Done</t>
        </is>
      </c>
      <c r="D86" t="inlineStr">
        <is>
          <t>user request</t>
        </is>
      </c>
      <c r="E86" t="inlineStr">
        <is>
          <t>Recorded as an exception, not a precedent. The argument for it: a second basketball competition TESTS whether the NBA model generalises rather than merely widening coverage. Cost was near zero - no collection, no retrain, one adapter namespace switch. The HOLD otherwise stands.</t>
        </is>
      </c>
    </row>
    <row r="87">
      <c r="A87" s="273" t="inlineStr">
        <is>
          <t>P2</t>
        </is>
      </c>
      <c r="B87" t="inlineStr">
        <is>
          <t>WNBA calibration against WNBA outcomes is UNMEASURED</t>
        </is>
      </c>
      <c r="C87" t="inlineStr">
        <is>
          <t>Planned</t>
        </is>
      </c>
      <c r="D87" t="inlineStr">
        <is>
          <t>WNBA live</t>
        </is>
      </c>
      <c r="E87" t="inlineStr">
        <is>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4.4"/>
  <cols>
    <col width="26" customWidth="1" style="291" min="1" max="1"/>
    <col width="42" customWidth="1" style="291" min="2" max="2"/>
    <col width="20" customWidth="1" style="291" min="3" max="3"/>
    <col width="22" customWidth="1" style="291" min="4" max="4"/>
    <col width="16" customWidth="1" style="291" min="5" max="5"/>
    <col width="14" customWidth="1" style="291" min="6" max="6"/>
    <col width="26" customWidth="1" style="291" min="7" max="7"/>
    <col width="17" customWidth="1" style="291" min="8" max="8"/>
    <col width="62" customWidth="1" style="291" min="9" max="9"/>
  </cols>
  <sheetData>
    <row r="1" ht="18.3" customHeight="1" s="291">
      <c r="A1" s="210" t="inlineStr">
        <is>
          <t>External APIs, Quotas &amp; Expiry</t>
        </is>
      </c>
    </row>
    <row r="2">
      <c r="A2" s="311" t="inlineStr">
        <is>
          <t>All figures read live from each provider at 2026-08-09. No credentials are stored in this file.</t>
        </is>
      </c>
    </row>
    <row r="4">
      <c r="A4" s="212" t="inlineStr">
        <is>
          <t>Provider</t>
        </is>
      </c>
      <c r="B4" s="212" t="inlineStr">
        <is>
          <t>What we get from it</t>
        </is>
      </c>
      <c r="C4" s="212" t="inlineStr">
        <is>
          <t>Plan / tier</t>
        </is>
      </c>
      <c r="D4" s="212" t="inlineStr">
        <is>
          <t>Quota</t>
        </is>
      </c>
      <c r="E4" s="212" t="inlineStr">
        <is>
          <t>Used (as checked)</t>
        </is>
      </c>
      <c r="F4" s="212" t="inlineStr">
        <is>
          <t>Remaining</t>
        </is>
      </c>
      <c r="G4" s="212" t="inlineStr">
        <is>
          <t>Expiry / reset</t>
        </is>
      </c>
      <c r="H4" s="212" t="inlineStr">
        <is>
          <t>Status</t>
        </is>
      </c>
      <c r="I4" s="212" t="inlineStr">
        <is>
          <t>Notes &amp; constraints</t>
        </is>
      </c>
    </row>
    <row r="5" ht="62.05" customHeight="1" s="291">
      <c r="A5" s="213" t="inlineStr">
        <is>
          <t>API-Football (v3, direct host)</t>
        </is>
      </c>
      <c r="B5" s="214" t="inlineStr">
        <is>
          <t>Football fixtures, team stats, injuries, lineups, corners, H2H, and Brasileirao odds. The primary football provider.</t>
        </is>
      </c>
      <c r="C5" s="214" t="inlineStr">
        <is>
          <t>Ultra</t>
        </is>
      </c>
      <c r="D5" s="214" t="inlineStr">
        <is>
          <t>75,000 / day (450 / minute)</t>
        </is>
      </c>
      <c r="E5" s="214" t="inlineStr">
        <is>
          <t>23,783 today</t>
        </is>
      </c>
      <c r="F5" s="214" t="inlineStr">
        <is>
          <t>51,217 today</t>
        </is>
      </c>
      <c r="G5" s="214" t="inlineStr">
        <is>
          <t>SUBSCRIPTION ENDS 2026-09-29</t>
        </is>
      </c>
      <c r="H5" s="215" t="inlineStr">
        <is>
          <t>HEALTHY</t>
        </is>
      </c>
      <c r="I5" s="214"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91">
      <c r="A6" s="213" t="inlineStr">
        <is>
          <t>TheRundown (via RapidAPI)</t>
        </is>
      </c>
      <c r="B6" s="214" t="inlineStr">
        <is>
          <t>Odds: NBA, the 5 European football leagues, MLS, and ATP/WTA tennis. Only real source of game-totals lines.</t>
        </is>
      </c>
      <c r="C6" s="214" t="inlineStr">
        <is>
          <t>Pro</t>
        </is>
      </c>
      <c r="D6" s="214" t="inlineStr">
        <is>
          <t>5,000 / month</t>
        </is>
      </c>
      <c r="E6" s="214" t="inlineStr">
        <is>
          <t>68 this period</t>
        </is>
      </c>
      <c r="F6" s="214" t="inlineStr">
        <is>
          <t>4,932</t>
        </is>
      </c>
      <c r="G6" s="214" t="inlineStr">
        <is>
          <t>resets in ~27 days</t>
        </is>
      </c>
      <c r="H6" s="216" t="inlineStr">
        <is>
          <t>HEALTHY</t>
        </is>
      </c>
      <c r="I6" s="214" t="inlineStr">
        <is>
          <t>Upgraded from 1,000/month. Odds job stays at 6h: worst case at 3h is 134% of quota. No Brazil, Scotland or China coverage at all. Only 3 of ~15 affiliates return real prices; the rest send a 0.0001 masked sentinel.</t>
        </is>
      </c>
    </row>
    <row r="7" ht="62.05" customHeight="1" s="291">
      <c r="A7" s="213" t="inlineStr">
        <is>
          <t>BallDontLie - ATP tennis</t>
        </is>
      </c>
      <c r="B7" s="214" t="inlineStr">
        <is>
          <t>Tennis fixtures, matches, match_stats (serve/return), odds (DraftKings + FanDuel), rankings, H2H.</t>
        </is>
      </c>
      <c r="C7" s="214" t="inlineStr">
        <is>
          <t>GOAT</t>
        </is>
      </c>
      <c r="D7" s="214" t="inlineStr">
        <is>
          <t>600 / minute</t>
        </is>
      </c>
      <c r="E7" s="214" t="inlineStr">
        <is>
          <t>1 (probe)</t>
        </is>
      </c>
      <c r="F7" s="214" t="inlineStr">
        <is>
          <t>599</t>
        </is>
      </c>
      <c r="G7" s="214" t="inlineStr">
        <is>
          <t>no expiry observed</t>
        </is>
      </c>
      <c r="H7" s="216" t="inlineStr">
        <is>
          <t>HEALTHY</t>
        </is>
      </c>
      <c r="I7" s="214" t="inlineStr">
        <is>
          <t>10x the ALL-STAR limit. /match_stats paginates by SEASON not per fixture, so bulk history is minutes not days. NOTE: season and match_ids filters are SILENTLY IGNORED on some endpoints - always test with a nonsense value.</t>
        </is>
      </c>
    </row>
    <row r="8" ht="62.05" customHeight="1" s="291">
      <c r="A8" s="213" t="inlineStr">
        <is>
          <t>BallDontLie - WTA tennis</t>
        </is>
      </c>
      <c r="B8" s="214" t="inlineStr">
        <is>
          <t>Nothing usable. /rankings only.</t>
        </is>
      </c>
      <c r="C8" s="214" t="inlineStr">
        <is>
          <t>Free (not subscribed)</t>
        </is>
      </c>
      <c r="D8" s="214" t="inlineStr">
        <is>
          <t>5 / minute</t>
        </is>
      </c>
      <c r="E8" s="214" t="inlineStr">
        <is>
          <t>n/a</t>
        </is>
      </c>
      <c r="F8" s="214" t="inlineStr">
        <is>
          <t>n/a</t>
        </is>
      </c>
      <c r="G8" s="214" t="inlineStr">
        <is>
          <t>n/a</t>
        </is>
      </c>
      <c r="H8" s="215" t="inlineStr">
        <is>
          <t>BLOCKED</t>
        </is>
      </c>
      <c r="I8" s="214" t="inlineStr">
        <is>
          <t>Every endpoint except /rankings returns 401. GOAT covers ATP ONLY - WTA needs its own subscription. Code is written and unit-tested; just point league='wta' once subscribed.</t>
        </is>
      </c>
    </row>
    <row r="9" ht="62.05" customHeight="1" s="291">
      <c r="A9" s="213" t="inlineStr">
        <is>
          <t>BallDontLie - NBA</t>
        </is>
      </c>
      <c r="B9" s="214" t="inlineStr">
        <is>
          <t>NBA fixtures and team stats for live serving.</t>
        </is>
      </c>
      <c r="C9" s="214" t="inlineStr">
        <is>
          <t>Free</t>
        </is>
      </c>
      <c r="D9" s="214" t="inlineStr">
        <is>
          <t>5 / minute</t>
        </is>
      </c>
      <c r="E9" s="214" t="inlineStr">
        <is>
          <t>1 (probe)</t>
        </is>
      </c>
      <c r="F9" s="214" t="inlineStr">
        <is>
          <t>4</t>
        </is>
      </c>
      <c r="G9" s="214" t="inlineStr">
        <is>
          <t>no expiry</t>
        </is>
      </c>
      <c r="H9" s="217" t="inlineStr">
        <is>
          <t>TIGHT</t>
        </is>
      </c>
      <c r="I9" s="214" t="inlineStr">
        <is>
          <t>/season_averages, /standings and /player_injuries all 401 on this tier. 5/min is why ingest caches per-run; fine for 30 teams, would not scale.</t>
        </is>
      </c>
    </row>
    <row r="10" ht="62.05" customHeight="1" s="291">
      <c r="A10" s="213" t="inlineStr">
        <is>
          <t>TheStatsAPI</t>
        </is>
      </c>
      <c r="B10" s="214" t="inlineStr">
        <is>
          <t>Expected goals (xG) for football - the only xG source; API-Football supplies none at any tier.</t>
        </is>
      </c>
      <c r="C10" s="214" t="inlineStr">
        <is>
          <t>paid</t>
        </is>
      </c>
      <c r="D10" s="214" t="inlineStr">
        <is>
          <t>120 / minute (+ a monthly cap)</t>
        </is>
      </c>
      <c r="E10" s="214" t="inlineStr">
        <is>
          <t>0 (probe)</t>
        </is>
      </c>
      <c r="F10" s="214" t="inlineStr">
        <is>
          <t>120 this minute</t>
        </is>
      </c>
      <c r="G10" s="214" t="inlineStr">
        <is>
          <t>monthly cap not exposed in headers</t>
        </is>
      </c>
      <c r="H10" s="217" t="inlineStr">
        <is>
          <t>WATCH</t>
        </is>
      </c>
      <c r="I10" s="214" t="inlineStr">
        <is>
          <t>Monthly quota is real and has been hit before - it reports as 'season not found', which is misleading. Per-minute limit was raised 12 -&gt; 120; the collector now reads pacing from x-ratelimit-limit rather than a constant.</t>
        </is>
      </c>
    </row>
    <row r="11" ht="62.05" customHeight="1" s="291">
      <c r="A11" s="213" t="inlineStr">
        <is>
          <t>nba_api (stats.nba.com)</t>
        </is>
      </c>
      <c r="B11" s="214" t="inlineStr">
        <is>
          <t>NBA historical training data only.</t>
        </is>
      </c>
      <c r="C11" s="214" t="inlineStr">
        <is>
          <t>free</t>
        </is>
      </c>
      <c r="D11" s="214" t="inlineStr">
        <is>
          <t>unthrottled</t>
        </is>
      </c>
      <c r="E11" s="214" t="inlineStr">
        <is>
          <t>n/a</t>
        </is>
      </c>
      <c r="F11" s="214" t="inlineStr">
        <is>
          <t>n/a</t>
        </is>
      </c>
      <c r="G11" s="214" t="inlineStr">
        <is>
          <t>none</t>
        </is>
      </c>
      <c r="H11" s="217" t="inlineStr">
        <is>
          <t>LOCAL ONLY</t>
        </is>
      </c>
      <c r="I11" s="214" t="inlineStr">
        <is>
          <t>Blocks ALL cloud-provider IPs at the network level. Must never be called from a production worker - offline training only.</t>
        </is>
      </c>
    </row>
    <row r="12" ht="62.05" customHeight="1" s="291">
      <c r="A12" s="213" t="inlineStr">
        <is>
          <t>Expo Push API</t>
        </is>
      </c>
      <c r="B12" s="214" t="inlineStr">
        <is>
          <t>Delivering push notifications to devices.</t>
        </is>
      </c>
      <c r="C12" s="214" t="inlineStr">
        <is>
          <t>unauthenticated</t>
        </is>
      </c>
      <c r="D12" s="214" t="inlineStr">
        <is>
          <t>lower unauthenticated rate limit</t>
        </is>
      </c>
      <c r="E12" s="214" t="inlineStr">
        <is>
          <t>n/a</t>
        </is>
      </c>
      <c r="F12" s="214" t="inlineStr">
        <is>
          <t>n/a</t>
        </is>
      </c>
      <c r="G12" s="214" t="inlineStr">
        <is>
          <t>none</t>
        </is>
      </c>
      <c r="H12" s="216" t="inlineStr">
        <is>
          <t>WORKS</t>
        </is>
      </c>
      <c r="I12" s="214" t="inlineStr">
        <is>
          <t>No EXPO_ACCESS_TOKEN provisioned. Sends work and were verified on a real device. Ticket is returned but the RECEIPT is never checked, so delivery failures are currently invisible.</t>
        </is>
      </c>
    </row>
    <row r="13" ht="62.05" customHeight="1" s="291">
      <c r="A13" s="213" t="inlineStr">
        <is>
          <t>RotoWire</t>
        </is>
      </c>
      <c r="B13" s="214" t="inlineStr">
        <is>
          <t>NBA injuries (intended).</t>
        </is>
      </c>
      <c r="C13" s="214" t="inlineStr">
        <is>
          <t>never provisioned</t>
        </is>
      </c>
      <c r="D13" s="214" t="inlineStr">
        <is>
          <t>n/a</t>
        </is>
      </c>
      <c r="E13" s="214" t="inlineStr">
        <is>
          <t>n/a</t>
        </is>
      </c>
      <c r="F13" s="214" t="inlineStr">
        <is>
          <t>n/a</t>
        </is>
      </c>
      <c r="G13" s="214" t="inlineStr">
        <is>
          <t>n/a</t>
        </is>
      </c>
      <c r="H13" s="217" t="inlineStr">
        <is>
          <t>NOT PROVISIONED</t>
        </is>
      </c>
      <c r="I13" s="214" t="inlineStr">
        <is>
          <t>No key was ever obtained. Adapter is a stub, so NBA player_injury_status stays empty. Football injuries come from API-Football and are real.</t>
        </is>
      </c>
    </row>
    <row r="14" ht="62.05" customHeight="1" s="291">
      <c r="A14" s="213" t="inlineStr">
        <is>
          <t>SportsDataIO</t>
        </is>
      </c>
      <c r="B14" s="214" t="inlineStr">
        <is>
          <t>Phase 2 US sports (NFL/NHL/MLB).</t>
        </is>
      </c>
      <c r="C14" s="214" t="inlineStr">
        <is>
          <t>never provisioned</t>
        </is>
      </c>
      <c r="D14" s="214" t="inlineStr">
        <is>
          <t>n/a</t>
        </is>
      </c>
      <c r="E14" s="214" t="inlineStr">
        <is>
          <t>n/a</t>
        </is>
      </c>
      <c r="F14" s="214" t="inlineStr">
        <is>
          <t>n/a</t>
        </is>
      </c>
      <c r="G14" s="214" t="inlineStr">
        <is>
          <t>n/a</t>
        </is>
      </c>
      <c r="H14" s="217" t="inlineStr">
        <is>
          <t>NOT PROVISIONED</t>
        </is>
      </c>
      <c r="I14" s="214" t="inlineStr">
        <is>
          <t>Adapter is a stub. Not needed until Phase 2.</t>
        </is>
      </c>
    </row>
    <row r="16">
      <c r="A16" s="311" t="inlineStr">
        <is>
          <t>Re-check by calling each provider's own status endpoint; do not trust these figures after the dates above. API-Football: GET /status. TheRundown: x-ratelimit-requests-* response headers. BallDontLie / TheStatsAPI: x-ratelimit-* response headers.</t>
        </is>
      </c>
    </row>
    <row r="18">
      <c r="A18" s="311" t="inlineStr">
        <is>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is>
      </c>
    </row>
    <row r="20">
      <c r="A20" s="311" t="inlineStr">
        <is>
          <t>13 Aug: BallDontLie /wnba/v1 confirmed live on the SAME key as NBA -- 200, mid-season, history past 2024. /season_averages is a 404 and /standings + /player_injuries 401, so WNBA carries no player-level data at all. TheRundown covers WNBA at sport_id 8.</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2026-09-15T23:32:20Z</dcterms:modified>
  <cp:lastModifiedBy>Richard Usang</cp:lastModifiedBy>
</cp:coreProperties>
</file>