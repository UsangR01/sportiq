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0B141B2B-77B7-45F0-803E-B104FB924B66}" xr6:coauthVersionLast="47" xr6:coauthVersionMax="47" xr10:uidLastSave="{00000000-0000-0000-0000-000000000000}"/>
  <bookViews>
    <workbookView xWindow="-96" yWindow="-96" windowWidth="23232" windowHeight="12432" activeTab="3"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86" i="1" l="1"/>
  <c r="R285" i="1"/>
  <c r="R284" i="1"/>
  <c r="R283" i="1"/>
  <c r="R282" i="1"/>
  <c r="R281" i="1"/>
  <c r="R280" i="1"/>
  <c r="R277" i="1"/>
  <c r="R278" i="1" s="1"/>
  <c r="R279" i="1" s="1"/>
  <c r="R276" i="1"/>
  <c r="R275" i="1"/>
  <c r="R274" i="1"/>
  <c r="R272" i="1"/>
  <c r="R273" i="1" s="1"/>
  <c r="R271" i="1"/>
  <c r="R268" i="1"/>
  <c r="R269" i="1" s="1"/>
  <c r="R270" i="1" s="1"/>
  <c r="R267" i="1"/>
  <c r="R266" i="1"/>
  <c r="R265" i="1"/>
  <c r="R264" i="1"/>
  <c r="R263" i="1"/>
  <c r="R262" i="1"/>
  <c r="R260" i="1"/>
  <c r="R261" i="1" s="1"/>
  <c r="R258" i="1"/>
  <c r="R259" i="1" s="1"/>
  <c r="R257" i="1"/>
  <c r="R256" i="1"/>
  <c r="R254" i="1"/>
  <c r="R255" i="1" s="1"/>
  <c r="R253" i="1"/>
  <c r="R247" i="1"/>
  <c r="R248" i="1" s="1"/>
  <c r="R249" i="1" s="1"/>
  <c r="R250" i="1" s="1"/>
  <c r="R251" i="1" s="1"/>
  <c r="R252" i="1" s="1"/>
  <c r="R242" i="1"/>
  <c r="R243" i="1" s="1"/>
  <c r="R244" i="1" s="1"/>
  <c r="R245" i="1" s="1"/>
  <c r="R246" i="1" s="1"/>
  <c r="R241" i="1"/>
  <c r="R240" i="1"/>
  <c r="R239" i="1"/>
  <c r="R238" i="1"/>
  <c r="R237" i="1"/>
  <c r="R236" i="1"/>
  <c r="R235" i="1"/>
  <c r="R234" i="1"/>
  <c r="R233" i="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2" i="1"/>
  <c r="R201" i="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2" i="1"/>
  <c r="R83" i="1" s="1"/>
  <c r="R84" i="1" s="1"/>
  <c r="R85" i="1" s="1"/>
  <c r="R81" i="1"/>
  <c r="R80" i="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9" i="1"/>
  <c r="R40" i="1" s="1"/>
  <c r="R41" i="1" s="1"/>
  <c r="R42" i="1" s="1"/>
  <c r="R43" i="1" s="1"/>
  <c r="R44" i="1" s="1"/>
  <c r="R45" i="1" s="1"/>
  <c r="R46" i="1" s="1"/>
  <c r="R47" i="1" s="1"/>
  <c r="R48" i="1" s="1"/>
  <c r="R49" i="1" s="1"/>
  <c r="R50" i="1" s="1"/>
  <c r="R51" i="1" s="1"/>
  <c r="R38" i="1"/>
  <c r="R31" i="1"/>
  <c r="R32" i="1" s="1"/>
  <c r="R33" i="1" s="1"/>
  <c r="R34" i="1" s="1"/>
  <c r="R35" i="1" s="1"/>
  <c r="R36" i="1" s="1"/>
  <c r="R37" i="1" s="1"/>
  <c r="R27" i="1"/>
  <c r="R28" i="1" s="1"/>
  <c r="R29" i="1" s="1"/>
  <c r="R30" i="1" s="1"/>
  <c r="R23" i="1"/>
  <c r="R24" i="1" s="1"/>
  <c r="R25" i="1" s="1"/>
  <c r="R26" i="1" s="1"/>
  <c r="R22" i="1"/>
  <c r="R17" i="1"/>
  <c r="R18" i="1" s="1"/>
  <c r="R19" i="1" s="1"/>
  <c r="R20" i="1" s="1"/>
  <c r="R21" i="1" s="1"/>
  <c r="R15" i="1"/>
  <c r="R16" i="1" s="1"/>
  <c r="R14" i="1"/>
  <c r="R9" i="1"/>
  <c r="R10" i="1" s="1"/>
  <c r="R11" i="1" s="1"/>
  <c r="R12" i="1" s="1"/>
  <c r="R13" i="1" s="1"/>
  <c r="R5" i="1"/>
  <c r="R6" i="1" l="1"/>
  <c r="R7" i="1" l="1"/>
  <c r="R8" i="1" l="1"/>
  <c r="E13" i="3"/>
  <c r="C10" i="3"/>
  <c r="E8" i="3"/>
  <c r="E10" i="3"/>
  <c r="D5" i="3"/>
  <c r="D7" i="3"/>
  <c r="C4" i="3"/>
  <c r="E14" i="3"/>
  <c r="C5" i="3"/>
  <c r="D14" i="3"/>
  <c r="E4" i="3"/>
  <c r="E7" i="3"/>
  <c r="C7" i="3"/>
  <c r="C14" i="3"/>
  <c r="B14" i="3" s="1"/>
  <c r="F14" i="3" s="1"/>
  <c r="D6" i="3"/>
  <c r="D4" i="3"/>
  <c r="C13" i="3"/>
  <c r="D9" i="3"/>
  <c r="E11" i="3"/>
  <c r="D13" i="3"/>
  <c r="E12" i="3"/>
  <c r="C8" i="3"/>
  <c r="B8" i="3" s="1"/>
  <c r="F8" i="3" s="1"/>
  <c r="C9" i="3"/>
  <c r="C12" i="3"/>
  <c r="E9" i="3"/>
  <c r="D11" i="3"/>
  <c r="D8" i="3"/>
  <c r="B9" i="3" l="1"/>
  <c r="F9" i="3" s="1"/>
  <c r="B7" i="3"/>
  <c r="F7" i="3" s="1"/>
  <c r="B13" i="3"/>
  <c r="F13" i="3" s="1"/>
  <c r="B4" i="3"/>
  <c r="D10" i="3"/>
  <c r="D16" i="3" s="1"/>
  <c r="C6" i="3"/>
  <c r="E6" i="3"/>
  <c r="C11" i="3"/>
  <c r="B11" i="3" s="1"/>
  <c r="F11" i="3" s="1"/>
  <c r="D12" i="3"/>
  <c r="B12" i="3" s="1"/>
  <c r="F12" i="3" s="1"/>
  <c r="E5" i="3"/>
  <c r="E16" i="3" s="1"/>
  <c r="B5" i="3" l="1"/>
  <c r="F5" i="3" s="1"/>
  <c r="F4" i="3"/>
  <c r="B6" i="3"/>
  <c r="F6" i="3" s="1"/>
  <c r="B10" i="3"/>
  <c r="F10" i="3" s="1"/>
  <c r="C16" i="3"/>
  <c r="B16" i="3" l="1"/>
  <c r="B18" i="3" l="1"/>
  <c r="F16" i="3"/>
</calcChain>
</file>

<file path=xl/sharedStrings.xml><?xml version="1.0" encoding="utf-8"?>
<sst xmlns="http://schemas.openxmlformats.org/spreadsheetml/2006/main" count="2585" uniqueCount="1170">
  <si>
    <t>Risks, Blockers &amp; Open Decisions</t>
  </si>
  <si>
    <t>Item</t>
  </si>
  <si>
    <t>Type</t>
  </si>
  <si>
    <t>Impact</t>
  </si>
  <si>
    <t>Status</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</si>
  <si>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</si>
  <si>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</si>
  <si>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</si>
  <si>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</si>
  <si>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</si>
  <si>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</si>
  <si>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</si>
  <si>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</si>
  <si>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</si>
  <si>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</si>
  <si>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</si>
  <si>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Planned</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</si>
  <si>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</si>
  <si>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</si>
  <si>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</si>
  <si>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</si>
  <si>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</si>
  <si>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</si>
  <si>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</si>
  <si>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</si>
  <si>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</si>
  <si>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</si>
  <si>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</si>
  <si>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</si>
  <si>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</si>
  <si>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</si>
  <si>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</si>
  <si>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</si>
  <si>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</si>
  <si>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</si>
  <si>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</si>
  <si>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</si>
  <si>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</si>
  <si>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</si>
  <si>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</si>
  <si>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</si>
  <si>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</si>
  <si>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</si>
  <si>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</si>
  <si>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</si>
  <si>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</si>
  <si>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</si>
  <si>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</si>
  <si>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</si>
  <si>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</si>
  <si>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</si>
  <si>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</si>
  <si>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</si>
  <si>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</si>
  <si>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</si>
  <si>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</si>
  <si>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</si>
  <si>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</si>
  <si>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</si>
  <si>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</si>
  <si>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</si>
  <si>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</si>
  <si>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</si>
  <si>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</si>
  <si>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</si>
  <si>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</si>
  <si>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</si>
  <si>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</si>
  <si>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</si>
  <si>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</si>
  <si>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</si>
  <si>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</si>
  <si>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</si>
  <si>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</si>
  <si>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</si>
  <si>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</si>
  <si>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</si>
  <si>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</si>
  <si>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</si>
  <si>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</si>
  <si>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</si>
  <si>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</si>
  <si>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</si>
  <si>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</si>
  <si>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</si>
  <si>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</si>
  <si>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</si>
  <si>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</si>
  <si>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</si>
  <si>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</si>
  <si>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</si>
  <si>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</si>
  <si>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</si>
  <si>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</si>
  <si>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</si>
  <si>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</si>
  <si>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</si>
  <si>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API-Football renewal</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</si>
  <si>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</si>
  <si>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</si>
  <si>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</si>
  <si>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</si>
  <si>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</si>
  <si>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</si>
  <si>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</si>
  <si>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</si>
  <si>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</si>
  <si>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</si>
  <si>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</si>
  <si>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</si>
  <si>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</si>
  <si>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</si>
  <si>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</si>
  <si>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</si>
  <si>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</si>
  <si>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</si>
  <si>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</si>
  <si>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</si>
  <si>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</si>
  <si>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</si>
  <si>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</si>
  <si>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</si>
  <si>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</si>
  <si>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</si>
  <si>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</si>
  <si>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</si>
  <si>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</si>
  <si>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</si>
  <si>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</si>
  <si>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</si>
  <si>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</si>
  <si>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</si>
  <si>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</si>
  <si>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</si>
  <si>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</si>
  <si>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</si>
  <si>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</si>
  <si>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</si>
  <si>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</si>
  <si>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</si>
  <si>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</si>
  <si>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</si>
  <si>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</si>
  <si>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</si>
  <si>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</si>
  <si>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</si>
  <si>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</si>
  <si>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</si>
  <si>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</si>
  <si>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</si>
  <si>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</si>
  <si>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</si>
  <si>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</si>
  <si>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</si>
  <si>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</si>
  <si>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</si>
  <si>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</si>
  <si>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</si>
  <si>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</si>
  <si>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</si>
  <si>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</si>
  <si>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</si>
  <si>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</si>
  <si>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</si>
  <si>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</si>
  <si>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</si>
  <si>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</si>
  <si>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</si>
  <si>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</si>
  <si>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</si>
  <si>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</si>
  <si>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</si>
  <si>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</si>
  <si>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</si>
  <si>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</si>
  <si>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</si>
  <si>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</si>
  <si>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</si>
  <si>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</si>
  <si>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</si>
  <si>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</si>
  <si>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</si>
  <si>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</si>
  <si>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</si>
  <si>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</si>
  <si>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</si>
  <si>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Snapshot coverage will be thinnest when it matters most</t>
  </si>
  <si>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</si>
  <si>
    <t>Isotonic calibration on 1X2 judged on the wrong metric</t>
  </si>
  <si>
    <t>Reported as 'not earning its place' on log loss (1.0179 vs 1.0148) and multiclass Brier (identical). Both are the wrong instrument: calibration exists to make the probability VALUE trustworthy, and the product reads that value directly through min_probability, the base-rate gates and EV ranking. On ECE it wins clearly, 0.0143 vs 0.0195. Kept. Judge a component on the metric it exists for, not on whichever one is already being printed.</t>
  </si>
  <si>
    <t>The model cannot discriminate draws - already contained</t>
  </si>
  <si>
    <t>92% of test fixtures receive a draw probability in 0.2-0.3 (observed 0.257): correct on average, carrying no per-fixture information. No new guard needed - MIN_EDGE_OVER_BASE_RATE requires a draw to reach 0.3038 and ZERO draw picks have ever reached a card. The existing gate already refuses the market the model cannot discriminate.</t>
  </si>
  <si>
    <t>'Nothing is deployed, no infra/' was stale for weeks</t>
  </si>
  <si>
    <t>infra/render.yaml is complete (three services off one image, managed Postgres and Redis, alembic in preDeployCommand), backend/Dockerfile exists, and a soak harness validated the blueprint. What actually remains is the dashboard deploy itself, which needs secrets deliberately kept out of git. Same doc-drift pattern as the /history 501 note: a stale line was quoted back as the state of the world. Until it is deployed, eas.json's preview and production profiles point at a URL returning x-render-routing: no-server.</t>
  </si>
  <si>
    <t>A training run promotes itself, so an experiment's losing arm went live</t>
  </si>
  <si>
    <t>train_*.py register AND activate unconditionally. On 2026-08-13 a tennis form-window experiment at n=5 scored worse than the incumbent on accuracy (0.6312 vs 0.6377) and RPS (0.2298 vs 0.2275) and became the served model by finishing. Worse than a bad number: LAST_N_FORM defaults back to 10 at serving time, so a model trained on 5-match form would have been fed 10-match form - a train/serve mismatch created by the act of measuring. Caught by checking the registry immediately after, with 0 predictions generated against it, which was timing rather than design. --no-activate now registers without promoting; use it for any run that is a measurement. Second firing of this hazard - the first left only an inactive row.</t>
  </si>
  <si>
    <t>All three form windows now measured; 'shorter is fresher' is dead</t>
  </si>
  <si>
    <t>The last inherited hyperparameter. NBA n=10 RPS 0.2013 vs n=5 0.2039 and n=3 0.2041, so 10 wins outright; accuracy spans ONE game across all three arms on 1,225 test games and ROI swings -3.7% to +17.3% on 23-27 staked games, so neither separates anything. Football moved UP to 10 from an inherited 5; tennis and NBA defended 10. Caveat: RPS-primary was written down after two of three arms had been seen, weaker than the corners pre-registration.</t>
  </si>
  <si>
    <t>--no-activate stranded NBA with zero active models</t>
  </si>
  <si>
    <t>_register_model demoted every active row then inserted the new one - right when promoting, wrong under --no-activate, where the incumbent is demoted and nothing replaces it. Three measurement arms back to back left NBA with no active model. Silent and total: runner.py resolves the serving model from the registry, so the sport stops predicting with no exception anywhere; noticed only because /stats/model dropped NBA. Mirror image of the tennis hazard fixed hours earlier - one promoted a model nobody chose, this demoted the only one there was, both from the same register-and-activate coupling.</t>
  </si>
  <si>
    <t>Only football needs a market-blind model - NBA and tennis were measured, not assumed</t>
  </si>
  <si>
    <t>The explanation engine cannot decompose the serving model for football: market_implied_* are real adopted inputs and among its largest contributors, so a truthful panel would keep saying the biggest reason for a pick is the bookmaker's price - honest, circular, and unusable next to a screen selling 'where the model disagrees with the market'. Before building a second artefact for all three sports, split counts were measured on the live artefacts: NBA and tennis use their moneyline feature in ZERO splits, so both already explain themselves. Football spends 27% of Layer 1's splits and 19-23% of the corners pair's on market features. One retrain instead of three, and the two sports that need nothing are documented as measured rather than skipped.</t>
  </si>
  <si>
    <t>Driver contributions cannot be backfilled, so old predictions carry no explanation</t>
  </si>
  <si>
    <t>TreeSHAP contributions are a function of the feature vector as it stood at the instant of prediction. Reconstructing that vector later would explain a fixture with form, Elo and odds coverage that had not happened yet - the same hindsight problem predictions.kind exists to keep out of the accuracy figures. So driver_contributions is written at prediction time only, is nullable, and every row that predates it stays null. Consequence to expect: the expanded panel is empty for existing fixtures and fills only as predictions are regenerated. Deliberate - a plausible explanation invented after the result was known is worse than none.</t>
  </si>
  <si>
    <t>The divergence guard suppresses a panel rather than justifying a pick the football disagrees with</t>
  </si>
  <si>
    <t>Because the explanation comes from a DIFFERENT model than the probability on the card, the two can disagree. When the market-blind model favours a different outcome, its contributions are reasons to make the OPPOSITE call, so rendering them would dress a disagreement up as a justification. The panel is suppressed instead, and the event logged: a rising divergence rate is itself a real signal about how much of a pick the market is carrying rather than the football. Rate is not yet measurable - it needs the blind artefact and regenerated predictions first.</t>
  </si>
  <si>
    <t>Mobile work is not delivered until an OTA is published</t>
  </si>
  <si>
    <t>Verified a design change in a local web build and reported it done; the user's phone still showed the old header. Backend work reaches users through the API immediately, so only MOBILE changes need a publish -- an asymmetry that hides the omission. Publish to --channel preview --environment preview (the installed APK's channel), then have the user relaunch TWICE: the first launch downloads, the second applies. Pull-to-refresh never fetches an update.</t>
  </si>
  <si>
    <t>Kept three summary columns against the design document's own prose</t>
  </si>
  <si>
    <t>design-upgrades.md §2 says two columns (CALLS TODAY, LEAGUES) on the reasoning that every filter control belongs in the menu sheet, but its own reference build keeps COUNTRY. Dropping it would remove a working filter to satisfy the half of the spec its screenshots contradict. The reduced-height treatment -- the actual substance of that section -- applies either way.</t>
  </si>
  <si>
    <t>Our own fixture history cannot back a 'last 10'</t>
  </si>
  <si>
    <t>Measured against production 2026-09-19: ZERO teams in EPL, the J1 League or Brasileirao had ten completed fixtures stored; EPL's median was three and the oldest rows were ~6 weeks old. I had called this 'buildable from tables we already have' earlier the same day, from the ingest constant rather than from the data. Anything needing real depth per team goes to the provider -- which also carries the cup and European fixtures we never ingest at all.</t>
  </si>
  <si>
    <t>Lineup tab deferred: the data does not exist pre-match</t>
  </si>
  <si>
    <t>Three options measured before deciding. Best-XI-available depends on an injury join recorded at 2.8% resolution with 92% of rows reporting all players available, so its headline would read 'at full strength' almost always. Confirmed XIs return zero rows until ~1h before kickoff (probed on three upcoming fixtures, one five hours out). Shipping three tabs instead; revisit only after the injury pipeline is repaired.</t>
  </si>
  <si>
    <t>A league added after the model was trained has no prior for ~30 matches</t>
  </si>
  <si>
    <t>Reported: all four 2. Bundesliga cards 2026-09-19 were OVER 2.5 and three lost. Real per-fixture inference (1X2 varied 0.41-0.53, completeness 0.63), but MIS-LEVELLED: claimed a mean P(over 2.5) of 0.665 against the league own six-season rate of 0.593 (n=1,585) -- ~7pp high on every card, while the spread BETWEEN fixtures was only 6.6pp, so the level error matched the discrimination signal. Cause: serving model trained 23 Aug, league added 15 Sep, and league_baseline_from_db returns None below MIN_MATCHES_FOR_OWN_BASELINE=30 -- we held 6. DECISION: let it self-heal rather than retrain; the prior activates at 30 settled fixtures. Watch Serie B for the opposite error (2.47 goals, the low-scoring outlier in the same batch). NOTE the day itself proves little: at p=0.593, 1-or-fewer from 4 occurs ~19% of the time -- the base-rate gap is the finding, and it rests on 1,585 fixtures rather than 4.</t>
  </si>
  <si>
    <t>Nations League picks are NOT barred, and its first ~30 matches have no league prior</t>
  </si>
  <si>
    <t>Offered the choice and told to keep picks on. league_baseline_from_db returns None below MIN_MATCHES_FOR_OWN_BASELINE (30), so until the competition accumulates that many settled matches in our own DB its fixtures are priced off the pooled CLUB-football blend -- the exact mechanism behind the 2. Bundesliga mispricing (claimed 0.665 vs the league's own 0.593). National teams also enter Elo flat, so elo_diff (Layer 2's strongest feature) is ~0 early. Features themselves are real: /teams/statistics returns genuine per-nation values (France 1.0/0.3/2.33), 9 of 16 fields, clearing the completeness floor. Watch the first settled window before trusting any accuracy figure.</t>
  </si>
  <si>
    <t>NBA opening night will show no picks, and that is the completeness floor working</t>
  </si>
  <si>
    <t>Derived, not measured -- prod holds no NBA history to check against (7-day backfill). With zero games played only back_to_back x2 (which default rather than null), home_court, h2h and moneyline carry values: 5/16 = 0.3125 against MIN_FEATURE_COMPLETENESS 0.35. The arithmetic is validated against live WNBA rows, which report exactly 0.75 and 0.6875 (12/16, 11/16) as the same count predicts. Clears from each team's 2nd game (12/16). Same shape as EPL in August, which is what the 0.35 floor was raised for.</t>
  </si>
  <si>
    <t>compute_key_players SEASONS stops at 2025-26, so 4 of 16 NBA features stay null all season</t>
  </si>
  <si>
    <t>Stage 1 has no 2026-27 rows, so Stage 2 returns (None, None) for every NBA team. Running it would lift opening-night completeness from 5/16 to 9/16 and clear the floor -- but NBA Stage 2 is already recorded as effectively inert (no injury feed: RotoWire unprovisioned, BallDontLie injuries 401), so it would pass the gate with a near-constant feature carrying no signal. Deliberately NOT done; that is gaming the metric, not fixing it.</t>
  </si>
  <si>
    <t>The Gantt has run out of columns: week 18 collides with the hidden EpicKey helper</t>
  </si>
  <si>
    <t>Columns 8-17 cover 27 Jul - 28 Sep and column 18 is EpicKey. 4 Oct still lands in column 17 (week beginning 28 Sep), but anything dated 5 Oct onward has nowhere to go -- the NBA milestone row above is already left without a marker. Extending means inserting columns before 18 and repointing every Epic Summary COUNTIFS from $R to its new letter. Flagged rather than done, because it touches the formula-driven sheet.</t>
  </si>
  <si>
    <t>NBA weights transfer to European basketball -- measured, not assumed</t>
  </si>
  <si>
    <t>Pre-registered before any number: Brier must beat always-home (PRIMARY), accuracy within 1.0pp, ECE &lt;= 0.10. On 1,926 held-out games all three passed -- accuracy 0.6547 vs 0.6121, Brier 0.2211 vs 0.2375, ECE 0.0303. Surprising given Europe scores 27.4% fewer points and has 5.2pp more home advantage; the reason it works is that win rates, rest and H2H are scale-free and the two point-diff features are WITHIN-league differences, so league scoring level largely cancels. Germany BBL is the one league below its own baseline.</t>
  </si>
  <si>
    <t>The WNBA-on-NBA-weights bet now has an instrument, and is still unmeasured</t>
  </si>
  <si>
    <t>CLAUDE.md has recorded since August that WNBA calibration against NBA weights was never measured. measure_basketball_transfer.py is exactly that instrument and the WNBA is an easier case than Europe (same 40-minute game, one competition). Running it there is cheap -- BallDontLie WNBA history is free and unmetered at 600/min. Not done; flagged.</t>
  </si>
  <si>
    <t>Basketball has no league-baseline features, the gap football already closed</t>
  </si>
  <si>
    <t>league_baselines.py gives football per-league avg goals and home-win rate as CONTINUOUS features (partial pooling), so the model is told WHAT differs rather than WHICH league. Basketball has no equivalent, and European home advantage spans 0.571 Turkey to 0.649 Italy -- a 7.8pp range the model cannot see. Transfer passed without it, so this is an improvement rather than a prerequisite, but it is the obvious next gain and the likely explanation for Germany BBL underperforming.</t>
  </si>
  <si>
    <t>_base_rate has no basketball override, so the gate is too lenient for home picks</t>
  </si>
  <si>
    <t>Basketball falls back to football's ("h2h","home") = 0.4582, so a home pick need only clear 0.5082 -- while NBA's own measured home-win rate is 0.552 and European leagues run 0.571-0.649. A basketball home pick can therefore pass MIN_EDGE_OVER_BASE_RATE while being no better than always backing home. True of NBA and WNBA TODAY, not just hypothetically of Europe. The docstring's "same 45-55% territory" claim holds only at its top edge.</t>
  </si>
  <si>
    <t>WNBA-on-NBA-weights is now MEASURED and sound</t>
  </si>
  <si>
    <t>Supersedes the open risk logged earlier today. +14.39pp over always-home on n=264 held-out 2024 games, Brier 0.2091 vs 0.2480, ECE 0.0288, baseline outside the 95% CI -- and +14.39pp compares to +13.22pp on the model's own NBA test split, so the transfer is native-quality. Also found: the WNBA home-win rate is 0.5393, LOWER than the NBA's 0.5518, the opposite of the assumption that a shorter lower-scoring game carries more home advantage.</t>
  </si>
  <si>
    <t>Correcting the basketball base rate changes published cards for a lowered slider</t>
  </si>
  <si>
    <t>The correction is unambiguous (a two-way market cannot share a three-way split) and costs ZERO at the app default, verified before the change. But a user who lowers min_probability loses 34 picks, 29 of them settled. Every one sat at or below the no-skill home rate, so the gate is working -- yet retroactively altering published cards is the one thing that has drawn a direct complaint before (MIN_FEATURE_COMPLETENESS 0.25-&gt;0.35 deleted 21 picks). Accepted deliberately; revisit if anyone notices.</t>
  </si>
  <si>
    <t>SportIQ — Delivery Board &amp; Roadmap</t>
  </si>
  <si>
    <t>Delivered dates are REAL (git history, first commit 2026-07-28). Dates from 2026-08-05 onward are PROPOSED. Updated 2026-08-04.</t>
  </si>
  <si>
    <t>Epic</t>
  </si>
  <si>
    <t>Feature / Deliverable</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</si>
  <si>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</si>
  <si>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</si>
  <si>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</si>
  <si>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</si>
  <si>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</si>
  <si>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</si>
  <si>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</si>
  <si>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</si>
  <si>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</si>
  <si>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</si>
  <si>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</si>
  <si>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</si>
  <si>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</si>
  <si>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</si>
  <si>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</si>
  <si>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</si>
  <si>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</si>
  <si>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</si>
  <si>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</si>
  <si>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</si>
  <si>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</si>
  <si>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</si>
  <si>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</si>
  <si>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</si>
  <si>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</si>
  <si>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</si>
  <si>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</si>
  <si>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</si>
  <si>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</si>
  <si>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</si>
  <si>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</si>
  <si>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</si>
  <si>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</si>
  <si>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</si>
  <si>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</si>
  <si>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</si>
  <si>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</si>
  <si>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</si>
  <si>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</si>
  <si>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</si>
  <si>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</si>
  <si>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</si>
  <si>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</si>
  <si>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</si>
  <si>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</si>
  <si>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</si>
  <si>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</si>
  <si>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</si>
  <si>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</si>
  <si>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</si>
  <si>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</si>
  <si>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</si>
  <si>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</si>
  <si>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</si>
  <si>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</si>
  <si>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</si>
  <si>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</si>
  <si>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</si>
  <si>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</si>
  <si>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</si>
  <si>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</si>
  <si>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</si>
  <si>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</si>
  <si>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</si>
  <si>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</si>
  <si>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</si>
  <si>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</si>
  <si>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</si>
  <si>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</si>
  <si>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</si>
  <si>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</si>
  <si>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</si>
  <si>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</si>
  <si>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</si>
  <si>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</si>
  <si>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</si>
  <si>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</si>
  <si>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</si>
  <si>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</si>
  <si>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</si>
  <si>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</si>
  <si>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</si>
  <si>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</si>
  <si>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</si>
  <si>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</si>
  <si>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</si>
  <si>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</si>
  <si>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</si>
  <si>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</si>
  <si>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</si>
  <si>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</si>
  <si>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</si>
  <si>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</si>
  <si>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</si>
  <si>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</si>
  <si>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</si>
  <si>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</si>
  <si>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</si>
  <si>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</si>
  <si>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</si>
  <si>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</si>
  <si>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</si>
  <si>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</si>
  <si>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</si>
  <si>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</si>
  <si>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</si>
  <si>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</si>
  <si>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</si>
  <si>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</si>
  <si>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</si>
  <si>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</si>
  <si>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</si>
  <si>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</si>
  <si>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</si>
  <si>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</si>
  <si>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</si>
  <si>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</si>
  <si>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</si>
  <si>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</si>
  <si>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</si>
  <si>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</si>
  <si>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</si>
  <si>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</si>
  <si>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ACTION (DEV): Last untried O/U lever; data already collected</t>
  </si>
  <si>
    <t>E9 Data Ops</t>
  </si>
  <si>
    <t>TheRundown Pro upgrade</t>
  </si>
  <si>
    <t>Pro active: 5,000 req/month confirmed live (was 1,000). Cadence stays 6h - worst case at 3h is 134% of quota</t>
  </si>
  <si>
    <t>Narrow odds lookahead window</t>
  </si>
  <si>
    <t>ACTION (DEV): Halves per-league cost</t>
  </si>
  <si>
    <t>Re-test API-Football European odds</t>
  </si>
  <si>
    <t>Merged into row 135 (same check, two entries)</t>
  </si>
  <si>
    <t>EPL 2026-27 season opens</t>
  </si>
  <si>
    <t>Milestone</t>
  </si>
  <si>
    <t>WAITING: First real load test</t>
  </si>
  <si>
    <t>WAITING: Auto-renews</t>
  </si>
  <si>
    <t>Fix 9 tennis DRAW outcomes</t>
  </si>
  <si>
    <t>CLOSED 13 Aug: 0 DRAW outcomes remain for tennis (queried). SPORTS_WITHOUT_DRAWS now refuses to settle a tied tennis score, so they cannot come back.</t>
  </si>
  <si>
    <t>WTA subscription + collection</t>
  </si>
  <si>
    <t>Blocked</t>
  </si>
  <si>
    <t>ACTION (YOU): 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</si>
  <si>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</si>
  <si>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</si>
  <si>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</si>
  <si>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</si>
  <si>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</si>
  <si>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</si>
  <si>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</si>
  <si>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</si>
  <si>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</si>
  <si>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</si>
  <si>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</si>
  <si>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</si>
  <si>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</si>
  <si>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</si>
  <si>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WAITING: 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</si>
  <si>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</si>
  <si>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</si>
  <si>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</si>
  <si>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</si>
  <si>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</si>
  <si>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</si>
  <si>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CLOSED 13 Aug by the real deploy: all six credentials are sync:false in infra/render.yaml, entered in the Render dashboard, never in git.</t>
  </si>
  <si>
    <t>Monitoring + alerting (Sentry)</t>
  </si>
  <si>
    <t>CLOSED: SENTRY_DSN_BACKEND provisioned, init covers API + worker + beat, and monitor_beat_tasks registers each schedule entry as a cron monitor. Uptime alerting tracked separately.</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</si>
  <si>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</si>
  <si>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</si>
  <si>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</si>
  <si>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</si>
  <si>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</si>
  <si>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</si>
  <si>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</si>
  <si>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</si>
  <si>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</si>
  <si>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ACTION (DEV): tsc is the only check</t>
  </si>
  <si>
    <t>Production deploy - FOOTBALL</t>
  </si>
  <si>
    <t>ACHIEVED 13 Aug. Five services live on Render; /stats/model serves all three sports; beat-&gt;worker chain confirmed by 100+ upcoming fixtures with 83 carrying a pick.</t>
  </si>
  <si>
    <t>Closed beta (football only)</t>
  </si>
  <si>
    <t>ACTION (YOU): Real users, real feedback</t>
  </si>
  <si>
    <t>Public launch readiness review</t>
  </si>
  <si>
    <t>ACTION (YOU): 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</si>
  <si>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</si>
  <si>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</si>
  <si>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</si>
  <si>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</si>
  <si>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</si>
  <si>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</si>
  <si>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</si>
  <si>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</si>
  <si>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</si>
  <si>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</si>
  <si>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CLOSED 13 Aug: the real deploy brought up sportpiq-api, -worker AND -beat, and the populated production feed proves the beat-&gt;worker chain actually ran.</t>
  </si>
  <si>
    <t>GIT_SHA baked into image at build</t>
  </si>
  <si>
    <t>ACTION (DEV): No working tree in a container</t>
  </si>
  <si>
    <t>Sentry + uptime alerting</t>
  </si>
  <si>
    <t>ACTION (DEV): Injury worker failed unnoticed for weeks</t>
  </si>
  <si>
    <t>check_stale in CI / post-deploy smoke</t>
  </si>
  <si>
    <t>ACTION (DEV): 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</si>
  <si>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</si>
  <si>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</si>
  <si>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</si>
  <si>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</si>
  <si>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</si>
  <si>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</si>
  <si>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</si>
  <si>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</si>
  <si>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</si>
  <si>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</si>
  <si>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</si>
  <si>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</si>
  <si>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</si>
  <si>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</si>
  <si>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</si>
  <si>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ACTION (DEV): Stage 1 + injury calls still run for features nothing consumes</t>
  </si>
  <si>
    <t>Pin 127.0.0.1 in compose/.env.example/runbook</t>
  </si>
  <si>
    <t>compose + .env.example + runbook troubleshooting row</t>
  </si>
  <si>
    <t>Collect historical closing odds</t>
  </si>
  <si>
    <t>ACTION (DEV): 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</si>
  <si>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</si>
  <si>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</si>
  <si>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</si>
  <si>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</si>
  <si>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</si>
  <si>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</si>
  <si>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</si>
  <si>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</si>
  <si>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</si>
  <si>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</si>
  <si>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</si>
  <si>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CLOSED 13 Aug: corners now present for every European league (seriea 363, laliga 345, ligue1 298, bundesliga 278 test rows).</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</si>
  <si>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</si>
  <si>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</si>
  <si>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</si>
  <si>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</si>
  <si>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</si>
  <si>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</si>
  <si>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</si>
  <si>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</si>
  <si>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</si>
  <si>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</si>
  <si>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</si>
  <si>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</si>
  <si>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</si>
  <si>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</si>
  <si>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</si>
  <si>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</si>
  <si>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</si>
  <si>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</si>
  <si>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</si>
  <si>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</si>
  <si>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</si>
  <si>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</si>
  <si>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</si>
  <si>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</si>
  <si>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</si>
  <si>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ACHIEVED. Re-proven for real on 13 Aug by the production deploy itself.</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</si>
  <si>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</si>
  <si>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</si>
  <si>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</si>
  <si>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</si>
  <si>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</si>
  <si>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</si>
  <si>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</si>
  <si>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</si>
  <si>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</si>
  <si>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CLOSED: mobile/app.json already carries name SportPIQ and slug sportpiq.</t>
  </si>
  <si>
    <t>Professional trademark clearance (UK + EU)</t>
  </si>
  <si>
    <t>ACTION (YOU): 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</si>
  <si>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</si>
  <si>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</si>
  <si>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</si>
  <si>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</si>
  <si>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</si>
  <si>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</si>
  <si>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</si>
  <si>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</si>
  <si>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</si>
  <si>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</si>
  <si>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</si>
  <si>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CLOSED 11 Aug: restricted to package com.sportpiq.app + the EAS SHA-1, and to the Firebase Installations and FCM Registration APIs only.</t>
  </si>
  <si>
    <t>First real-device test session (dev build on Android)</t>
  </si>
  <si>
    <t>ACHIEVED. Real device loaded real data and surfaced three bugs the web target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</si>
  <si>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</si>
  <si>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</si>
  <si>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</si>
  <si>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</si>
  <si>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</si>
  <si>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</si>
  <si>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</si>
  <si>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</si>
  <si>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</si>
  <si>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ACTION (DEV): 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</si>
  <si>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</si>
  <si>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</si>
  <si>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</si>
  <si>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</si>
  <si>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</si>
  <si>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ACTION (YOU): If it flips to True, TheRundown Pro is redundant and can be dropped</t>
  </si>
  <si>
    <t>Trace where the 1,000/month basic quota went</t>
  </si>
  <si>
    <t>A 5-min polling loop against out-of-season leagues. Yield: 2 rows, one NBA game</t>
  </si>
  <si>
    <t>TENNIS ODDS LIVE: ATP/WTA via TheRundown</t>
  </si>
  <si>
    <t>ACHIEVED. ATP priced end to end; WTA still blocked on its own subscription.</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</si>
  <si>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</si>
  <si>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</si>
  <si>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</si>
  <si>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</si>
  <si>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</si>
  <si>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ACTION (DEV): 3 of 3 ATP matches inverted - looks systematic. Needs more days before concluding</t>
  </si>
  <si>
    <t>Merge duplicate API-Football odds re-test rows (54 and 135)</t>
  </si>
  <si>
    <t>Done - row 54 folded into row 135; 135 is the single 21 Aug re-check</t>
  </si>
  <si>
    <t>PostHog analytics (mobile only) - DEFERRED</t>
  </si>
  <si>
    <t>WAITING: 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</si>
  <si>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</si>
  <si>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</si>
  <si>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</si>
  <si>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</si>
  <si>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</si>
  <si>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ACHIEVED, and since superseded by the 18-league pool now serving in production.</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</si>
  <si>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</si>
  <si>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</si>
  <si>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</si>
  <si>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</si>
  <si>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</si>
  <si>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</si>
  <si>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</si>
  <si>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</si>
  <si>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</si>
  <si>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</si>
  <si>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</si>
  <si>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</si>
  <si>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</si>
  <si>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</si>
  <si>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</si>
  <si>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</si>
  <si>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</si>
  <si>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ACHIEVED - confirmed on the APIs &amp; Quotas sheet (GOAT, 600 req/min). The 600/min budget is what made the 2,000-row surface backfill affordable on 13 Aug.</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</si>
  <si>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</si>
  <si>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</si>
  <si>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</si>
  <si>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</si>
  <si>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</si>
  <si>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</si>
  <si>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</si>
  <si>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</si>
  <si>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</si>
  <si>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</si>
  <si>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</si>
  <si>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</si>
  <si>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</si>
  <si>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</si>
  <si>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</si>
  <si>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</si>
  <si>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</si>
  <si>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</si>
  <si>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</si>
  <si>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</si>
  <si>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</si>
  <si>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</si>
  <si>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</si>
  <si>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CLOSED as NO LONGER NEEDED, not as done. Commit d0a24d9 pruned the four key-player features, so lineups feed nothing the model can consume. Collecting them would repeat the ~10,500-call mistake of 9 Aug.</t>
  </si>
  <si>
    <t>Collect corners: 4 European leagues</t>
  </si>
  <si>
    <t>CLOSED 13 Aug: the backfill took coverage 66% -&gt; 91% overall and all four now carry corners. Veikkausliiga at 44% is genuine provider absence, not a collection miss.</t>
  </si>
  <si>
    <t>NEXT: lineups for bundesliga/laliga/ligue1/seriea</t>
  </si>
  <si>
    <t>CLOSED as NO LONGER NEEDED - same reason: the features these would feed were pruned in d0a24d9. Reopen only alongside rebuilding key-player availability.</t>
  </si>
  <si>
    <t>NEXT: retrain on the complete 9-league pool</t>
  </si>
  <si>
    <t>CLOSED - superseded. The serving model is pooled across 18 leagues, with per-league AND per-league-x-per-market metrics reported every run.</t>
  </si>
  <si>
    <t>NEXT: re-fit the corners blend lambda after retrain</t>
  </si>
  <si>
    <t>ACTION (DEV): 0.75 was fitted against the CURRENT corners model. A better model deserves different weight - easy to forget and would leave a stale constant in production</t>
  </si>
  <si>
    <t>Closing odds capture + CLV metric</t>
  </si>
  <si>
    <t>CLOSED as BUILT: capture_closing_odds runs on schedule, closing_line_value() exists, and the notebook reports CLV with a control arm. The first read at a real sample size is data-gated - see the 22 Sep milestone.</t>
  </si>
  <si>
    <t>Multiple form windows (3 / 5 / 10 / season)</t>
  </si>
  <si>
    <t>CLOSED 13 Aug for ALL THREE SPORTS, the last inherited hyperparameter. Football moved UP to 10 from an inherited 5; tennis (0.6377 vs 0.6312) and NBA (RPS 0.2013 vs 0.2039 and 0.2041) both defended 10 against shorter windows. 'Shorter is fresher' is dead.</t>
  </si>
  <si>
    <t>Wire shots / shots-on-target / possession as features</t>
  </si>
  <si>
    <t>ACTION (DEV): ALREADY FETCHED for the H2H panel, just not model inputs. Shots predict goals better than goals do at small samples</t>
  </si>
  <si>
    <t>BTTS market</t>
  </si>
  <si>
    <t>ACTION (DEV): 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</si>
  <si>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</si>
  <si>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</si>
  <si>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</si>
  <si>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ACTION (DEV): ~5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</si>
  <si>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</si>
  <si>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</si>
  <si>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</si>
  <si>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CLOSED 13 Aug: 0 test tokens remain (queried).</t>
  </si>
  <si>
    <t>Dedicated test database</t>
  </si>
  <si>
    <t>CLOSED: suite runs against sportiq_test, created and migrated by conftest, which refuses to start if the test URL resolves to the app database.</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</si>
  <si>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</si>
  <si>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</si>
  <si>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</si>
  <si>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ACTION (YOU): 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</si>
  <si>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</si>
  <si>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</si>
  <si>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</si>
  <si>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</si>
  <si>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</si>
  <si>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</si>
  <si>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</si>
  <si>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</si>
  <si>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</si>
  <si>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</si>
  <si>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</si>
  <si>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</si>
  <si>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</si>
  <si>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</si>
  <si>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</si>
  <si>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</si>
  <si>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</si>
  <si>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</si>
  <si>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</si>
  <si>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</si>
  <si>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</si>
  <si>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</si>
  <si>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</si>
  <si>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</si>
  <si>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</si>
  <si>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</si>
  <si>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</si>
  <si>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</si>
  <si>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</si>
  <si>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</si>
  <si>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</si>
  <si>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</si>
  <si>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</si>
  <si>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</si>
  <si>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</si>
  <si>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</si>
  <si>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WAITING: 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</si>
  <si>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</si>
  <si>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</si>
  <si>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</si>
  <si>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</si>
  <si>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</si>
  <si>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</si>
  <si>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</si>
  <si>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</si>
  <si>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</si>
  <si>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</si>
  <si>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</si>
  <si>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</si>
  <si>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</si>
  <si>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</si>
  <si>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</si>
  <si>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</si>
  <si>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</si>
  <si>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</si>
  <si>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</si>
  <si>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</si>
  <si>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</si>
  <si>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</si>
  <si>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</si>
  <si>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</si>
  <si>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</si>
  <si>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</si>
  <si>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</si>
  <si>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</si>
  <si>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</si>
  <si>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</si>
  <si>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</si>
  <si>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</si>
  <si>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</si>
  <si>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</si>
  <si>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</si>
  <si>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</si>
  <si>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</si>
  <si>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</si>
  <si>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</si>
  <si>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</si>
  <si>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</si>
  <si>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</si>
  <si>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</si>
  <si>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</si>
  <si>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</si>
  <si>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</si>
  <si>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</si>
  <si>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</si>
  <si>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</si>
  <si>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</si>
  <si>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</si>
  <si>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</si>
  <si>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</si>
  <si>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</si>
  <si>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</si>
  <si>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</si>
  <si>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</si>
  <si>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</si>
  <si>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</si>
  <si>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</si>
  <si>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</si>
  <si>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</si>
  <si>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</si>
  <si>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/history serves the card's verdict, not just the 1X2 call</t>
  </si>
  <si>
    <t>Snapshot job warns when a window captures nothing</t>
  </si>
  <si>
    <t>Per-league x per-market metrics (last critique gap)</t>
  </si>
  <si>
    <t>Tennis tournament_surface backfilled 14% -&gt; 98%</t>
  </si>
  <si>
    <t>NBA training seed pinned (was tuning subsample unseeded)</t>
  </si>
  <si>
    <t>Form window measured: 10 beats 5, kept on evidence</t>
  </si>
  <si>
    <t>--no-activate: a measurement run can no longer promote itself</t>
  </si>
  <si>
    <t>Form window measured: 10 wins on RPS, all 3 sports converge</t>
  </si>
  <si>
    <t>--no-activate no longer strands a sport with zero models</t>
  </si>
  <si>
    <t>WNBA live: 2nd basketball league on the NBA model</t>
  </si>
  <si>
    <t>Live end to end: 40 fixtures, 15 teams, 18 predictions, 45 odds rows, NBA unchanged. Served by the existing NBA model (no retrain), the same way 18 football leagues share one artefact. Completeness capped at 0.69 - /season_averages is a 404 for WNBA so the 4 key-player features can never populate.</t>
  </si>
  <si>
    <t>Design system: tokens, type, geometry, odds format (Phase 0)</t>
  </si>
  <si>
    <t>Theme tokens, type ramp and named geometry extracted from the design spec into mobile/lib/theme so a shape cannot drift by a pixel between two screens meant to look identical. Reads the existing 3-state theme store rather than adding a second source of truth.</t>
  </si>
  <si>
    <t>Picks screen rebuilt to the new design (Phase 1)</t>
  </si>
  <si>
    <t>Header, date stepper, summary strip, segmented control, league groups with favourite pinning, match rows and filter sheet. Country filter shows flags rather than names and football is the default sport, per direct feedback mid-build. A globe stands in for All.</t>
  </si>
  <si>
    <t>Saved picks, as-of provenance and receipts folded in (Phase 2)</t>
  </si>
  <si>
    <t>The features built after the spec was written but absent from it. Full details link restored to the fixture screen after Phase 1 made it unreachable - caught by the user, not by review.</t>
  </si>
  <si>
    <t>Tab bar clears Android's navigation buttons</t>
  </si>
  <si>
    <t>The design canvas is an iPhone, whose 34px home indicator is smaller than Android's ~48dp three-button bar, so the literal canvas numbers put the tabs underneath the phone's own buttons. SafeAreaProvider was also missing entirely. Unconfirmed on a real device - the emulator needs a dev build.</t>
  </si>
  <si>
    <t>Live matches no longer sit in Upcoming</t>
  </si>
  <si>
    <t>Upcoming meant 'not completed', which swept in in-play games; it now means not started. A live row also showed its kick-off time, identical to an unstarted one, and now shows the minute or a plain Live where a sport reports no clock. Verified on 16 Aug data: All=33, Upcoming=2, the 3 live fixtures excluded.</t>
  </si>
  <si>
    <t>Market-feature usage measured across all three sports</t>
  </si>
  <si>
    <t>Decides which sports need a market-blind explanation variant. NBA and tennis both split on their moneyline feature ZERO times, so each serving model is already effectively market-blind and explains itself. Football spends 27% of Layer 1's splits and 19-23% of the corners pair's on the three market features. Only football needs a second artefact - a real scoping saving, measured rather than assumed.</t>
  </si>
  <si>
    <t>train_football.py --market-blind toggle</t>
  </si>
  <si>
    <t>Drops market_implied_* from every estimator. Forces --no-activate rather than merely defaulting to it: a blind model activating itself would replace the served probability with a deliberately worse one, and this project has been bitten twice by scripts that promote whatever finishes last. The variant is in the artefact FILENAME so the registry version carries it too.</t>
  </si>
  <si>
    <t>Attribution engine: exact TreeSHAP, grouped and routed</t>
  </si>
  <si>
    <t>XGBoost pred_contribs gives exact TreeSHAP with no shap dependency; additivity is pinned by a test. Routed per market - 1X2 and goals from Layer 1, corners from the corners pair, tennis and NBA from their single model. Sign convention is that positive always supports the pick SHOWN, so the panel copy is written once. Every feature of all four vectors is mapped to a display label, guarded by a test.</t>
  </si>
  <si>
    <t>Divergence guard + prediction-time storage</t>
  </si>
  <si>
    <t>predictions.driver_contributions (JSONB, nullable, no backfill - contributions depend on the feature vector at the instant of inference and cannot be rebuilt afterwards). Panel is suppressed outright when the blind model favours a different outcome from the card, rather than dressing a disagreement up as a justification. Verified end to end on a real Man City v Bournemouth prediction: contributions stored, feed returns them, no market feature present.</t>
  </si>
  <si>
    <t>Market-blind football artefact trained and registered</t>
  </si>
  <si>
    <t>football_xgb_v20260822212129_blind, is_active=False - the forced --no-activate working. Measured cost of dropping the three market features: accuracy 0.5082 -&gt; 0.5021 and RPS 0.2084 -&gt; 0.2119. Real but small, and it buys an explanation about football rather than about the price. Still +5.40pp over its own always-home baseline, so it is a competent model doing a narrow job.</t>
  </si>
  <si>
    <t>stage_artefacts stages blind variants too</t>
  </si>
  <si>
    <t>Deploy</t>
  </si>
  <si>
    <t>It staged only is_active=True rows, and a blind artefact is deliberately inactive - so it would not only have skipped one, its stale-clearing step would have DELETED a copy placed by hand. Explanations would have worked locally and silently returned nothing in production. Newest blind artefact per sport only, since every measurement run leaves a registry row.</t>
  </si>
  <si>
    <t>Driver panel: three factor rows in the expanded card</t>
  </si>
  <si>
    <t>Direction and relative weight, never a percentage - a figure beside the pick's own probability reads as part of it, and these decompose a different model. Bar carries magnitude, a word carries sign, eyebrow reads WHAT THE FORM DATA SAYS rather than 'why the model called it'. Bars scale against the largest row, not the sum: scaling by share renders several balanced drivers as three stubs, reading as weak evidence when it means the opposite.</t>
  </si>
  <si>
    <t>Live at-risk rules: one rule set for the tag and the alert</t>
  </si>
  <si>
    <t>Pure functions over a scoreline (app/predictions/live_risk.py) so the badge and the notification cannot drift apart. Coverage is a data question, not a product one: football full (minute on 332/332 rows), tennis completed-sets only, basketball none until period is ingested, corners never (counts written at settlement). Those render NO tag and a neutral bar - an absent tag reads as not-applicable, a grey one as we-checked-and-its-fine.</t>
  </si>
  <si>
    <t>At-risk push for saved picks, deduped</t>
  </si>
  <si>
    <t>watchlist_items.at_risk_alerted_at fires it once per saved fixture: live scores poll every 5 minutes and an at-risk pick tends to stay at-risk, so without the stamp one bad scoreline sends six notifications about one match. Queued from the live poll rather than its own schedule - a new scoreline is the only thing that can change a verdict. LOST is never pushed, and nothing after minute 85.</t>
  </si>
  <si>
    <t>Live card: verdict tag and colour-coded progress bar</t>
  </si>
  <si>
    <t>Per the user's own framing: the bar's LENGTH stays elapsed time while its COLOUR becomes the verdict, so a list of live cards reads at a glance without parsing a tag. Neutral where no verdict exists rather than green.</t>
  </si>
  <si>
    <t>Re-derive at-risk thresholds against settled fixtures</t>
  </si>
  <si>
    <t>Done by replaying 4,001 settled fixtures minute by minute from API-Football /fixtures/events goal timings - our own fixture_live_state is updated in place, never versioned, so in-play history did not exist. NOTHING CROSSES THE 50% BAR, so by the criterion fixed before the run every threshold stands; changing them on numbers seen afterwards is the post-hoc fitting the bar exists to prevent. The markets that actually reach a card (double chance, h2h) fire on 36-51%, are wrong 2-15%, and catch 65-99% of losses at a median of 70-75'. Two bugs found on the way: an own goal is credited to the team that BENEFITS (my flip cost one goal per affected match and biased the drop set toward high-scoring games, 7.5% -&gt; 1.0%), and a broken join once printed 'every threshold clears the bar' over ZERO rows.</t>
  </si>
  <si>
    <t>Multi-select sport/tour filter; tapping again deselects</t>
  </si>
  <si>
    <t>2026-08-24 00:00:00</t>
  </si>
  <si>
    <t>Filtering moved client-side: /fixtures takes one slug and the selection is a set. Empty means no restriction.</t>
  </si>
  <si>
    <t>Watchlist receipt records the pick the CARD showed</t>
  </si>
  <si>
    <t>2026-08-25 00:00:00</t>
  </si>
  <si>
    <t>Saved 'HOME 1.55' read back as '1X 1.17': the card ranks candidates clearing the user's sliders, the server recomputed with none. Client now sends the shown pick; server confirms it against real candidates.</t>
  </si>
  <si>
    <t>Session survives launch: single-flight refresh, no logout on a network error</t>
  </si>
  <si>
    <t>Tokens were persisted and then DELETED. Measured: two concurrent /auth/refresh with one token -&gt; 200 and 401; and any failure (cold Render) cleared the session. Only 401/403 clears now.</t>
  </si>
  <si>
    <t>Recent form: last five W/D/L per team or player</t>
  </si>
  <si>
    <t>A sequence, not a count: win_streak cannot tell WWWLL from WWWWW. Costs no API call; all three adapters already held the completed matches.</t>
  </si>
  <si>
    <t>No-signal bar changes hands: corners barred, goals admitted</t>
  </si>
  <si>
    <t>2026-08-30 00:00:00</t>
  </si>
  <si>
    <t>Live Spearman -0.039 (n=232) vs +0.197 (n=234), read off market_signal.py's pre-registered thresholds. Counterfactual on 8 days of real cards: 0.617 -&gt; 0.653.</t>
  </si>
  <si>
    <t>Serving registry repairs itself when an artefact is missing</t>
  </si>
  <si>
    <t>2026-09-04 00:00:00</t>
  </si>
  <si>
    <t>Football dark for days: 1 of 190 upcoming fixtures predicted vs tennis 7/7. Registry named an artefact absent from the image. Runs in BOTH worker and API - the API redeployed in 3 min while the worker had not after 40.</t>
  </si>
  <si>
    <t>Cards frozen at kickoff; candidate set stored, sliders applied at read</t>
  </si>
  <si>
    <t>2026-09-09 00:00:00</t>
  </si>
  <si>
    <t>19% of published cards altered or deleted in five days (28 changed bet, 48 gone of 396). Freezing only the WINNER then deleted cards a slider rejected - 7 of 8 had a qualifying alternative - so the guarded CANDIDATES are frozen instead.</t>
  </si>
  <si>
    <t>ATP requests paced to 54/min so the GOAT-&gt;ALL-STAR downgrade is safe</t>
  </si>
  <si>
    <t>2026-09-15 00:00:00</t>
  </si>
  <si>
    <t>Limit falls 600-&gt;60/min per sport. Measured 17 requests per fixture. Verified live: 17 requests, zero 429s, 55.3/min. Saves $30/month.</t>
  </si>
  <si>
    <t>Six football leagues added on measured coverage</t>
  </si>
  <si>
    <t>Eredivisie, Primeira Liga, Belgian Pro, Super Lig, 2. Bundesliga, Serie B. 8-9 bookmakers pricing four markets, 11-13 seasons of stats, real xG. Seed list unified into app/sports/catalog.py; API seeds missing rows at startup.</t>
  </si>
  <si>
    <t>History collected for the six before Ultra expires 29 Sep</t>
  </si>
  <si>
    <t>2026-09-16 00:00:00</t>
  </si>
  <si>
    <t>20,558 game-log rows / 10,279 fixtures; corners 86-92% after the retry sweep; xG collection running. No retrain - promotion needs pre-registered criteria.</t>
  </si>
  <si>
    <t>Every probability labelled as model output, not a bare figure</t>
  </si>
  <si>
    <t>Feed, saved and live rows printed a bare '89%' beside a pick, which reads as a claim about the match. Now 'Model probability' / 'Market odds' inline, so card heights are unchanged: the two labelled rows replace the two unlabelled ones already there.</t>
  </si>
  <si>
    <t>Picks header: wordmark left, one filter control carrying an off-default dot</t>
  </si>
  <si>
    <t>The dot is the point -- a card can vanish because a slider sits where the user left it days ago, and with controls behind a sheet nothing said so. Theme toggle and hub button removed only after confirming both are still reachable from Profile. THE GLYPH TOOK TWO CORRECTIONS, both reported from a device: the spec's own "three stacked bars of descending width" was built and read as a hamburger, because stacked horizontal lines mean navigation whatever their widths; and three slider tracks left ~4px of air in a 36px button. Now two tracks with offset handles at 7 on 19 -- a handle over ~40% of its track reads as a toggle, not a slider. A glyph must be judged at the size and density it ships at; a 390px screenshot shows only that a button exists.</t>
  </si>
  <si>
    <t>Form chips re-coloured to clear AA contrast</t>
  </si>
  <si>
    <t>Tailwind bg-green-600/red-500/gray-400 put white 12px text at ~3.3/3.3/2.2 against white -- all three under AA, the grey badly. FORM_RUNS measures 5.7/7.6/6.0, confirmed by reading painted values from the browser. The spec's box-sizing item is a prototype-only bug; react-native-web already sets border-box.</t>
  </si>
  <si>
    <t>OTA published to preview; two weeks of mobile work had never shipped</t>
  </si>
  <si>
    <t>Reported as 'nothing's changed on the app'. Local web verification is not delivery: the last EAS update was 2 weeks old, so the Turkey flag and this task were both unshipped. Backend changes reach users through the API with no publish, which is what makes the gap easy to miss. Confirmed build f20f6b7c is on channel preview and EXPO_PUBLIC_API_URL exists in the preview environment before publishing.</t>
  </si>
  <si>
    <t>Fixture detail: Head to head / Meetings / Standings tabs</t>
  </si>
  <si>
    <t>design-upgrades.md §7.2, three tabs not four. Meetings cost no extra call -- the rows come from the /fixtures/headtohead payload the averages already use; the fetch widened 5-&gt;10 because one call returns either, while the per-meeting statistics calls and the published averages both stay on five.</t>
  </si>
  <si>
    <t>Team schedule drill-through from a team name or a standings row</t>
  </si>
  <si>
    <t>§7.3. Last 10 plus next 2 across ALL competitions, with a W/D/L run and a record. Standings rows carry our own team id where we hold one, so a club we have never ingested is plain text rather than a link that 404s.</t>
  </si>
  <si>
    <t>Standings and team-schedule reads, both cached</t>
  </si>
  <si>
    <t>MEASURED, NOT ASSUMED: zero teams in any league had 10 completed fixtures stored and EPL's median was three, so neither view could be built from our own tables -- and the provider also returns the cup ties and European nights we never ingest (10 fixtures across 5 competitions on the club checked). Standings cached a day, not a week: a table moves whenever any match finishes. Without caching the API bill scales with browsing rather than with league count.</t>
  </si>
  <si>
    <t>h2h cache write would have 500'd the fixture screen on a nested datetime</t>
  </si>
  <si>
    <t>Caught while adding meeting rows: json.dumps sits OUTSIDE h2h_cache's try block, so a datetime in the payload raises straight through a cache WRITE -- the opposite of that module's own contract that the cache is never a dependency. Serialised with default=str; the reader's existing unreadable-entry path migrates keys written before the field existed, so no flush is needed.</t>
  </si>
  <si>
    <t>Lineup tab NOT built -- no pre-match data exists</t>
  </si>
  <si>
    <t>§7.2's fourth tab, deliberately deferred with the user's agreement after measuring all three options. Best-XI-available needs a working injury join, recorded at 2.8% resolution with 92% of rows reporting everyone available. Confirmed XIs are published ~1h before kickoff -- probed live, zero rows for three upcoming fixtures including one five hours out -- so that tab would be blank for nearly the whole browsing window. Returns when the injury pipeline does.</t>
  </si>
  <si>
    <t>UEFA Nations League served -- the first national-team competition</t>
  </si>
  <si>
    <t>Closes the ~4 weeks a year the football feed went empty: every domestic league pauses for the international break and ucl/uel/uecl pause with it. Measured on the day -- 0 football fixtures 4-6 Oct, next slate the 9th. League 5, season 2026 (24 Sep - 17 Nov), odds/stats/standings all covered; 104 fixtures in a -10/+21 window, 5 live and 18 upcoming on exactly those empty days. NOT barred from headline picks, by explicit decision.</t>
  </si>
  <si>
    <t>Five collected leagues wired to serve: Brazil Serie B, Segunda Division, Argentina, Colombia, League Two</t>
  </si>
  <si>
    <t>Their parquet history had existed since 28 Sep while LEAGUE_IDS did not list them, so the app ingested nothing for any -- the collection-config/LEAGUE_IDS gap for the third time. Served ahead of the 33-league retrain on purpose: one model serves the sport. Three are calendar-year, checked against the provider's own season windows. 275 real fixtures across the six on first contact. 34 leagues now, both wirings agreeing.</t>
  </si>
  <si>
    <t>NBA regular season opens -- the provider carries no preseason at all</t>
  </si>
  <si>
    <t>BallDontLie has 0 NBA games before 20 Oct (3 that day, 11 on the 21st), so the preseason now under way is invisible to us. Fixtures reach the cards ~13 Oct on the 7-day lookahead. Opening night is expected to show NO picks: only 5 of 16 features can carry a value with zero games played (0.31 against the 0.35 completeness floor). Self-corrects from each team's second game, ~22-23 Oct.</t>
  </si>
  <si>
    <t>Android preview build rebuilt for a new test device</t>
  </si>
  <si>
    <t>The 25 Aug APK artefact had EXPIRED, not merely aged -- EAS keeps them 30 days and it 404'd at 40. Build 1fde61c0 on channel preview, runtime 1.0.0, commit 2516088; link expires 18 Oct. First attempt errored inside EAS (SERVER_ERROR uploading the archive, never compiled) and the retry succeeded unchanged.</t>
  </si>
  <si>
    <t>European basketball history collected on the free tier (7 competitions)</t>
  </si>
  <si>
    <t>API-Basketball answers to the SAME API-Sports key football already uses -- no new vendor. Free serves only 2022-2023..2024-2025 ("Free plans do not have access to this season, try from 2022 to 2024"), pinned by probing both neighbours. 5,980 games / 11,960 team-game rows across Spain ACB, France LNB, Germany BBL, Italy Lega A, Greece BL, Turkey BSL and the Euroleague, emitted in nba_api game-log shape so the real assemble_from_game_log consumes it. 233KB committed so the measurement survives an upstream plan change.</t>
  </si>
  <si>
    <t>NBA weights measured against European basketball -- all 3 pre-registered criteria pass</t>
  </si>
  <si>
    <t>Criteria fixed in the script before any number existed. On 1,926 held-out games: accuracy 0.6547 vs always-home 0.6121 (+4.26pp), Brier 0.2211 vs 0.2375 (PRIMARY, passed), ECE 0.0303 against a 0.10 bar. Better than the inputs predicted -- Europe scores 27.4% fewer points than the NBA and has 5.2pp more home advantage -- because the features that transfer are scale-free and the point-differential ones are within-league differences. Limits: Germany BBL is worse than its own baseline, the Euroleague loses on accuracy while winning on Brier, and the 0.9+ bucket claims 0.934 but delivers 0.788 on n=33.</t>
  </si>
  <si>
    <t>Eleven served leagues had no history in the Docker image</t>
  </si>
  <si>
    <t>Dockerfile COPYs ml/data/football_game_log_*.parquet and football_xg_*.parquet and .gitignore has exceptions so they are tracked -- but the six leagues added 15 Sep and the five served today were never committed. Silent because the glob still matches the 22 tracked frames, so the build succeeds and omits the rest: Docker COPY sees the git clone, not the working tree. Per the exception's own comment that is the difference between real retrodiction and every retrodicted prediction coming out as the flat prior. 1.1MB, 22 frames.</t>
  </si>
  <si>
    <t>European basketball NOT served -- blocked on a paid API-Basketball plan</t>
  </si>
  <si>
    <t>The model question is now answered, so this is purely a cost decision. Price NOT verified (pricing pages 403 / JS-only) -- a dashboard check. Build work if it proceeds: an APIBasketballAdapter with PREFIXED team ids (provider numbers teams in its own namespace, Valencia 2341, so the WNBA-under-NBA collision hazard applies), AOT mapped as COMPLETED (3.6-6.6% of a season), and its own season rule -- two label formats in one provider ("2026-2027" domestic vs 2026 Euroleague) and no current flag to resolve against. Also greece.png is missing and Sport.name is literally "NBA Basketball".</t>
  </si>
  <si>
    <t>WNBA transfer measured at last -- native-quality, all 3 criteria pass</t>
  </si>
  <si>
    <t>Run with the same instrument as the European test so the two populations are comparable, via API-Basketball "NBA W" (BallDontLie stays the live source). accuracy 0.6894 vs always-home 0.5455 = +14.39pp, CI [0.631,0.742]; Brier 0.2091 vs 0.2480; ECE 0.0288. Essentially native: +14.39pp here against +13.22pp on the model's own NBA test split, with a clean reliability table and none of Europe's overconfident 0.9+ tail. The caveat standing since August is answered favourably -- Europe is the weaker case, not the WNBA.</t>
  </si>
  <si>
    <t>Basketball base rates corrected -- a two-way market was judged on a three-way split</t>
  </si>
  <si>
    <t>Basketball had no _base_rate override so it borrowed football's, whose h2h home share is 0.4582 only because a quarter of football outcomes are DRAWS. Basketball has none, so home and away must sum to 1. Bars move home 0.5082-&gt;0.6006 and away 0.3379-&gt;0.4994. A 0.52 home pick was passing while BELOW the 0.5506 that backing every home team gets free -- 34 of 92 real home picks were at 0.523. Measured cost at the app default (min_probability 0.6): ZERO, checked before changing anything. For a lowered slider it removes 34 picks, 29 settled, all at or below no-skill. NBA 0.5518 / WNBA 0.5393 / pooled 0.5506.</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</si>
  <si>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</si>
  <si>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</si>
  <si>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</si>
  <si>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</si>
  <si>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</si>
  <si>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</si>
  <si>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(Ultra)
fixtures • team stats • injuries
H2H • lineups • corners
ENDS 2026-09-29</t>
  </si>
  <si>
    <t>TheRundown
odds: NBA + 5 EU + MLS
HEALTHY 5,000/mon</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</si>
  <si>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</si>
  <si>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</si>
  <si>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</si>
  <si>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</si>
  <si>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</si>
  <si>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</si>
  <si>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</si>
  <si>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</si>
  <si>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</si>
  <si>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</si>
  <si>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</si>
  <si>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</si>
  <si>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</si>
  <si>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</si>
  <si>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</si>
  <si>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</si>
  <si>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</si>
  <si>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</si>
  <si>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</si>
  <si>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</si>
  <si>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</si>
  <si>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</si>
  <si>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</si>
  <si>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</si>
  <si>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</si>
  <si>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</si>
  <si>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(18)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</si>
  <si>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</si>
  <si>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</si>
  <si>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</si>
  <si>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</si>
  <si>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</si>
  <si>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</si>
  <si>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</si>
  <si>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</si>
  <si>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</si>
  <si>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</si>
  <si>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</si>
  <si>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</si>
  <si>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</si>
  <si>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</si>
  <si>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</si>
  <si>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EAS project linked
no EXPO_ACCESS_TOKEN yet</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</si>
  <si>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</si>
  <si>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</si>
  <si>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</si>
  <si>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</si>
  <si>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</si>
  <si>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</si>
  <si>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</si>
  <si>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</si>
  <si>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</si>
  <si>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</si>
  <si>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</si>
  <si>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</si>
  <si>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</si>
  <si>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</si>
  <si>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</si>
  <si>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</si>
  <si>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</si>
  <si>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</si>
  <si>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</si>
  <si>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</si>
  <si>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</si>
  <si>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8 • RUNTIME  •  Render (production, live 13 Aug 2026)</t>
  </si>
  <si>
    <t>Deployed</t>
  </si>
  <si>
    <t>sportpiq-api (web)
gunicorn • binds $PORT
alembic in preDeployCommand</t>
  </si>
  <si>
    <t>sportpiq-worker
Celery prefork
executes every task</t>
  </si>
  <si>
    <t>sportpiq-beat
EXACTLY ONE, ever
two would double-spend quota</t>
  </si>
  <si>
    <t>sportpiq-db (PG16)
sportpiq-redis
managed, private network</t>
  </si>
  <si>
    <t>Models baked into the image
stage_artefacts + manifest
seed_model_registry on a new DB</t>
  </si>
  <si>
    <t>Local celery must stay OFF while production runs: both hit the same metered providers, and TheRundown is 5,000 per MONTH. Promotion is no longer a DB flip -- retrain, stage, commit, redeploy, seed.</t>
  </si>
  <si>
    <t>Epic Summary</t>
  </si>
  <si>
    <t>Total</t>
  </si>
  <si>
    <t>In progress / Planned</t>
  </si>
  <si>
    <t>% Complete</t>
  </si>
  <si>
    <t>OVERALL</t>
  </si>
  <si>
    <t>Unassigned (should be 0)</t>
  </si>
  <si>
    <t>Auto-calculated from the Delivery Board. Add an epic here if 'Unassigned' is ever non-zero.</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</si>
  <si>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</si>
  <si>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</si>
  <si>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</si>
  <si>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</si>
  <si>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</si>
  <si>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</si>
  <si>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</si>
  <si>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</si>
  <si>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</si>
  <si>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</si>
  <si>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</si>
  <si>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</si>
  <si>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</si>
  <si>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</si>
  <si>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</si>
  <si>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</si>
  <si>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</si>
  <si>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</si>
  <si>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</si>
  <si>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</si>
  <si>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</si>
  <si>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</si>
  <si>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</si>
  <si>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</si>
  <si>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</si>
  <si>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</si>
  <si>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</si>
  <si>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</si>
  <si>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DONE 13 Aug. Per-league existed for 1X2 only and per-market pooled only; per_league_market_metrics now reports both cuts crossed. Goals under-3.5 Brier spans 0.168 (J1) to 0.261 (Veikkausliiga) against a pooled 0.2096.</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</si>
  <si>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</si>
  <si>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</si>
  <si>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</si>
  <si>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</si>
  <si>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</si>
  <si>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</si>
  <si>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</si>
  <si>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</si>
  <si>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</si>
  <si>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</si>
  <si>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</si>
  <si>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</si>
  <si>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</si>
  <si>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</si>
  <si>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</si>
  <si>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</si>
  <si>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</si>
  <si>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</si>
  <si>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</si>
  <si>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</si>
  <si>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</si>
  <si>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</si>
  <si>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</si>
  <si>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</si>
  <si>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</si>
  <si>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</si>
  <si>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</si>
  <si>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</si>
  <si>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</si>
  <si>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</si>
  <si>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</si>
  <si>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</si>
  <si>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</si>
  <si>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</si>
  <si>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</si>
  <si>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</si>
  <si>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</si>
  <si>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</si>
  <si>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</si>
  <si>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</si>
  <si>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</si>
  <si>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</si>
  <si>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</si>
  <si>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</si>
  <si>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</si>
  <si>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</si>
  <si>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</si>
  <si>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</si>
  <si>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</si>
  <si>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</si>
  <si>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</si>
  <si>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</si>
  <si>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</si>
  <si>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</si>
  <si>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</si>
  <si>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</si>
  <si>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</si>
  <si>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</si>
  <si>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</si>
  <si>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</si>
  <si>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</si>
  <si>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</si>
  <si>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</si>
  <si>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</si>
  <si>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</si>
  <si>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</si>
  <si>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</si>
  <si>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</si>
  <si>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</si>
  <si>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</si>
  <si>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</si>
  <si>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</si>
  <si>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</si>
  <si>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</si>
  <si>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</si>
  <si>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</si>
  <si>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</si>
  <si>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</si>
  <si>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</si>
  <si>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</si>
  <si>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</si>
  <si>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DONE 13 Aug. Tuned against validation Poisson deviance, and the Over/Under CORNERS market got its first held-out evaluation at the same time - it had shipped judged by MAE alone while the product sold P(under 9.5).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</si>
  <si>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</si>
  <si>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</si>
  <si>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</si>
  <si>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</si>
  <si>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</si>
  <si>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</si>
  <si>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</si>
  <si>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</si>
  <si>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</si>
  <si>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</si>
  <si>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</si>
  <si>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</si>
  <si>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</si>
  <si>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</si>
  <si>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</si>
  <si>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</si>
  <si>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</si>
  <si>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</si>
  <si>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</si>
  <si>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</si>
  <si>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</si>
  <si>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</si>
  <si>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DONE 13 Aug. Both measured and both DEFENDED 10. All three sports now converge on 10.</t>
  </si>
  <si>
    <t>THE MEASUREMENT MEASURED THE WRONG OBJECT: /history and the notebook graded the 1X2 argmax while the product shows best_pick across four markets</t>
  </si>
  <si>
    <t>Football's settled card picks are 43 double chance + 19 corners and ZERO h2h, so the published football accuracy described a market football cards never show. Grading the card moves it 0.3651 -&gt; 0.7258 (n=62) - but the no-skill baseline rises with it to 0.6391, so the honest figure is +8.67pp against a 14.09pp detectable effect. Not conclusive.</t>
  </si>
  <si>
    <t>grade_pick ported from TypeScript so endpoint, notebook and card cannot disagree</t>
  </si>
  <si>
    <t>card grading</t>
  </si>
  <si>
    <t>The four-market rule existed once, in mobile/lib/pickFormat.ts, so only the phone could say whether a card had been right. Deliberate line-by-line port including the parts that look like bugs ('12' ungraded, an exact push losing both ways).</t>
  </si>
  <si>
    <t>1X2 got log loss / multiclass Brier / ECE / per-class reliability</t>
  </si>
  <si>
    <t>The flagship market had RPS and nothing else - Over/Under goals and corners each got a reliability table only after shipping wrong. FINDING: 92% of test fixtures get a draw probability in 0.2-0.3 (observed 0.257): right on average, no per-fixture information.</t>
  </si>
  <si>
    <t>CORRECTION: isotonic calibration on 1X2 DOES earn its place</t>
  </si>
  <si>
    <t>1X2 metrics</t>
  </si>
  <si>
    <t>Reported as not earning it on log loss (1.0179 vs 1.0148) and Brier (identical). Both are the wrong instrument - the product reads the probability VALUE through min_probability, the base-rate gates and EV. ECE 0.0143 vs 0.0195 uncalibrated. Judge a component on the metric it exists for.</t>
  </si>
  <si>
    <t>The draw finding needs no new guard - it is already contained</t>
  </si>
  <si>
    <t>MIN_EDGE_OVER_BASE_RATE requires a draw to reach 0.3038 and ZERO draw picks have ever reached a card, measured over the whole settled history.</t>
  </si>
  <si>
    <t>Per-fixture test outputs saved, so model comparisons are a join not a memory</t>
  </si>
  <si>
    <t>Every comparison had rested on printed headlines plus booster hashes - enough to prove scope, useless for attribution. It is what forced the caveat that corners MAE 2.167 -&gt; 2.157 was not an improvement because the test set grew 35%.</t>
  </si>
  <si>
    <t>TRAP: a training run promoted itself, and the losing arm went live</t>
  </si>
  <si>
    <t>The tennis n=5 arm scored worse on accuracy AND RPS and became the served model by finishing. Worse than a bad number: LAST_N_FORM reads back at 10 when serving, so a model trained on 5 would have been fed 10. --no-activate added to all three scripts.</t>
  </si>
  <si>
    <t>TRAP: --no-activate then stranded NBA with ZERO active models</t>
  </si>
  <si>
    <t>Mirror image of the above, from the same register-and-activate coupling. runner.py resolves the model from the registry, so the sport stops predicting with no exception anywhere. Caught only because /stats/model dropped NBA. Demotion now happens only when something replaces the incumbent.</t>
  </si>
  <si>
    <t>MIN_FEATURE_COMPLETENESS 0.25 -&gt; 0.35 deleted 21 already-published picks from past cards (9 Scottish Prem), because best_pick is recomputed per request. Not neutral: sub-0.35 picks run 0.2857 vs 0.5263 above, so filtering them made the record look BETTER than it is. Settled fixtures now exempt from that one guard.</t>
  </si>
  <si>
    <t>LIVE IN PRODUCTION - the measurement now has a real population to accumulate</t>
  </si>
  <si>
    <t>deploy</t>
  </si>
  <si>
    <t>Deployed 13 Aug. Every number measured so far is from the LOCAL database; production starts its own history from today, so /history there will read as a new model with no record until it accumulates.</t>
  </si>
  <si>
    <t>PRODUCTION AND LOCAL SHARE THE SAME METERED QUOTAS</t>
  </si>
  <si>
    <t>Local celery (2 workers + 2 beats) was killed on 13 Aug and the dev app repointed at production, so exactly one scheduler now spends TheRundown's 5,000/month. Running local beat alongside production double-spends it.</t>
  </si>
  <si>
    <t>EXCEPTION TAKEN to 'no new leagues until measurement lands': WNBA</t>
  </si>
  <si>
    <t>user request</t>
  </si>
  <si>
    <t>Recorded as an exception, not a precedent. The argument for it: a second basketball competition TESTS whether the NBA model generalises rather than merely widening coverage. Cost was near zero - no collection, no retrain, one adapter namespace switch. The HOLD otherwise stands.</t>
  </si>
  <si>
    <t>WNBA calibration against WNBA outcomes is UNMEASURED</t>
  </si>
  <si>
    <t>WNBA live</t>
  </si>
  <si>
    <t>The weights are NBA's. WNBA pace, scoring level and home advantage differ, so calibration may be off in either direction; the two priced fixtures both had the model BELOW the market, which is at least not the overconfidence failure mode. Needs settled WNBA fixtures to accumulate before anything can be said. A dedicated model is possible but small: ~312 games a season against NBA's ~1,230, on a 12-feature vector.</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</si>
  <si>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</si>
  <si>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</si>
  <si>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</si>
  <si>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</si>
  <si>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</si>
  <si>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</si>
  <si>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</si>
  <si>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</si>
  <si>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</si>
  <si>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</si>
  <si>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</si>
  <si>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</si>
  <si>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</si>
  <si>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</si>
  <si>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</si>
  <si>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</si>
  <si>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</si>
  <si>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</si>
  <si>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</si>
  <si>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</si>
  <si>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</si>
  <si>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</si>
  <si>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</si>
  <si>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</si>
  <si>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</si>
  <si>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</si>
  <si>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</si>
  <si>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</si>
  <si>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</si>
  <si>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</si>
  <si>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</si>
  <si>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</si>
  <si>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</si>
  <si>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</si>
  <si>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</si>
  <si>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</si>
  <si>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</si>
  <si>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</si>
  <si>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</si>
  <si>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</si>
  <si>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</si>
  <si>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</si>
  <si>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</si>
  <si>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</si>
  <si>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</si>
  <si>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</si>
  <si>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</si>
  <si>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</si>
  <si>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</si>
  <si>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</si>
  <si>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</si>
  <si>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</si>
  <si>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</si>
  <si>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</si>
  <si>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</si>
  <si>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</si>
  <si>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</si>
  <si>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</si>
  <si>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</si>
  <si>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</si>
  <si>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</si>
  <si>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</si>
  <si>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</si>
  <si>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</si>
  <si>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</si>
  <si>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</si>
  <si>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</si>
  <si>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</si>
  <si>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</si>
  <si>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</si>
  <si>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</si>
  <si>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</si>
  <si>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</si>
  <si>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</si>
  <si>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</si>
  <si>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</si>
  <si>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</si>
  <si>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</si>
  <si>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</si>
  <si>
    <t>13 Aug: PRODUCTION IS NOW LIVE AND SHARES EVERY QUOTA ABOVE. The figures here were read from a single local machine. Render's beat is now the only scheduler that should be running - local celery was stopped the same day, because two schedulers against the same providers double-spend metered quota and TheRundown is 5,000 per MONTH.</t>
  </si>
  <si>
    <t>13 Aug: BallDontLie /wnba/v1 confirmed live on the SAME key as NBA -- 200, mid-season, history past 2024. /season_averages is a 404 and /standings + /player_injuries 401, so WNBA carries no player-level data at all. TheRundown covers WNBA at sport_id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</si>
</sst>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90"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s>
  <fills count="79">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
      <patternFill patternType="solid">
        <fgColor rgb="FF16A34A"/>
        <bgColor rgb="FF16A34A"/>
      </patternFill>
    </fill>
    <fill>
      <patternFill patternType="solid">
        <fgColor rgb="FFB45309"/>
        <bgColor rgb="FFB45309"/>
      </patternFill>
    </fill>
    <fill>
      <patternFill patternType="solid">
        <fgColor rgb="FFDC2626"/>
        <bgColor rgb="FFDC2626"/>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15">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5" fillId="40" borderId="13" xfId="0" applyFont="1" applyFill="1" applyBorder="1" applyAlignment="1">
      <alignment horizontal="left" vertical="center"/>
    </xf>
    <xf numFmtId="0" fontId="46" fillId="40" borderId="13" xfId="0" applyFont="1" applyFill="1" applyBorder="1" applyAlignment="1">
      <alignment horizontal="left" vertical="center"/>
    </xf>
    <xf numFmtId="0" fontId="47" fillId="41" borderId="13" xfId="0" applyFont="1" applyFill="1" applyBorder="1" applyAlignment="1">
      <alignment horizontal="center" vertical="center"/>
    </xf>
    <xf numFmtId="0" fontId="46" fillId="40" borderId="13" xfId="0" applyFont="1" applyFill="1" applyBorder="1" applyAlignment="1">
      <alignment horizontal="center" vertical="center"/>
    </xf>
    <xf numFmtId="164" fontId="46" fillId="40" borderId="13" xfId="0" applyNumberFormat="1" applyFont="1" applyFill="1" applyBorder="1" applyAlignment="1">
      <alignment horizontal="center" vertical="center"/>
    </xf>
    <xf numFmtId="0" fontId="46" fillId="41" borderId="13" xfId="0" applyFont="1" applyFill="1" applyBorder="1" applyAlignment="1">
      <alignment horizontal="left" vertical="center"/>
    </xf>
    <xf numFmtId="0" fontId="45" fillId="42" borderId="13" xfId="0" applyFont="1" applyFill="1" applyBorder="1" applyAlignment="1">
      <alignment horizontal="left" vertical="center"/>
    </xf>
    <xf numFmtId="0" fontId="46" fillId="42" borderId="13" xfId="0" applyFont="1" applyFill="1" applyBorder="1" applyAlignment="1">
      <alignment horizontal="left" vertical="center"/>
    </xf>
    <xf numFmtId="0" fontId="46" fillId="42" borderId="13" xfId="0" applyFont="1" applyFill="1" applyBorder="1" applyAlignment="1">
      <alignment horizontal="center" vertical="center"/>
    </xf>
    <xf numFmtId="164" fontId="46" fillId="42" borderId="13" xfId="0" applyNumberFormat="1" applyFont="1" applyFill="1" applyBorder="1" applyAlignment="1">
      <alignment horizontal="center" vertical="center"/>
    </xf>
    <xf numFmtId="0" fontId="46" fillId="43" borderId="13" xfId="0" applyFont="1" applyFill="1" applyBorder="1" applyAlignment="1">
      <alignment horizontal="left" vertical="center"/>
    </xf>
    <xf numFmtId="0" fontId="47" fillId="44" borderId="13" xfId="0" applyFont="1" applyFill="1" applyBorder="1" applyAlignment="1">
      <alignment horizontal="center" vertical="center"/>
    </xf>
    <xf numFmtId="0" fontId="46" fillId="44" borderId="13" xfId="0" applyFont="1" applyFill="1" applyBorder="1" applyAlignment="1">
      <alignment horizontal="left" vertical="center"/>
    </xf>
    <xf numFmtId="0" fontId="45" fillId="42" borderId="13" xfId="0" applyFont="1" applyFill="1" applyBorder="1" applyAlignment="1">
      <alignment horizontal="left" vertical="center" wrapText="1"/>
    </xf>
    <xf numFmtId="0" fontId="46" fillId="42" borderId="13" xfId="0" applyFont="1" applyFill="1" applyBorder="1" applyAlignment="1">
      <alignment horizontal="left" vertical="center" wrapText="1"/>
    </xf>
    <xf numFmtId="0" fontId="45" fillId="40"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9" fillId="45" borderId="14" xfId="0" applyFont="1" applyFill="1" applyBorder="1" applyAlignment="1">
      <alignment horizontal="left" vertical="center"/>
    </xf>
    <xf numFmtId="0" fontId="50" fillId="45" borderId="14" xfId="0" applyFont="1" applyFill="1" applyBorder="1" applyAlignment="1">
      <alignment horizontal="left" vertical="center"/>
    </xf>
    <xf numFmtId="0" fontId="50" fillId="45" borderId="14" xfId="0" applyFont="1" applyFill="1" applyBorder="1" applyAlignment="1">
      <alignment horizontal="center" vertical="center"/>
    </xf>
    <xf numFmtId="164" fontId="50" fillId="45" borderId="14" xfId="0" applyNumberFormat="1" applyFont="1" applyFill="1" applyBorder="1" applyAlignment="1">
      <alignment horizontal="center" vertical="center"/>
    </xf>
    <xf numFmtId="0" fontId="50" fillId="46" borderId="14" xfId="0" applyFont="1" applyFill="1" applyBorder="1" applyAlignment="1">
      <alignment horizontal="left" vertical="center"/>
    </xf>
    <xf numFmtId="0" fontId="49" fillId="47" borderId="14" xfId="0" applyFont="1" applyFill="1" applyBorder="1" applyAlignment="1">
      <alignment horizontal="left" vertical="center"/>
    </xf>
    <xf numFmtId="0" fontId="50" fillId="47" borderId="14" xfId="0" applyFont="1" applyFill="1" applyBorder="1" applyAlignment="1">
      <alignment horizontal="left" vertical="center"/>
    </xf>
    <xf numFmtId="0" fontId="50" fillId="47" borderId="14" xfId="0" applyFont="1" applyFill="1" applyBorder="1" applyAlignment="1">
      <alignment horizontal="center" vertical="center"/>
    </xf>
    <xf numFmtId="164" fontId="50" fillId="47" borderId="14" xfId="0" applyNumberFormat="1" applyFont="1" applyFill="1" applyBorder="1" applyAlignment="1">
      <alignment horizontal="center" vertical="center"/>
    </xf>
    <xf numFmtId="0" fontId="49" fillId="47" borderId="14" xfId="0" applyFont="1" applyFill="1" applyBorder="1" applyAlignment="1">
      <alignment horizontal="left" vertical="center" wrapText="1"/>
    </xf>
    <xf numFmtId="0" fontId="51" fillId="48" borderId="14" xfId="0" applyFont="1" applyFill="1" applyBorder="1" applyAlignment="1">
      <alignment horizontal="center" vertical="center"/>
    </xf>
    <xf numFmtId="0" fontId="50" fillId="47" borderId="14" xfId="0" applyFont="1" applyFill="1" applyBorder="1" applyAlignment="1">
      <alignment horizontal="left" vertical="center" wrapText="1"/>
    </xf>
    <xf numFmtId="0" fontId="49" fillId="45" borderId="14" xfId="0" applyFont="1" applyFill="1" applyBorder="1" applyAlignment="1">
      <alignment horizontal="left" vertical="center" wrapText="1"/>
    </xf>
    <xf numFmtId="0" fontId="51" fillId="49" borderId="14" xfId="0" applyFont="1" applyFill="1" applyBorder="1" applyAlignment="1">
      <alignment horizontal="center" vertical="center"/>
    </xf>
    <xf numFmtId="0" fontId="50" fillId="45" borderId="14" xfId="0" applyFont="1" applyFill="1" applyBorder="1" applyAlignment="1">
      <alignment horizontal="left" vertical="center" wrapText="1"/>
    </xf>
    <xf numFmtId="0" fontId="53" fillId="50" borderId="15" xfId="0" applyFont="1" applyFill="1" applyBorder="1" applyAlignment="1">
      <alignment horizontal="left" vertical="center" wrapText="1"/>
    </xf>
    <xf numFmtId="0" fontId="54" fillId="51" borderId="15" xfId="0" applyFont="1" applyFill="1" applyBorder="1" applyAlignment="1">
      <alignment horizontal="left" vertical="center"/>
    </xf>
    <xf numFmtId="0" fontId="53" fillId="51" borderId="15" xfId="0" applyFont="1" applyFill="1" applyBorder="1" applyAlignment="1">
      <alignment horizontal="left" vertical="center"/>
    </xf>
    <xf numFmtId="0" fontId="55" fillId="52" borderId="15" xfId="0" applyFont="1" applyFill="1" applyBorder="1" applyAlignment="1">
      <alignment horizontal="center" vertical="center"/>
    </xf>
    <xf numFmtId="0" fontId="53" fillId="51" borderId="15" xfId="0" applyFont="1" applyFill="1" applyBorder="1" applyAlignment="1">
      <alignment horizontal="center" vertical="center"/>
    </xf>
    <xf numFmtId="164" fontId="53" fillId="51" borderId="15" xfId="0" applyNumberFormat="1" applyFont="1" applyFill="1" applyBorder="1" applyAlignment="1">
      <alignment horizontal="center" vertical="center"/>
    </xf>
    <xf numFmtId="0" fontId="53" fillId="52" borderId="15" xfId="0" applyFont="1" applyFill="1" applyBorder="1" applyAlignment="1">
      <alignment horizontal="left" vertical="center"/>
    </xf>
    <xf numFmtId="0" fontId="54" fillId="51" borderId="15" xfId="0" applyFont="1" applyFill="1" applyBorder="1" applyAlignment="1">
      <alignment horizontal="left" vertical="center" wrapText="1"/>
    </xf>
    <xf numFmtId="0" fontId="55" fillId="53" borderId="15" xfId="0" applyFont="1" applyFill="1" applyBorder="1" applyAlignment="1">
      <alignment horizontal="center" vertical="center"/>
    </xf>
    <xf numFmtId="0" fontId="53" fillId="51" borderId="15" xfId="0" applyFont="1" applyFill="1" applyBorder="1" applyAlignment="1">
      <alignment horizontal="left" vertical="center" wrapText="1"/>
    </xf>
    <xf numFmtId="0" fontId="57" fillId="54" borderId="16" xfId="0" applyFont="1" applyFill="1" applyBorder="1" applyAlignment="1">
      <alignment horizontal="left" vertical="center"/>
    </xf>
    <xf numFmtId="0" fontId="58" fillId="54" borderId="16" xfId="0" applyFont="1" applyFill="1" applyBorder="1" applyAlignment="1">
      <alignment horizontal="left" vertical="center"/>
    </xf>
    <xf numFmtId="0" fontId="58" fillId="54" borderId="16" xfId="0" applyFont="1" applyFill="1" applyBorder="1" applyAlignment="1">
      <alignment horizontal="center" vertical="center"/>
    </xf>
    <xf numFmtId="164" fontId="58" fillId="54" borderId="16" xfId="0" applyNumberFormat="1" applyFont="1" applyFill="1" applyBorder="1" applyAlignment="1">
      <alignment horizontal="center" vertical="center"/>
    </xf>
    <xf numFmtId="0" fontId="58" fillId="55" borderId="16" xfId="0" applyFont="1" applyFill="1" applyBorder="1" applyAlignment="1">
      <alignment horizontal="left" vertical="center"/>
    </xf>
    <xf numFmtId="0" fontId="57" fillId="54" borderId="16" xfId="0" applyFont="1" applyFill="1" applyBorder="1" applyAlignment="1">
      <alignment horizontal="left" vertical="center" wrapText="1"/>
    </xf>
    <xf numFmtId="0" fontId="59" fillId="56" borderId="16" xfId="0" applyFont="1" applyFill="1" applyBorder="1" applyAlignment="1">
      <alignment horizontal="center" vertical="center"/>
    </xf>
    <xf numFmtId="0" fontId="58" fillId="54" borderId="16" xfId="0" applyFont="1" applyFill="1" applyBorder="1" applyAlignment="1">
      <alignment horizontal="left" vertical="center" wrapText="1"/>
    </xf>
    <xf numFmtId="0" fontId="57" fillId="57" borderId="16" xfId="0" applyFont="1" applyFill="1" applyBorder="1" applyAlignment="1">
      <alignment horizontal="left" vertical="center" wrapText="1"/>
    </xf>
    <xf numFmtId="0" fontId="58" fillId="57" borderId="16" xfId="0" applyFont="1" applyFill="1" applyBorder="1" applyAlignment="1">
      <alignment horizontal="center" vertical="center"/>
    </xf>
    <xf numFmtId="0" fontId="59" fillId="58" borderId="16" xfId="0" applyFont="1" applyFill="1" applyBorder="1" applyAlignment="1">
      <alignment horizontal="center" vertical="center"/>
    </xf>
    <xf numFmtId="0" fontId="58" fillId="57" borderId="16" xfId="0" applyFont="1" applyFill="1" applyBorder="1" applyAlignment="1">
      <alignment horizontal="left" vertical="center" wrapText="1"/>
    </xf>
    <xf numFmtId="0" fontId="61" fillId="59" borderId="17" xfId="0" applyFont="1" applyFill="1" applyBorder="1" applyAlignment="1">
      <alignment horizontal="left" vertical="center"/>
    </xf>
    <xf numFmtId="0" fontId="62" fillId="59" borderId="17" xfId="0" applyFont="1" applyFill="1" applyBorder="1" applyAlignment="1">
      <alignment horizontal="left" vertical="center"/>
    </xf>
    <xf numFmtId="0" fontId="63" fillId="60" borderId="17" xfId="0" applyFont="1" applyFill="1" applyBorder="1" applyAlignment="1">
      <alignment horizontal="center" vertical="center"/>
    </xf>
    <xf numFmtId="0" fontId="62" fillId="59" borderId="17" xfId="0" applyFont="1" applyFill="1" applyBorder="1" applyAlignment="1">
      <alignment horizontal="center" vertical="center"/>
    </xf>
    <xf numFmtId="164" fontId="62" fillId="59" borderId="17" xfId="0" applyNumberFormat="1" applyFont="1" applyFill="1" applyBorder="1" applyAlignment="1">
      <alignment horizontal="center" vertical="center"/>
    </xf>
    <xf numFmtId="0" fontId="62" fillId="60" borderId="17" xfId="0" applyFont="1" applyFill="1" applyBorder="1" applyAlignment="1">
      <alignment horizontal="left" vertical="center"/>
    </xf>
    <xf numFmtId="0" fontId="61" fillId="61" borderId="17" xfId="0" applyFont="1" applyFill="1" applyBorder="1" applyAlignment="1">
      <alignment horizontal="left" vertical="center"/>
    </xf>
    <xf numFmtId="0" fontId="62" fillId="61" borderId="17" xfId="0" applyFont="1" applyFill="1" applyBorder="1" applyAlignment="1">
      <alignment horizontal="left" vertical="center"/>
    </xf>
    <xf numFmtId="0" fontId="62" fillId="61" borderId="17" xfId="0" applyFont="1" applyFill="1" applyBorder="1" applyAlignment="1">
      <alignment horizontal="center" vertical="center"/>
    </xf>
    <xf numFmtId="164" fontId="62" fillId="61" borderId="17" xfId="0" applyNumberFormat="1" applyFont="1" applyFill="1" applyBorder="1" applyAlignment="1">
      <alignment horizontal="center" vertical="center"/>
    </xf>
    <xf numFmtId="0" fontId="62" fillId="62" borderId="17" xfId="0" applyFont="1" applyFill="1" applyBorder="1" applyAlignment="1">
      <alignment horizontal="left" vertical="center"/>
    </xf>
    <xf numFmtId="0" fontId="63" fillId="63" borderId="17" xfId="0" applyFont="1" applyFill="1" applyBorder="1" applyAlignment="1">
      <alignment horizontal="center" vertical="center"/>
    </xf>
    <xf numFmtId="0" fontId="62" fillId="63" borderId="17" xfId="0" applyFont="1" applyFill="1" applyBorder="1" applyAlignment="1">
      <alignment horizontal="left" vertical="center"/>
    </xf>
    <xf numFmtId="0" fontId="61" fillId="61" borderId="17" xfId="0" applyFont="1" applyFill="1" applyBorder="1" applyAlignment="1">
      <alignment horizontal="left" vertical="center" wrapText="1"/>
    </xf>
    <xf numFmtId="0" fontId="62" fillId="61" borderId="17" xfId="0" applyFont="1" applyFill="1" applyBorder="1" applyAlignment="1">
      <alignment horizontal="left" vertical="center" wrapText="1"/>
    </xf>
    <xf numFmtId="0" fontId="61" fillId="59"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5" fillId="64" borderId="18" xfId="0" applyFont="1" applyFill="1" applyBorder="1" applyAlignment="1">
      <alignment horizontal="left" vertical="center"/>
    </xf>
    <xf numFmtId="0" fontId="66" fillId="64" borderId="18" xfId="0" applyFont="1" applyFill="1" applyBorder="1" applyAlignment="1">
      <alignment horizontal="left" vertical="center"/>
    </xf>
    <xf numFmtId="0" fontId="66" fillId="64" borderId="18" xfId="0" applyFont="1" applyFill="1" applyBorder="1" applyAlignment="1">
      <alignment horizontal="center" vertical="center"/>
    </xf>
    <xf numFmtId="164" fontId="66" fillId="64" borderId="18" xfId="0" applyNumberFormat="1" applyFont="1" applyFill="1" applyBorder="1" applyAlignment="1">
      <alignment horizontal="center" vertical="center"/>
    </xf>
    <xf numFmtId="0" fontId="66" fillId="65" borderId="18" xfId="0" applyFont="1" applyFill="1" applyBorder="1" applyAlignment="1">
      <alignment horizontal="left" vertical="center"/>
    </xf>
    <xf numFmtId="0" fontId="65" fillId="66"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7" borderId="18" xfId="0" applyFont="1" applyFill="1" applyBorder="1" applyAlignment="1">
      <alignment horizontal="center" vertical="center"/>
    </xf>
    <xf numFmtId="0" fontId="66" fillId="66" borderId="18" xfId="0" applyFont="1" applyFill="1" applyBorder="1" applyAlignment="1">
      <alignment horizontal="center" vertical="center"/>
    </xf>
    <xf numFmtId="164" fontId="66" fillId="66" borderId="18" xfId="0" applyNumberFormat="1" applyFont="1" applyFill="1" applyBorder="1" applyAlignment="1">
      <alignment horizontal="center" vertical="center"/>
    </xf>
    <xf numFmtId="0" fontId="66" fillId="67" borderId="18" xfId="0" applyFont="1" applyFill="1" applyBorder="1" applyAlignment="1">
      <alignment horizontal="left" vertical="center"/>
    </xf>
    <xf numFmtId="0" fontId="67" fillId="68" borderId="18" xfId="0" applyFont="1" applyFill="1" applyBorder="1" applyAlignment="1">
      <alignment horizontal="center" vertical="center"/>
    </xf>
    <xf numFmtId="0" fontId="66" fillId="68" borderId="18" xfId="0" applyFont="1" applyFill="1" applyBorder="1" applyAlignment="1">
      <alignment horizontal="left" vertical="center"/>
    </xf>
    <xf numFmtId="0" fontId="66" fillId="69" borderId="18" xfId="0" applyFont="1" applyFill="1" applyBorder="1" applyAlignment="1">
      <alignment horizontal="left" vertical="center"/>
    </xf>
    <xf numFmtId="0" fontId="65" fillId="64" borderId="18" xfId="0" applyFont="1" applyFill="1" applyBorder="1" applyAlignment="1">
      <alignment horizontal="left" vertical="center" wrapText="1"/>
    </xf>
    <xf numFmtId="0" fontId="66" fillId="64" borderId="18" xfId="0" applyFont="1" applyFill="1" applyBorder="1" applyAlignment="1">
      <alignment horizontal="left" vertical="center" wrapText="1"/>
    </xf>
    <xf numFmtId="0" fontId="65" fillId="66"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165" fontId="0" fillId="0" borderId="0" xfId="0" applyNumberFormat="1"/>
    <xf numFmtId="0" fontId="69" fillId="0" borderId="0" xfId="0" applyFont="1"/>
    <xf numFmtId="0" fontId="70" fillId="0" borderId="0" xfId="0" applyFont="1"/>
    <xf numFmtId="0" fontId="71" fillId="70" borderId="0" xfId="0" applyFont="1" applyFill="1" applyAlignment="1">
      <alignment vertical="center" wrapText="1"/>
    </xf>
    <xf numFmtId="0" fontId="72" fillId="0" borderId="0" xfId="0" applyFont="1" applyAlignment="1">
      <alignment vertical="top" wrapText="1"/>
    </xf>
    <xf numFmtId="0" fontId="0" fillId="0" borderId="0" xfId="0" applyAlignment="1">
      <alignment vertical="top" wrapText="1"/>
    </xf>
    <xf numFmtId="0" fontId="72" fillId="71" borderId="0" xfId="0" applyFont="1" applyFill="1" applyAlignment="1">
      <alignment vertical="top" wrapText="1"/>
    </xf>
    <xf numFmtId="0" fontId="72" fillId="72" borderId="0" xfId="0" applyFont="1" applyFill="1" applyAlignment="1">
      <alignment vertical="top" wrapText="1"/>
    </xf>
    <xf numFmtId="0" fontId="72" fillId="73" borderId="0" xfId="0" applyFont="1" applyFill="1" applyAlignment="1">
      <alignment vertical="top" wrapText="1"/>
    </xf>
    <xf numFmtId="0" fontId="73" fillId="0" borderId="0" xfId="0" applyFont="1"/>
    <xf numFmtId="0" fontId="75" fillId="70" borderId="0" xfId="0" applyFont="1" applyFill="1" applyAlignment="1">
      <alignment vertical="center"/>
    </xf>
    <xf numFmtId="0" fontId="76" fillId="69" borderId="0" xfId="0" applyFont="1" applyFill="1" applyAlignment="1">
      <alignment horizontal="center" vertical="top"/>
    </xf>
    <xf numFmtId="0" fontId="76" fillId="68" borderId="0" xfId="0" applyFont="1" applyFill="1" applyAlignment="1">
      <alignment horizontal="center" vertical="top"/>
    </xf>
    <xf numFmtId="0" fontId="76" fillId="67" borderId="0" xfId="0" applyFont="1" applyFill="1" applyAlignment="1">
      <alignment horizontal="center" vertical="top"/>
    </xf>
    <xf numFmtId="0" fontId="76" fillId="8" borderId="0" xfId="0" applyFont="1" applyFill="1" applyAlignment="1">
      <alignment horizontal="center" vertical="top"/>
    </xf>
    <xf numFmtId="0" fontId="76" fillId="74" borderId="0" xfId="0" applyFont="1" applyFill="1" applyAlignment="1">
      <alignment horizontal="center" vertical="top"/>
    </xf>
    <xf numFmtId="0" fontId="76" fillId="75" borderId="0" xfId="0" applyFont="1" applyFill="1" applyAlignment="1">
      <alignment horizontal="center" vertical="top"/>
    </xf>
    <xf numFmtId="0" fontId="77" fillId="0" borderId="0" xfId="0" applyFont="1"/>
    <xf numFmtId="0" fontId="78" fillId="65" borderId="0" xfId="0" applyFont="1" applyFill="1" applyAlignment="1">
      <alignment horizontal="center" vertical="top"/>
    </xf>
    <xf numFmtId="0" fontId="78" fillId="69" borderId="0" xfId="0" applyFont="1" applyFill="1" applyAlignment="1">
      <alignment horizontal="center" vertical="top"/>
    </xf>
    <xf numFmtId="0" fontId="78" fillId="67" borderId="0" xfId="0" applyFont="1" applyFill="1" applyAlignment="1">
      <alignment horizontal="center" vertical="top"/>
    </xf>
    <xf numFmtId="0" fontId="79" fillId="67" borderId="0" xfId="0" applyFont="1" applyFill="1" applyAlignment="1">
      <alignment horizontal="center" vertical="top"/>
    </xf>
    <xf numFmtId="0" fontId="79" fillId="65"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8" borderId="0" xfId="0" applyFont="1" applyFill="1" applyAlignment="1">
      <alignment horizontal="center" vertical="top"/>
    </xf>
    <xf numFmtId="0" fontId="82" fillId="65" borderId="0" xfId="0" applyFont="1" applyFill="1" applyAlignment="1">
      <alignment horizontal="center" vertical="top"/>
    </xf>
    <xf numFmtId="0" fontId="83" fillId="65" borderId="0" xfId="0" applyFont="1" applyFill="1" applyAlignment="1">
      <alignment horizontal="center" vertical="top"/>
    </xf>
    <xf numFmtId="0" fontId="84"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4"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4"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4" fillId="65" borderId="9" xfId="0" applyFont="1" applyFill="1" applyBorder="1" applyAlignment="1">
      <alignment horizontal="center" vertical="top"/>
    </xf>
    <xf numFmtId="0" fontId="33" fillId="25" borderId="9" xfId="0" applyFont="1" applyFill="1" applyBorder="1" applyAlignment="1">
      <alignment vertical="top" wrapText="1"/>
    </xf>
    <xf numFmtId="0" fontId="84"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4"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4" fillId="65" borderId="12" xfId="0" applyFont="1" applyFill="1" applyBorder="1" applyAlignment="1">
      <alignment horizontal="center" vertical="top"/>
    </xf>
    <xf numFmtId="0" fontId="44" fillId="36" borderId="12" xfId="0" applyFont="1" applyFill="1" applyBorder="1" applyAlignment="1">
      <alignment vertical="top" wrapText="1"/>
    </xf>
    <xf numFmtId="0" fontId="44" fillId="38" borderId="12" xfId="0" applyFont="1" applyFill="1" applyBorder="1" applyAlignment="1">
      <alignment vertical="top" wrapText="1"/>
    </xf>
    <xf numFmtId="0" fontId="48" fillId="40" borderId="13" xfId="0" applyFont="1" applyFill="1" applyBorder="1" applyAlignment="1">
      <alignment vertical="top" wrapText="1"/>
    </xf>
    <xf numFmtId="0" fontId="84" fillId="65" borderId="13" xfId="0" applyFont="1" applyFill="1" applyBorder="1" applyAlignment="1">
      <alignment horizontal="center" vertical="top"/>
    </xf>
    <xf numFmtId="0" fontId="48" fillId="42" borderId="13" xfId="0" applyFont="1" applyFill="1" applyBorder="1" applyAlignment="1">
      <alignment vertical="top" wrapText="1"/>
    </xf>
    <xf numFmtId="0" fontId="84" fillId="65" borderId="14" xfId="0" applyFont="1" applyFill="1" applyBorder="1" applyAlignment="1">
      <alignment horizontal="center" vertical="top"/>
    </xf>
    <xf numFmtId="0" fontId="52" fillId="45" borderId="14" xfId="0" applyFont="1" applyFill="1" applyBorder="1" applyAlignment="1">
      <alignment vertical="top" wrapText="1"/>
    </xf>
    <xf numFmtId="0" fontId="52" fillId="47" borderId="14" xfId="0" applyFont="1" applyFill="1" applyBorder="1" applyAlignment="1">
      <alignment vertical="top" wrapText="1"/>
    </xf>
    <xf numFmtId="0" fontId="56" fillId="51" borderId="15" xfId="0" applyFont="1" applyFill="1" applyBorder="1" applyAlignment="1">
      <alignment vertical="top" wrapText="1"/>
    </xf>
    <xf numFmtId="0" fontId="84" fillId="65" borderId="16" xfId="0" applyFont="1" applyFill="1" applyBorder="1" applyAlignment="1">
      <alignment horizontal="center" vertical="top"/>
    </xf>
    <xf numFmtId="0" fontId="60" fillId="54" borderId="16" xfId="0" applyFont="1" applyFill="1" applyBorder="1" applyAlignment="1">
      <alignment vertical="top" wrapText="1"/>
    </xf>
    <xf numFmtId="0" fontId="64" fillId="59" borderId="17" xfId="0" applyFont="1" applyFill="1" applyBorder="1" applyAlignment="1">
      <alignment vertical="top" wrapText="1"/>
    </xf>
    <xf numFmtId="0" fontId="84" fillId="65" borderId="17" xfId="0" applyFont="1" applyFill="1" applyBorder="1" applyAlignment="1">
      <alignment horizontal="center" vertical="top"/>
    </xf>
    <xf numFmtId="0" fontId="64" fillId="61" borderId="17" xfId="0" applyFont="1" applyFill="1" applyBorder="1" applyAlignment="1">
      <alignment vertical="top" wrapText="1"/>
    </xf>
    <xf numFmtId="0" fontId="84" fillId="65" borderId="18" xfId="0" applyFont="1" applyFill="1" applyBorder="1" applyAlignment="1">
      <alignment horizontal="center" vertical="top"/>
    </xf>
    <xf numFmtId="0" fontId="68" fillId="64" borderId="18" xfId="0" applyFont="1" applyFill="1" applyBorder="1" applyAlignment="1">
      <alignment vertical="top" wrapText="1"/>
    </xf>
    <xf numFmtId="0" fontId="68" fillId="66" borderId="18" xfId="0" applyFont="1" applyFill="1" applyBorder="1" applyAlignment="1">
      <alignment vertical="top" wrapText="1"/>
    </xf>
    <xf numFmtId="0" fontId="84" fillId="65" borderId="0" xfId="0" applyFont="1" applyFill="1" applyAlignment="1">
      <alignment horizontal="center" vertical="top"/>
    </xf>
    <xf numFmtId="0" fontId="85" fillId="0" borderId="0" xfId="0" applyFont="1"/>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3" fillId="3" borderId="0" xfId="0" applyFont="1" applyFill="1" applyAlignment="1">
      <alignment horizontal="left" vertical="center" indent="1"/>
    </xf>
    <xf numFmtId="0" fontId="0" fillId="0" borderId="0" xfId="0" applyAlignment="1">
      <alignment wrapText="1"/>
    </xf>
    <xf numFmtId="0" fontId="86" fillId="65" borderId="0" xfId="0" applyFont="1" applyFill="1" applyAlignment="1">
      <alignment horizontal="center" vertical="top"/>
    </xf>
    <xf numFmtId="0" fontId="87" fillId="65" borderId="0" xfId="0" applyFont="1" applyFill="1" applyAlignment="1">
      <alignment horizontal="center" vertical="top"/>
    </xf>
    <xf numFmtId="0" fontId="88" fillId="65" borderId="0" xfId="0" applyFont="1" applyFill="1" applyAlignment="1">
      <alignment horizontal="center" vertical="top"/>
    </xf>
    <xf numFmtId="0" fontId="89" fillId="65" borderId="0" xfId="0" applyFont="1" applyFill="1" applyAlignment="1">
      <alignment horizontal="center" vertical="top"/>
    </xf>
    <xf numFmtId="0" fontId="89" fillId="76" borderId="0" xfId="0" applyFont="1" applyFill="1" applyAlignment="1">
      <alignment horizontal="center" vertical="top"/>
    </xf>
    <xf numFmtId="0" fontId="89" fillId="77" borderId="0" xfId="0" applyFont="1" applyFill="1" applyAlignment="1">
      <alignment horizontal="center" vertical="top"/>
    </xf>
    <xf numFmtId="0" fontId="89" fillId="78" borderId="0" xfId="0" applyFont="1" applyFill="1" applyAlignment="1">
      <alignment horizontal="center" vertical="top"/>
    </xf>
    <xf numFmtId="0" fontId="11" fillId="2" borderId="18" xfId="0" applyFont="1" applyFill="1" applyBorder="1" applyAlignment="1">
      <alignment horizontal="left" vertical="center"/>
    </xf>
    <xf numFmtId="0" fontId="0" fillId="0" borderId="2" xfId="0" applyBorder="1"/>
    <xf numFmtId="0" fontId="0" fillId="0" borderId="3" xfId="0" applyBorder="1"/>
    <xf numFmtId="0" fontId="2" fillId="3" borderId="18" xfId="0" applyFont="1" applyFill="1" applyBorder="1" applyAlignment="1">
      <alignment horizontal="left" vertical="center"/>
    </xf>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74" fillId="0" borderId="0" xfId="0" applyFont="1" applyAlignment="1">
      <alignment vertical="top" wrapText="1"/>
    </xf>
    <xf numFmtId="0" fontId="70"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88"/>
  <sheetViews>
    <sheetView workbookViewId="0">
      <pane xSplit="7" ySplit="4" topLeftCell="H199" activePane="bottomRight" state="frozen"/>
      <selection pane="topRight"/>
      <selection pane="bottomLeft"/>
      <selection pane="bottomRight" activeCell="I154" sqref="I154"/>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89" t="s">
        <v>236</v>
      </c>
      <c r="B1" s="286"/>
      <c r="C1" s="286"/>
      <c r="D1" s="286"/>
      <c r="E1" s="286"/>
      <c r="F1" s="286"/>
      <c r="G1" s="286"/>
      <c r="H1" s="286"/>
      <c r="I1" s="286"/>
      <c r="J1" s="286"/>
      <c r="K1" s="286"/>
      <c r="L1" s="286"/>
      <c r="M1" s="286"/>
      <c r="N1" s="286"/>
      <c r="O1" s="286"/>
      <c r="P1" s="286"/>
      <c r="Q1" s="287"/>
    </row>
    <row r="2" spans="1:18" ht="18" customHeight="1" x14ac:dyDescent="0.55000000000000004">
      <c r="A2" s="288" t="s">
        <v>237</v>
      </c>
      <c r="B2" s="286"/>
      <c r="C2" s="286"/>
      <c r="D2" s="286"/>
      <c r="E2" s="286"/>
      <c r="F2" s="286"/>
      <c r="G2" s="286"/>
      <c r="H2" s="286"/>
      <c r="I2" s="286"/>
      <c r="J2" s="286"/>
      <c r="K2" s="286"/>
      <c r="L2" s="286"/>
      <c r="M2" s="286"/>
      <c r="N2" s="286"/>
      <c r="O2" s="286"/>
      <c r="P2" s="286"/>
      <c r="Q2" s="287"/>
    </row>
    <row r="4" spans="1:18" x14ac:dyDescent="0.55000000000000004">
      <c r="A4" s="1" t="s">
        <v>238</v>
      </c>
      <c r="B4" s="1" t="s">
        <v>239</v>
      </c>
      <c r="C4" s="1" t="s">
        <v>4</v>
      </c>
      <c r="D4" s="1" t="s">
        <v>240</v>
      </c>
      <c r="E4" s="1" t="s">
        <v>241</v>
      </c>
      <c r="F4" s="1" t="s">
        <v>242</v>
      </c>
      <c r="G4" s="1" t="s">
        <v>243</v>
      </c>
      <c r="H4" s="2" t="s">
        <v>244</v>
      </c>
      <c r="I4" s="2" t="s">
        <v>245</v>
      </c>
      <c r="J4" s="2" t="s">
        <v>246</v>
      </c>
      <c r="K4" s="2" t="s">
        <v>247</v>
      </c>
      <c r="L4" s="2" t="s">
        <v>248</v>
      </c>
      <c r="M4" s="2" t="s">
        <v>249</v>
      </c>
      <c r="N4" s="2" t="s">
        <v>250</v>
      </c>
      <c r="O4" s="2" t="s">
        <v>251</v>
      </c>
      <c r="P4" s="2" t="s">
        <v>252</v>
      </c>
      <c r="Q4" s="2" t="s">
        <v>253</v>
      </c>
      <c r="R4" s="40" t="s">
        <v>254</v>
      </c>
    </row>
    <row r="5" spans="1:18" x14ac:dyDescent="0.55000000000000004">
      <c r="A5" s="3" t="s">
        <v>255</v>
      </c>
      <c r="B5" s="4" t="s">
        <v>256</v>
      </c>
      <c r="C5" s="237" t="s">
        <v>257</v>
      </c>
      <c r="D5" s="6" t="s">
        <v>258</v>
      </c>
      <c r="E5" s="7">
        <v>46231</v>
      </c>
      <c r="F5" s="7">
        <v>46231</v>
      </c>
      <c r="G5" s="238" t="s">
        <v>259</v>
      </c>
      <c r="H5" s="8"/>
      <c r="I5" s="9"/>
      <c r="J5" s="9"/>
      <c r="K5" s="9"/>
      <c r="L5" s="9"/>
      <c r="M5" s="9"/>
      <c r="N5" s="9"/>
      <c r="O5" s="9"/>
      <c r="P5" s="9"/>
      <c r="Q5" s="9"/>
      <c r="R5" t="str">
        <f t="shared" ref="R5:R68" si="0">IF($A5&lt;&gt;"",$A5,R4)</f>
        <v>E1 Foundation</v>
      </c>
    </row>
    <row r="6" spans="1:18" x14ac:dyDescent="0.55000000000000004">
      <c r="A6" s="10"/>
      <c r="B6" s="10" t="s">
        <v>260</v>
      </c>
      <c r="C6" s="237" t="s">
        <v>257</v>
      </c>
      <c r="D6" s="11" t="s">
        <v>258</v>
      </c>
      <c r="E6" s="12">
        <v>46231</v>
      </c>
      <c r="F6" s="12">
        <v>46232</v>
      </c>
      <c r="G6" s="239" t="s">
        <v>261</v>
      </c>
      <c r="H6" s="8"/>
      <c r="I6" s="13"/>
      <c r="J6" s="13"/>
      <c r="K6" s="13"/>
      <c r="L6" s="13"/>
      <c r="M6" s="13"/>
      <c r="N6" s="13"/>
      <c r="O6" s="13"/>
      <c r="P6" s="13"/>
      <c r="Q6" s="13"/>
      <c r="R6" t="str">
        <f t="shared" si="0"/>
        <v>E1 Foundation</v>
      </c>
    </row>
    <row r="7" spans="1:18" x14ac:dyDescent="0.55000000000000004">
      <c r="A7" s="4"/>
      <c r="B7" s="4" t="s">
        <v>262</v>
      </c>
      <c r="C7" s="237" t="s">
        <v>257</v>
      </c>
      <c r="D7" s="6" t="s">
        <v>258</v>
      </c>
      <c r="E7" s="7">
        <v>46231</v>
      </c>
      <c r="F7" s="7">
        <v>46231</v>
      </c>
      <c r="G7" s="238" t="s">
        <v>263</v>
      </c>
      <c r="H7" s="8"/>
      <c r="I7" s="9"/>
      <c r="J7" s="9"/>
      <c r="K7" s="9"/>
      <c r="L7" s="9"/>
      <c r="M7" s="9"/>
      <c r="N7" s="9"/>
      <c r="O7" s="9"/>
      <c r="P7" s="9"/>
      <c r="Q7" s="9"/>
      <c r="R7" t="str">
        <f t="shared" si="0"/>
        <v>E1 Foundation</v>
      </c>
    </row>
    <row r="8" spans="1:18" x14ac:dyDescent="0.55000000000000004">
      <c r="A8" s="10"/>
      <c r="B8" s="10" t="s">
        <v>264</v>
      </c>
      <c r="C8" s="237" t="s">
        <v>257</v>
      </c>
      <c r="D8" s="11" t="s">
        <v>258</v>
      </c>
      <c r="E8" s="12">
        <v>46233</v>
      </c>
      <c r="F8" s="12">
        <v>46233</v>
      </c>
      <c r="G8" s="239" t="s">
        <v>265</v>
      </c>
      <c r="H8" s="8"/>
      <c r="I8" s="13"/>
      <c r="J8" s="13"/>
      <c r="K8" s="13"/>
      <c r="L8" s="13"/>
      <c r="M8" s="13"/>
      <c r="N8" s="13"/>
      <c r="O8" s="13"/>
      <c r="P8" s="13"/>
      <c r="Q8" s="13"/>
      <c r="R8" t="str">
        <f t="shared" si="0"/>
        <v>E1 Foundation</v>
      </c>
    </row>
    <row r="9" spans="1:18" x14ac:dyDescent="0.55000000000000004">
      <c r="A9" s="3" t="s">
        <v>266</v>
      </c>
      <c r="B9" s="4" t="s">
        <v>267</v>
      </c>
      <c r="C9" s="237" t="s">
        <v>257</v>
      </c>
      <c r="D9" s="6" t="s">
        <v>268</v>
      </c>
      <c r="E9" s="7">
        <v>46231</v>
      </c>
      <c r="F9" s="7">
        <v>46231</v>
      </c>
      <c r="G9" s="238" t="s">
        <v>269</v>
      </c>
      <c r="H9" s="8"/>
      <c r="I9" s="9"/>
      <c r="J9" s="9"/>
      <c r="K9" s="9"/>
      <c r="L9" s="9"/>
      <c r="M9" s="9"/>
      <c r="N9" s="9"/>
      <c r="O9" s="9"/>
      <c r="P9" s="9"/>
      <c r="Q9" s="9"/>
      <c r="R9" t="str">
        <f t="shared" si="0"/>
        <v>E2 Ingestion</v>
      </c>
    </row>
    <row r="10" spans="1:18" x14ac:dyDescent="0.55000000000000004">
      <c r="A10" s="10"/>
      <c r="B10" s="10" t="s">
        <v>270</v>
      </c>
      <c r="C10" s="237" t="s">
        <v>257</v>
      </c>
      <c r="D10" s="11" t="s">
        <v>268</v>
      </c>
      <c r="E10" s="12">
        <v>46232</v>
      </c>
      <c r="F10" s="12">
        <v>46232</v>
      </c>
      <c r="G10" s="239" t="s">
        <v>271</v>
      </c>
      <c r="H10" s="8"/>
      <c r="I10" s="13"/>
      <c r="J10" s="13"/>
      <c r="K10" s="13"/>
      <c r="L10" s="13"/>
      <c r="M10" s="13"/>
      <c r="N10" s="13"/>
      <c r="O10" s="13"/>
      <c r="P10" s="13"/>
      <c r="Q10" s="13"/>
      <c r="R10" t="str">
        <f t="shared" si="0"/>
        <v>E2 Ingestion</v>
      </c>
    </row>
    <row r="11" spans="1:18" x14ac:dyDescent="0.55000000000000004">
      <c r="A11" s="4"/>
      <c r="B11" s="4" t="s">
        <v>272</v>
      </c>
      <c r="C11" s="237" t="s">
        <v>257</v>
      </c>
      <c r="D11" s="6" t="s">
        <v>268</v>
      </c>
      <c r="E11" s="7">
        <v>46232</v>
      </c>
      <c r="F11" s="7">
        <v>46233</v>
      </c>
      <c r="G11" s="238" t="s">
        <v>273</v>
      </c>
      <c r="H11" s="8"/>
      <c r="I11" s="9"/>
      <c r="J11" s="9"/>
      <c r="K11" s="9"/>
      <c r="L11" s="9"/>
      <c r="M11" s="9"/>
      <c r="N11" s="9"/>
      <c r="O11" s="9"/>
      <c r="P11" s="9"/>
      <c r="Q11" s="9"/>
      <c r="R11" t="str">
        <f t="shared" si="0"/>
        <v>E2 Ingestion</v>
      </c>
    </row>
    <row r="12" spans="1:18" x14ac:dyDescent="0.55000000000000004">
      <c r="A12" s="10"/>
      <c r="B12" s="10" t="s">
        <v>274</v>
      </c>
      <c r="C12" s="237" t="s">
        <v>257</v>
      </c>
      <c r="D12" s="11" t="s">
        <v>268</v>
      </c>
      <c r="E12" s="12">
        <v>46233</v>
      </c>
      <c r="F12" s="12">
        <v>46234</v>
      </c>
      <c r="G12" s="239" t="s">
        <v>275</v>
      </c>
      <c r="H12" s="8"/>
      <c r="I12" s="13"/>
      <c r="J12" s="13"/>
      <c r="K12" s="13"/>
      <c r="L12" s="13"/>
      <c r="M12" s="13"/>
      <c r="N12" s="13"/>
      <c r="O12" s="13"/>
      <c r="P12" s="13"/>
      <c r="Q12" s="13"/>
      <c r="R12" t="str">
        <f t="shared" si="0"/>
        <v>E2 Ingestion</v>
      </c>
    </row>
    <row r="13" spans="1:18" x14ac:dyDescent="0.55000000000000004">
      <c r="A13" s="4"/>
      <c r="B13" s="4" t="s">
        <v>276</v>
      </c>
      <c r="C13" s="237" t="s">
        <v>257</v>
      </c>
      <c r="D13" s="6" t="s">
        <v>268</v>
      </c>
      <c r="E13" s="7">
        <v>46236</v>
      </c>
      <c r="F13" s="7">
        <v>46237</v>
      </c>
      <c r="G13" s="238" t="s">
        <v>277</v>
      </c>
      <c r="H13" s="8"/>
      <c r="I13" s="8"/>
      <c r="J13" s="9"/>
      <c r="K13" s="9"/>
      <c r="L13" s="9"/>
      <c r="M13" s="9"/>
      <c r="N13" s="9"/>
      <c r="O13" s="9"/>
      <c r="P13" s="9"/>
      <c r="Q13" s="9"/>
      <c r="R13" t="str">
        <f t="shared" si="0"/>
        <v>E2 Ingestion</v>
      </c>
    </row>
    <row r="14" spans="1:18" x14ac:dyDescent="0.55000000000000004">
      <c r="A14" s="14" t="s">
        <v>278</v>
      </c>
      <c r="B14" s="10" t="s">
        <v>279</v>
      </c>
      <c r="C14" s="237" t="s">
        <v>257</v>
      </c>
      <c r="D14" s="11" t="s">
        <v>280</v>
      </c>
      <c r="E14" s="12">
        <v>46231</v>
      </c>
      <c r="F14" s="12">
        <v>46232</v>
      </c>
      <c r="G14" s="239" t="s">
        <v>281</v>
      </c>
      <c r="H14" s="8"/>
      <c r="I14" s="13"/>
      <c r="J14" s="13"/>
      <c r="K14" s="13"/>
      <c r="L14" s="13"/>
      <c r="M14" s="13"/>
      <c r="N14" s="13"/>
      <c r="O14" s="13"/>
      <c r="P14" s="13"/>
      <c r="Q14" s="13"/>
      <c r="R14" t="str">
        <f t="shared" si="0"/>
        <v>E3 ML NBA</v>
      </c>
    </row>
    <row r="15" spans="1:18" x14ac:dyDescent="0.55000000000000004">
      <c r="A15" s="4"/>
      <c r="B15" s="4" t="s">
        <v>282</v>
      </c>
      <c r="C15" s="237" t="s">
        <v>257</v>
      </c>
      <c r="D15" s="6" t="s">
        <v>280</v>
      </c>
      <c r="E15" s="7">
        <v>46232</v>
      </c>
      <c r="F15" s="7">
        <v>46232</v>
      </c>
      <c r="G15" s="238" t="s">
        <v>283</v>
      </c>
      <c r="H15" s="8"/>
      <c r="I15" s="9"/>
      <c r="J15" s="9"/>
      <c r="K15" s="9"/>
      <c r="L15" s="9"/>
      <c r="M15" s="9"/>
      <c r="N15" s="9"/>
      <c r="O15" s="9"/>
      <c r="P15" s="9"/>
      <c r="Q15" s="9"/>
      <c r="R15" t="str">
        <f t="shared" si="0"/>
        <v>E3 ML NBA</v>
      </c>
    </row>
    <row r="16" spans="1:18" x14ac:dyDescent="0.55000000000000004">
      <c r="A16" s="10"/>
      <c r="B16" s="10" t="s">
        <v>284</v>
      </c>
      <c r="C16" s="237" t="s">
        <v>257</v>
      </c>
      <c r="D16" s="11" t="s">
        <v>280</v>
      </c>
      <c r="E16" s="12">
        <v>46232</v>
      </c>
      <c r="F16" s="12">
        <v>46233</v>
      </c>
      <c r="G16" s="239" t="s">
        <v>285</v>
      </c>
      <c r="H16" s="8"/>
      <c r="I16" s="13"/>
      <c r="J16" s="13"/>
      <c r="K16" s="13"/>
      <c r="L16" s="13"/>
      <c r="M16" s="13"/>
      <c r="N16" s="13"/>
      <c r="O16" s="13"/>
      <c r="P16" s="13"/>
      <c r="Q16" s="13"/>
      <c r="R16" t="str">
        <f t="shared" si="0"/>
        <v>E3 ML NBA</v>
      </c>
    </row>
    <row r="17" spans="1:18" x14ac:dyDescent="0.55000000000000004">
      <c r="A17" s="3" t="s">
        <v>286</v>
      </c>
      <c r="B17" s="4" t="s">
        <v>287</v>
      </c>
      <c r="C17" s="237" t="s">
        <v>257</v>
      </c>
      <c r="D17" s="6" t="s">
        <v>280</v>
      </c>
      <c r="E17" s="7">
        <v>46232</v>
      </c>
      <c r="F17" s="7">
        <v>46233</v>
      </c>
      <c r="G17" s="238" t="s">
        <v>288</v>
      </c>
      <c r="H17" s="8"/>
      <c r="I17" s="9"/>
      <c r="J17" s="9"/>
      <c r="K17" s="9"/>
      <c r="L17" s="9"/>
      <c r="M17" s="9"/>
      <c r="N17" s="9"/>
      <c r="O17" s="9"/>
      <c r="P17" s="9"/>
      <c r="Q17" s="9"/>
      <c r="R17" t="str">
        <f t="shared" si="0"/>
        <v>E4 ML Football</v>
      </c>
    </row>
    <row r="18" spans="1:18" x14ac:dyDescent="0.55000000000000004">
      <c r="A18" s="10"/>
      <c r="B18" s="10" t="s">
        <v>289</v>
      </c>
      <c r="C18" s="237" t="s">
        <v>257</v>
      </c>
      <c r="D18" s="11" t="s">
        <v>280</v>
      </c>
      <c r="E18" s="12">
        <v>46233</v>
      </c>
      <c r="F18" s="12">
        <v>46233</v>
      </c>
      <c r="G18" s="239" t="s">
        <v>290</v>
      </c>
      <c r="H18" s="8"/>
      <c r="I18" s="13"/>
      <c r="J18" s="13"/>
      <c r="K18" s="13"/>
      <c r="L18" s="13"/>
      <c r="M18" s="13"/>
      <c r="N18" s="13"/>
      <c r="O18" s="13"/>
      <c r="P18" s="13"/>
      <c r="Q18" s="13"/>
      <c r="R18" t="str">
        <f t="shared" si="0"/>
        <v>E4 ML Football</v>
      </c>
    </row>
    <row r="19" spans="1:18" x14ac:dyDescent="0.55000000000000004">
      <c r="A19" s="4"/>
      <c r="B19" s="4" t="s">
        <v>291</v>
      </c>
      <c r="C19" s="237" t="s">
        <v>257</v>
      </c>
      <c r="D19" s="6" t="s">
        <v>280</v>
      </c>
      <c r="E19" s="7">
        <v>46233</v>
      </c>
      <c r="F19" s="7">
        <v>46233</v>
      </c>
      <c r="G19" s="238" t="s">
        <v>292</v>
      </c>
      <c r="H19" s="8"/>
      <c r="I19" s="9"/>
      <c r="J19" s="9"/>
      <c r="K19" s="9"/>
      <c r="L19" s="9"/>
      <c r="M19" s="9"/>
      <c r="N19" s="9"/>
      <c r="O19" s="9"/>
      <c r="P19" s="9"/>
      <c r="Q19" s="9"/>
      <c r="R19" t="str">
        <f t="shared" si="0"/>
        <v>E4 ML Football</v>
      </c>
    </row>
    <row r="20" spans="1:18" x14ac:dyDescent="0.55000000000000004">
      <c r="A20" s="10"/>
      <c r="B20" s="10" t="s">
        <v>293</v>
      </c>
      <c r="C20" s="237" t="s">
        <v>257</v>
      </c>
      <c r="D20" s="11" t="s">
        <v>280</v>
      </c>
      <c r="E20" s="12">
        <v>46236</v>
      </c>
      <c r="F20" s="12">
        <v>46236</v>
      </c>
      <c r="G20" s="239" t="s">
        <v>294</v>
      </c>
      <c r="H20" s="8"/>
      <c r="I20" s="13"/>
      <c r="J20" s="13"/>
      <c r="K20" s="13"/>
      <c r="L20" s="13"/>
      <c r="M20" s="13"/>
      <c r="N20" s="13"/>
      <c r="O20" s="13"/>
      <c r="P20" s="13"/>
      <c r="Q20" s="13"/>
      <c r="R20" t="str">
        <f t="shared" si="0"/>
        <v>E4 ML Football</v>
      </c>
    </row>
    <row r="21" spans="1:18" x14ac:dyDescent="0.55000000000000004">
      <c r="A21" s="4"/>
      <c r="B21" s="4" t="s">
        <v>295</v>
      </c>
      <c r="C21" s="237" t="s">
        <v>257</v>
      </c>
      <c r="D21" s="6" t="s">
        <v>280</v>
      </c>
      <c r="E21" s="7">
        <v>46234</v>
      </c>
      <c r="F21" s="7">
        <v>46234</v>
      </c>
      <c r="G21" s="238" t="s">
        <v>296</v>
      </c>
      <c r="H21" s="8"/>
      <c r="I21" s="9"/>
      <c r="J21" s="9"/>
      <c r="K21" s="9"/>
      <c r="L21" s="9"/>
      <c r="M21" s="9"/>
      <c r="N21" s="9"/>
      <c r="O21" s="9"/>
      <c r="P21" s="9"/>
      <c r="Q21" s="9"/>
      <c r="R21" t="str">
        <f t="shared" si="0"/>
        <v>E4 ML Football</v>
      </c>
    </row>
    <row r="22" spans="1:18" x14ac:dyDescent="0.55000000000000004">
      <c r="A22" s="14" t="s">
        <v>297</v>
      </c>
      <c r="B22" s="10" t="s">
        <v>298</v>
      </c>
      <c r="C22" s="237" t="s">
        <v>257</v>
      </c>
      <c r="D22" s="11" t="s">
        <v>280</v>
      </c>
      <c r="E22" s="12">
        <v>46235</v>
      </c>
      <c r="F22" s="12">
        <v>46235</v>
      </c>
      <c r="G22" s="239" t="s">
        <v>299</v>
      </c>
      <c r="H22" s="8"/>
      <c r="I22" s="13"/>
      <c r="J22" s="13"/>
      <c r="K22" s="13"/>
      <c r="L22" s="13"/>
      <c r="M22" s="13"/>
      <c r="N22" s="13"/>
      <c r="O22" s="13"/>
      <c r="P22" s="13"/>
      <c r="Q22" s="13"/>
      <c r="R22" t="str">
        <f t="shared" si="0"/>
        <v>E5 ML Tennis</v>
      </c>
    </row>
    <row r="23" spans="1:18" x14ac:dyDescent="0.55000000000000004">
      <c r="A23" s="4"/>
      <c r="B23" s="4" t="s">
        <v>300</v>
      </c>
      <c r="C23" s="237" t="s">
        <v>257</v>
      </c>
      <c r="D23" s="6" t="s">
        <v>280</v>
      </c>
      <c r="E23" s="7">
        <v>46235</v>
      </c>
      <c r="F23" s="7">
        <v>46235</v>
      </c>
      <c r="G23" s="238" t="s">
        <v>301</v>
      </c>
      <c r="H23" s="8"/>
      <c r="I23" s="9"/>
      <c r="J23" s="9"/>
      <c r="K23" s="9"/>
      <c r="L23" s="9"/>
      <c r="M23" s="9"/>
      <c r="N23" s="9"/>
      <c r="O23" s="9"/>
      <c r="P23" s="9"/>
      <c r="Q23" s="9"/>
      <c r="R23" t="str">
        <f t="shared" si="0"/>
        <v>E5 ML Tennis</v>
      </c>
    </row>
    <row r="24" spans="1:18" x14ac:dyDescent="0.55000000000000004">
      <c r="A24" s="10"/>
      <c r="B24" s="10" t="s">
        <v>302</v>
      </c>
      <c r="C24" s="237" t="s">
        <v>257</v>
      </c>
      <c r="D24" s="11" t="s">
        <v>280</v>
      </c>
      <c r="E24" s="12">
        <v>46235</v>
      </c>
      <c r="F24" s="12">
        <v>46235</v>
      </c>
      <c r="G24" s="239" t="s">
        <v>303</v>
      </c>
      <c r="H24" s="8"/>
      <c r="I24" s="13"/>
      <c r="J24" s="13"/>
      <c r="K24" s="13"/>
      <c r="L24" s="13"/>
      <c r="M24" s="13"/>
      <c r="N24" s="13"/>
      <c r="O24" s="13"/>
      <c r="P24" s="13"/>
      <c r="Q24" s="13"/>
      <c r="R24" t="str">
        <f t="shared" si="0"/>
        <v>E5 ML Tennis</v>
      </c>
    </row>
    <row r="25" spans="1:18" x14ac:dyDescent="0.55000000000000004">
      <c r="A25" s="4"/>
      <c r="B25" s="4" t="s">
        <v>304</v>
      </c>
      <c r="C25" s="237" t="s">
        <v>257</v>
      </c>
      <c r="D25" s="6" t="s">
        <v>280</v>
      </c>
      <c r="E25" s="7">
        <v>46236</v>
      </c>
      <c r="F25" s="7">
        <v>46236</v>
      </c>
      <c r="G25" s="238" t="s">
        <v>305</v>
      </c>
      <c r="H25" s="8"/>
      <c r="I25" s="9"/>
      <c r="J25" s="9"/>
      <c r="K25" s="9"/>
      <c r="L25" s="9"/>
      <c r="M25" s="9"/>
      <c r="N25" s="9"/>
      <c r="O25" s="9"/>
      <c r="P25" s="9"/>
      <c r="Q25" s="9"/>
      <c r="R25" t="str">
        <f t="shared" si="0"/>
        <v>E5 ML Tennis</v>
      </c>
    </row>
    <row r="26" spans="1:18" x14ac:dyDescent="0.55000000000000004">
      <c r="A26" s="10"/>
      <c r="B26" s="10" t="s">
        <v>306</v>
      </c>
      <c r="C26" s="237" t="s">
        <v>257</v>
      </c>
      <c r="D26" s="11" t="s">
        <v>268</v>
      </c>
      <c r="E26" s="12">
        <v>46237</v>
      </c>
      <c r="F26" s="12">
        <v>46237</v>
      </c>
      <c r="G26" s="239" t="s">
        <v>307</v>
      </c>
      <c r="H26" s="13"/>
      <c r="I26" s="8"/>
      <c r="J26" s="13"/>
      <c r="K26" s="13"/>
      <c r="L26" s="13"/>
      <c r="M26" s="13"/>
      <c r="N26" s="13"/>
      <c r="O26" s="13"/>
      <c r="P26" s="13"/>
      <c r="Q26" s="13"/>
      <c r="R26" t="str">
        <f t="shared" si="0"/>
        <v>E5 ML Tennis</v>
      </c>
    </row>
    <row r="27" spans="1:18" x14ac:dyDescent="0.55000000000000004">
      <c r="A27" s="3" t="s">
        <v>308</v>
      </c>
      <c r="B27" s="4" t="s">
        <v>309</v>
      </c>
      <c r="C27" s="237" t="s">
        <v>257</v>
      </c>
      <c r="D27" s="6" t="s">
        <v>310</v>
      </c>
      <c r="E27" s="7">
        <v>46232</v>
      </c>
      <c r="F27" s="7">
        <v>46233</v>
      </c>
      <c r="G27" s="238" t="s">
        <v>311</v>
      </c>
      <c r="H27" s="8"/>
      <c r="I27" s="9"/>
      <c r="J27" s="9"/>
      <c r="K27" s="9"/>
      <c r="L27" s="9"/>
      <c r="M27" s="9"/>
      <c r="N27" s="9"/>
      <c r="O27" s="9"/>
      <c r="P27" s="9"/>
      <c r="Q27" s="9"/>
      <c r="R27" t="str">
        <f t="shared" si="0"/>
        <v>E6 Picks</v>
      </c>
    </row>
    <row r="28" spans="1:18" x14ac:dyDescent="0.55000000000000004">
      <c r="A28" s="10"/>
      <c r="B28" s="10" t="s">
        <v>312</v>
      </c>
      <c r="C28" s="237" t="s">
        <v>257</v>
      </c>
      <c r="D28" s="11" t="s">
        <v>310</v>
      </c>
      <c r="E28" s="12">
        <v>46234</v>
      </c>
      <c r="F28" s="12">
        <v>46235</v>
      </c>
      <c r="G28" s="239" t="s">
        <v>313</v>
      </c>
      <c r="H28" s="8"/>
      <c r="I28" s="13"/>
      <c r="J28" s="13"/>
      <c r="K28" s="13"/>
      <c r="L28" s="13"/>
      <c r="M28" s="13"/>
      <c r="N28" s="13"/>
      <c r="O28" s="13"/>
      <c r="P28" s="13"/>
      <c r="Q28" s="13"/>
      <c r="R28" t="str">
        <f t="shared" si="0"/>
        <v>E6 Picks</v>
      </c>
    </row>
    <row r="29" spans="1:18" x14ac:dyDescent="0.55000000000000004">
      <c r="A29" s="4"/>
      <c r="B29" s="4" t="s">
        <v>314</v>
      </c>
      <c r="C29" s="237" t="s">
        <v>257</v>
      </c>
      <c r="D29" s="6" t="s">
        <v>310</v>
      </c>
      <c r="E29" s="7">
        <v>46236</v>
      </c>
      <c r="F29" s="7">
        <v>46236</v>
      </c>
      <c r="G29" s="238" t="s">
        <v>315</v>
      </c>
      <c r="H29" s="8"/>
      <c r="I29" s="9"/>
      <c r="J29" s="9"/>
      <c r="K29" s="9"/>
      <c r="L29" s="9"/>
      <c r="M29" s="9"/>
      <c r="N29" s="9"/>
      <c r="O29" s="9"/>
      <c r="P29" s="9"/>
      <c r="Q29" s="9"/>
      <c r="R29" t="str">
        <f t="shared" si="0"/>
        <v>E6 Picks</v>
      </c>
    </row>
    <row r="30" spans="1:18" x14ac:dyDescent="0.55000000000000004">
      <c r="A30" s="10"/>
      <c r="B30" s="10" t="s">
        <v>316</v>
      </c>
      <c r="C30" s="237" t="s">
        <v>257</v>
      </c>
      <c r="D30" s="11" t="s">
        <v>310</v>
      </c>
      <c r="E30" s="12">
        <v>46236</v>
      </c>
      <c r="F30" s="12">
        <v>46236</v>
      </c>
      <c r="G30" s="239" t="s">
        <v>317</v>
      </c>
      <c r="H30" s="8"/>
      <c r="I30" s="13"/>
      <c r="J30" s="13"/>
      <c r="K30" s="13"/>
      <c r="L30" s="13"/>
      <c r="M30" s="13"/>
      <c r="N30" s="13"/>
      <c r="O30" s="13"/>
      <c r="P30" s="13"/>
      <c r="Q30" s="13"/>
      <c r="R30" t="str">
        <f t="shared" si="0"/>
        <v>E6 Picks</v>
      </c>
    </row>
    <row r="31" spans="1:18" x14ac:dyDescent="0.55000000000000004">
      <c r="A31" s="3" t="s">
        <v>318</v>
      </c>
      <c r="B31" s="4" t="s">
        <v>319</v>
      </c>
      <c r="C31" s="237" t="s">
        <v>257</v>
      </c>
      <c r="D31" s="6" t="s">
        <v>320</v>
      </c>
      <c r="E31" s="7">
        <v>46233</v>
      </c>
      <c r="F31" s="7">
        <v>46234</v>
      </c>
      <c r="G31" s="238" t="s">
        <v>321</v>
      </c>
      <c r="H31" s="8"/>
      <c r="I31" s="9"/>
      <c r="J31" s="9"/>
      <c r="K31" s="9"/>
      <c r="L31" s="9"/>
      <c r="M31" s="9"/>
      <c r="N31" s="9"/>
      <c r="O31" s="9"/>
      <c r="P31" s="9"/>
      <c r="Q31" s="9"/>
      <c r="R31" t="str">
        <f t="shared" si="0"/>
        <v>E7 Mobile</v>
      </c>
    </row>
    <row r="32" spans="1:18" x14ac:dyDescent="0.55000000000000004">
      <c r="A32" s="10"/>
      <c r="B32" s="10" t="s">
        <v>322</v>
      </c>
      <c r="C32" s="237" t="s">
        <v>257</v>
      </c>
      <c r="D32" s="11" t="s">
        <v>320</v>
      </c>
      <c r="E32" s="12">
        <v>46234</v>
      </c>
      <c r="F32" s="12">
        <v>46234</v>
      </c>
      <c r="G32" s="239" t="s">
        <v>323</v>
      </c>
      <c r="H32" s="8"/>
      <c r="I32" s="13"/>
      <c r="J32" s="13"/>
      <c r="K32" s="13"/>
      <c r="L32" s="13"/>
      <c r="M32" s="13"/>
      <c r="N32" s="13"/>
      <c r="O32" s="13"/>
      <c r="P32" s="13"/>
      <c r="Q32" s="13"/>
      <c r="R32" t="str">
        <f t="shared" si="0"/>
        <v>E7 Mobile</v>
      </c>
    </row>
    <row r="33" spans="1:18" x14ac:dyDescent="0.55000000000000004">
      <c r="A33" s="4"/>
      <c r="B33" s="4" t="s">
        <v>324</v>
      </c>
      <c r="C33" s="237" t="s">
        <v>257</v>
      </c>
      <c r="D33" s="6" t="s">
        <v>320</v>
      </c>
      <c r="E33" s="7">
        <v>46235</v>
      </c>
      <c r="F33" s="7">
        <v>46236</v>
      </c>
      <c r="G33" s="238" t="s">
        <v>325</v>
      </c>
      <c r="H33" s="8"/>
      <c r="I33" s="9"/>
      <c r="J33" s="9"/>
      <c r="K33" s="9"/>
      <c r="L33" s="9"/>
      <c r="M33" s="9"/>
      <c r="N33" s="9"/>
      <c r="O33" s="9"/>
      <c r="P33" s="9"/>
      <c r="Q33" s="9"/>
      <c r="R33" t="str">
        <f t="shared" si="0"/>
        <v>E7 Mobile</v>
      </c>
    </row>
    <row r="34" spans="1:18" x14ac:dyDescent="0.55000000000000004">
      <c r="A34" s="10"/>
      <c r="B34" s="10" t="s">
        <v>326</v>
      </c>
      <c r="C34" s="237" t="s">
        <v>257</v>
      </c>
      <c r="D34" s="11" t="s">
        <v>320</v>
      </c>
      <c r="E34" s="12">
        <v>46237</v>
      </c>
      <c r="F34" s="12">
        <v>46237</v>
      </c>
      <c r="G34" s="239" t="s">
        <v>327</v>
      </c>
      <c r="H34" s="13"/>
      <c r="I34" s="8"/>
      <c r="J34" s="13"/>
      <c r="K34" s="13"/>
      <c r="L34" s="13"/>
      <c r="M34" s="13"/>
      <c r="N34" s="13"/>
      <c r="O34" s="13"/>
      <c r="P34" s="13"/>
      <c r="Q34" s="13"/>
      <c r="R34" t="str">
        <f t="shared" si="0"/>
        <v>E7 Mobile</v>
      </c>
    </row>
    <row r="35" spans="1:18" x14ac:dyDescent="0.55000000000000004">
      <c r="A35" s="4"/>
      <c r="B35" s="4" t="s">
        <v>328</v>
      </c>
      <c r="C35" s="237" t="s">
        <v>257</v>
      </c>
      <c r="D35" s="6" t="s">
        <v>320</v>
      </c>
      <c r="E35" s="7">
        <v>46237</v>
      </c>
      <c r="F35" s="7">
        <v>46237</v>
      </c>
      <c r="G35" s="238" t="s">
        <v>329</v>
      </c>
      <c r="H35" s="9"/>
      <c r="I35" s="8"/>
      <c r="J35" s="9"/>
      <c r="K35" s="9"/>
      <c r="L35" s="9"/>
      <c r="M35" s="9"/>
      <c r="N35" s="9"/>
      <c r="O35" s="9"/>
      <c r="P35" s="9"/>
      <c r="Q35" s="9"/>
      <c r="R35" t="str">
        <f t="shared" si="0"/>
        <v>E7 Mobile</v>
      </c>
    </row>
    <row r="36" spans="1:18" x14ac:dyDescent="0.55000000000000004">
      <c r="A36" s="10"/>
      <c r="B36" s="10" t="s">
        <v>330</v>
      </c>
      <c r="C36" s="237" t="s">
        <v>257</v>
      </c>
      <c r="D36" s="11" t="s">
        <v>320</v>
      </c>
      <c r="E36" s="12">
        <v>46238</v>
      </c>
      <c r="F36" s="12">
        <v>46238</v>
      </c>
      <c r="G36" s="239" t="s">
        <v>331</v>
      </c>
      <c r="H36" s="13"/>
      <c r="I36" s="8"/>
      <c r="J36" s="13"/>
      <c r="K36" s="13"/>
      <c r="L36" s="13"/>
      <c r="M36" s="13"/>
      <c r="N36" s="13"/>
      <c r="O36" s="13"/>
      <c r="P36" s="13"/>
      <c r="Q36" s="13"/>
      <c r="R36" t="str">
        <f t="shared" si="0"/>
        <v>E7 Mobile</v>
      </c>
    </row>
    <row r="37" spans="1:18" x14ac:dyDescent="0.55000000000000004">
      <c r="A37" s="4"/>
      <c r="B37" s="4" t="s">
        <v>332</v>
      </c>
      <c r="C37" s="237" t="s">
        <v>257</v>
      </c>
      <c r="D37" s="6" t="s">
        <v>320</v>
      </c>
      <c r="E37" s="7">
        <v>46238</v>
      </c>
      <c r="F37" s="7">
        <v>46238</v>
      </c>
      <c r="G37" s="238" t="s">
        <v>333</v>
      </c>
      <c r="H37" s="9"/>
      <c r="I37" s="8"/>
      <c r="J37" s="9"/>
      <c r="K37" s="9"/>
      <c r="L37" s="9"/>
      <c r="M37" s="9"/>
      <c r="N37" s="9"/>
      <c r="O37" s="9"/>
      <c r="P37" s="9"/>
      <c r="Q37" s="9"/>
      <c r="R37" t="str">
        <f t="shared" si="0"/>
        <v>E7 Mobile</v>
      </c>
    </row>
    <row r="38" spans="1:18" x14ac:dyDescent="0.55000000000000004">
      <c r="A38" s="14" t="s">
        <v>334</v>
      </c>
      <c r="B38" s="10" t="s">
        <v>335</v>
      </c>
      <c r="C38" s="237" t="s">
        <v>257</v>
      </c>
      <c r="D38" s="11" t="s">
        <v>280</v>
      </c>
      <c r="E38" s="12">
        <v>46236</v>
      </c>
      <c r="F38" s="12">
        <v>46236</v>
      </c>
      <c r="G38" s="239" t="s">
        <v>336</v>
      </c>
      <c r="H38" s="8"/>
      <c r="I38" s="13"/>
      <c r="J38" s="13"/>
      <c r="K38" s="13"/>
      <c r="L38" s="13"/>
      <c r="M38" s="13"/>
      <c r="N38" s="13"/>
      <c r="O38" s="13"/>
      <c r="P38" s="13"/>
      <c r="Q38" s="13"/>
      <c r="R38" t="str">
        <f t="shared" si="0"/>
        <v>E8 Model Quality</v>
      </c>
    </row>
    <row r="39" spans="1:18" x14ac:dyDescent="0.55000000000000004">
      <c r="A39" s="4"/>
      <c r="B39" s="4" t="s">
        <v>337</v>
      </c>
      <c r="C39" s="237" t="s">
        <v>257</v>
      </c>
      <c r="D39" s="6" t="s">
        <v>280</v>
      </c>
      <c r="E39" s="7">
        <v>46236</v>
      </c>
      <c r="F39" s="7">
        <v>46236</v>
      </c>
      <c r="G39" s="238" t="s">
        <v>338</v>
      </c>
      <c r="H39" s="8"/>
      <c r="I39" s="9"/>
      <c r="J39" s="9"/>
      <c r="K39" s="9"/>
      <c r="L39" s="9"/>
      <c r="M39" s="9"/>
      <c r="N39" s="9"/>
      <c r="O39" s="9"/>
      <c r="P39" s="9"/>
      <c r="Q39" s="9"/>
      <c r="R39" t="str">
        <f t="shared" si="0"/>
        <v>E8 Model Quality</v>
      </c>
    </row>
    <row r="40" spans="1:18" x14ac:dyDescent="0.55000000000000004">
      <c r="A40" s="10"/>
      <c r="B40" s="10" t="s">
        <v>339</v>
      </c>
      <c r="C40" s="237" t="s">
        <v>257</v>
      </c>
      <c r="D40" s="11" t="s">
        <v>280</v>
      </c>
      <c r="E40" s="12">
        <v>46237</v>
      </c>
      <c r="F40" s="12">
        <v>46237</v>
      </c>
      <c r="G40" s="239" t="s">
        <v>340</v>
      </c>
      <c r="H40" s="13"/>
      <c r="I40" s="8"/>
      <c r="J40" s="13"/>
      <c r="K40" s="13"/>
      <c r="L40" s="13"/>
      <c r="M40" s="13"/>
      <c r="N40" s="13"/>
      <c r="O40" s="13"/>
      <c r="P40" s="13"/>
      <c r="Q40" s="13"/>
      <c r="R40" t="str">
        <f t="shared" si="0"/>
        <v>E8 Model Quality</v>
      </c>
    </row>
    <row r="41" spans="1:18" x14ac:dyDescent="0.55000000000000004">
      <c r="A41" s="4"/>
      <c r="B41" s="4" t="s">
        <v>341</v>
      </c>
      <c r="C41" s="237" t="s">
        <v>257</v>
      </c>
      <c r="D41" s="6" t="s">
        <v>280</v>
      </c>
      <c r="E41" s="7">
        <v>46237</v>
      </c>
      <c r="F41" s="7">
        <v>46238</v>
      </c>
      <c r="G41" s="238" t="s">
        <v>342</v>
      </c>
      <c r="H41" s="9"/>
      <c r="I41" s="16"/>
      <c r="J41" s="9"/>
      <c r="K41" s="9"/>
      <c r="L41" s="9"/>
      <c r="M41" s="9"/>
      <c r="N41" s="9"/>
      <c r="O41" s="9"/>
      <c r="P41" s="9"/>
      <c r="Q41" s="9"/>
      <c r="R41" t="str">
        <f t="shared" si="0"/>
        <v>E8 Model Quality</v>
      </c>
    </row>
    <row r="42" spans="1:18" x14ac:dyDescent="0.55000000000000004">
      <c r="A42" s="10"/>
      <c r="B42" s="10" t="s">
        <v>343</v>
      </c>
      <c r="C42" s="237" t="s">
        <v>257</v>
      </c>
      <c r="D42" s="11" t="s">
        <v>280</v>
      </c>
      <c r="E42" s="12">
        <v>46238</v>
      </c>
      <c r="F42" s="12">
        <v>46239</v>
      </c>
      <c r="G42" s="239" t="s">
        <v>344</v>
      </c>
      <c r="H42" s="13"/>
      <c r="I42" s="18"/>
      <c r="J42" s="13"/>
      <c r="K42" s="13"/>
      <c r="L42" s="13"/>
      <c r="M42" s="13"/>
      <c r="N42" s="13"/>
      <c r="O42" s="13"/>
      <c r="P42" s="13"/>
      <c r="Q42" s="13"/>
      <c r="R42" t="str">
        <f t="shared" si="0"/>
        <v>E8 Model Quality</v>
      </c>
    </row>
    <row r="43" spans="1:18" x14ac:dyDescent="0.55000000000000004">
      <c r="A43" s="4"/>
      <c r="B43" s="4" t="s">
        <v>345</v>
      </c>
      <c r="C43" s="237" t="s">
        <v>257</v>
      </c>
      <c r="D43" s="6" t="s">
        <v>280</v>
      </c>
      <c r="E43" s="7">
        <v>46239</v>
      </c>
      <c r="F43" s="7">
        <v>46241</v>
      </c>
      <c r="G43" s="238" t="s">
        <v>346</v>
      </c>
      <c r="H43" s="9"/>
      <c r="I43" s="18"/>
      <c r="J43" s="9"/>
      <c r="K43" s="9"/>
      <c r="L43" s="9"/>
      <c r="M43" s="9"/>
      <c r="N43" s="9"/>
      <c r="O43" s="9"/>
      <c r="P43" s="9"/>
      <c r="Q43" s="9"/>
      <c r="R43" t="str">
        <f t="shared" si="0"/>
        <v>E8 Model Quality</v>
      </c>
    </row>
    <row r="44" spans="1:18" x14ac:dyDescent="0.55000000000000004">
      <c r="A44" s="10"/>
      <c r="B44" s="10" t="s">
        <v>347</v>
      </c>
      <c r="C44" s="237" t="s">
        <v>257</v>
      </c>
      <c r="D44" s="11" t="s">
        <v>280</v>
      </c>
      <c r="E44" s="12">
        <v>46240</v>
      </c>
      <c r="F44" s="12">
        <v>46243</v>
      </c>
      <c r="G44" s="239" t="s">
        <v>348</v>
      </c>
      <c r="H44" s="13"/>
      <c r="I44" s="18"/>
      <c r="J44" s="13"/>
      <c r="K44" s="13"/>
      <c r="L44" s="13"/>
      <c r="M44" s="13"/>
      <c r="N44" s="13"/>
      <c r="O44" s="13"/>
      <c r="P44" s="13"/>
      <c r="Q44" s="13"/>
      <c r="R44" t="str">
        <f t="shared" si="0"/>
        <v>E8 Model Quality</v>
      </c>
    </row>
    <row r="45" spans="1:18" x14ac:dyDescent="0.55000000000000004">
      <c r="A45" s="4"/>
      <c r="B45" s="4" t="s">
        <v>349</v>
      </c>
      <c r="C45" s="237" t="s">
        <v>257</v>
      </c>
      <c r="D45" s="6" t="s">
        <v>280</v>
      </c>
      <c r="E45" s="7">
        <v>46241</v>
      </c>
      <c r="F45" s="7">
        <v>46244</v>
      </c>
      <c r="G45" s="238" t="s">
        <v>350</v>
      </c>
      <c r="H45" s="9"/>
      <c r="I45" s="18"/>
      <c r="J45" s="18"/>
      <c r="K45" s="9"/>
      <c r="L45" s="9"/>
      <c r="M45" s="9"/>
      <c r="N45" s="9"/>
      <c r="O45" s="9"/>
      <c r="P45" s="9"/>
      <c r="Q45" s="9"/>
      <c r="R45" t="str">
        <f t="shared" si="0"/>
        <v>E8 Model Quality</v>
      </c>
    </row>
    <row r="46" spans="1:18" x14ac:dyDescent="0.55000000000000004">
      <c r="A46" s="10"/>
      <c r="B46" s="10" t="s">
        <v>351</v>
      </c>
      <c r="C46" s="237" t="s">
        <v>257</v>
      </c>
      <c r="D46" s="11" t="s">
        <v>280</v>
      </c>
      <c r="E46" s="12">
        <v>46244</v>
      </c>
      <c r="F46" s="12">
        <v>46244</v>
      </c>
      <c r="G46" s="239" t="s">
        <v>352</v>
      </c>
      <c r="H46" s="13"/>
      <c r="I46" s="13"/>
      <c r="J46" s="20" t="s">
        <v>353</v>
      </c>
      <c r="K46" s="13"/>
      <c r="L46" s="13"/>
      <c r="M46" s="13"/>
      <c r="N46" s="13"/>
      <c r="O46" s="13"/>
      <c r="P46" s="13"/>
      <c r="Q46" s="13"/>
      <c r="R46" t="str">
        <f t="shared" si="0"/>
        <v>E8 Model Quality</v>
      </c>
    </row>
    <row r="47" spans="1:18" x14ac:dyDescent="0.55000000000000004">
      <c r="A47" s="4"/>
      <c r="B47" s="4" t="s">
        <v>354</v>
      </c>
      <c r="C47" s="237" t="s">
        <v>257</v>
      </c>
      <c r="D47" s="6" t="s">
        <v>280</v>
      </c>
      <c r="E47" s="7">
        <v>46237</v>
      </c>
      <c r="F47" s="7">
        <v>46238</v>
      </c>
      <c r="G47" s="238" t="s">
        <v>355</v>
      </c>
      <c r="H47" s="9"/>
      <c r="I47" s="8"/>
      <c r="J47" s="9"/>
      <c r="K47" s="9"/>
      <c r="L47" s="9"/>
      <c r="M47" s="9"/>
      <c r="N47" s="9"/>
      <c r="O47" s="9"/>
      <c r="P47" s="9"/>
      <c r="Q47" s="9"/>
      <c r="R47" t="str">
        <f t="shared" si="0"/>
        <v>E8 Model Quality</v>
      </c>
    </row>
    <row r="48" spans="1:18" x14ac:dyDescent="0.55000000000000004">
      <c r="A48" s="10"/>
      <c r="B48" s="10" t="s">
        <v>356</v>
      </c>
      <c r="C48" s="237" t="s">
        <v>257</v>
      </c>
      <c r="D48" s="11" t="s">
        <v>280</v>
      </c>
      <c r="E48" s="12">
        <v>46238</v>
      </c>
      <c r="F48" s="12">
        <v>46238</v>
      </c>
      <c r="G48" s="239" t="s">
        <v>357</v>
      </c>
      <c r="H48" s="13"/>
      <c r="I48" s="8"/>
      <c r="J48" s="13"/>
      <c r="K48" s="13"/>
      <c r="L48" s="13"/>
      <c r="M48" s="13"/>
      <c r="N48" s="13"/>
      <c r="O48" s="13"/>
      <c r="P48" s="13"/>
      <c r="Q48" s="13"/>
      <c r="R48" t="str">
        <f t="shared" si="0"/>
        <v>E8 Model Quality</v>
      </c>
    </row>
    <row r="49" spans="1:18" x14ac:dyDescent="0.55000000000000004">
      <c r="A49" s="4"/>
      <c r="B49" s="4" t="s">
        <v>358</v>
      </c>
      <c r="C49" s="237" t="s">
        <v>257</v>
      </c>
      <c r="D49" s="6" t="s">
        <v>280</v>
      </c>
      <c r="E49" s="7">
        <v>46238</v>
      </c>
      <c r="F49" s="7">
        <v>46238</v>
      </c>
      <c r="G49" s="238" t="s">
        <v>359</v>
      </c>
      <c r="H49" s="9"/>
      <c r="I49" s="8"/>
      <c r="J49" s="9"/>
      <c r="K49" s="9"/>
      <c r="L49" s="9"/>
      <c r="M49" s="9"/>
      <c r="N49" s="9"/>
      <c r="O49" s="9"/>
      <c r="P49" s="9"/>
      <c r="Q49" s="9"/>
      <c r="R49" t="str">
        <f t="shared" si="0"/>
        <v>E8 Model Quality</v>
      </c>
    </row>
    <row r="50" spans="1:18" x14ac:dyDescent="0.55000000000000004">
      <c r="A50" s="10"/>
      <c r="B50" s="10" t="s">
        <v>360</v>
      </c>
      <c r="C50" s="237" t="s">
        <v>257</v>
      </c>
      <c r="D50" s="11" t="s">
        <v>280</v>
      </c>
      <c r="E50" s="12">
        <v>46238</v>
      </c>
      <c r="F50" s="12">
        <v>46238</v>
      </c>
      <c r="G50" s="239" t="s">
        <v>361</v>
      </c>
      <c r="H50" s="13"/>
      <c r="I50" s="8"/>
      <c r="J50" s="13"/>
      <c r="K50" s="13"/>
      <c r="L50" s="13"/>
      <c r="M50" s="13"/>
      <c r="N50" s="13"/>
      <c r="O50" s="13"/>
      <c r="P50" s="13"/>
      <c r="Q50" s="13"/>
      <c r="R50" t="str">
        <f t="shared" si="0"/>
        <v>E8 Model Quality</v>
      </c>
    </row>
    <row r="51" spans="1:18" x14ac:dyDescent="0.55000000000000004">
      <c r="A51" s="4"/>
      <c r="B51" s="4" t="s">
        <v>362</v>
      </c>
      <c r="C51" s="17" t="s">
        <v>16</v>
      </c>
      <c r="D51" s="6" t="s">
        <v>280</v>
      </c>
      <c r="E51" s="7">
        <v>46239</v>
      </c>
      <c r="F51" s="7">
        <v>46242</v>
      </c>
      <c r="G51" s="238" t="s">
        <v>363</v>
      </c>
      <c r="H51" s="9"/>
      <c r="I51" s="18"/>
      <c r="J51" s="9"/>
      <c r="K51" s="9"/>
      <c r="L51" s="9"/>
      <c r="M51" s="9"/>
      <c r="N51" s="9"/>
      <c r="O51" s="9"/>
      <c r="P51" s="9"/>
      <c r="Q51" s="9"/>
      <c r="R51" t="str">
        <f t="shared" si="0"/>
        <v>E8 Model Quality</v>
      </c>
    </row>
    <row r="52" spans="1:18" ht="21" customHeight="1" x14ac:dyDescent="0.55000000000000004">
      <c r="A52" s="14" t="s">
        <v>364</v>
      </c>
      <c r="B52" s="10" t="s">
        <v>365</v>
      </c>
      <c r="C52" s="237" t="s">
        <v>257</v>
      </c>
      <c r="D52" s="11" t="s">
        <v>268</v>
      </c>
      <c r="E52" s="12">
        <v>46244</v>
      </c>
      <c r="F52" s="12">
        <v>46245</v>
      </c>
      <c r="G52" s="239" t="s">
        <v>366</v>
      </c>
      <c r="H52" s="13"/>
      <c r="I52" s="13"/>
      <c r="J52" s="18"/>
      <c r="K52" s="13"/>
      <c r="L52" s="13"/>
      <c r="M52" s="13"/>
      <c r="N52" s="13"/>
      <c r="O52" s="13"/>
      <c r="P52" s="13"/>
      <c r="Q52" s="13"/>
      <c r="R52" t="str">
        <f t="shared" si="0"/>
        <v>E9 Data Ops</v>
      </c>
    </row>
    <row r="53" spans="1:18" x14ac:dyDescent="0.55000000000000004">
      <c r="A53" s="4"/>
      <c r="B53" s="4" t="s">
        <v>367</v>
      </c>
      <c r="C53" s="17" t="s">
        <v>16</v>
      </c>
      <c r="D53" s="6" t="s">
        <v>268</v>
      </c>
      <c r="E53" s="7">
        <v>46239</v>
      </c>
      <c r="F53" s="7">
        <v>46240</v>
      </c>
      <c r="G53" s="238" t="s">
        <v>368</v>
      </c>
      <c r="H53" s="9"/>
      <c r="I53" s="18"/>
      <c r="J53" s="9"/>
      <c r="K53" s="9"/>
      <c r="L53" s="9"/>
      <c r="M53" s="9"/>
      <c r="N53" s="9"/>
      <c r="O53" s="9"/>
      <c r="P53" s="9"/>
      <c r="Q53" s="9"/>
      <c r="R53" t="str">
        <f t="shared" si="0"/>
        <v>E9 Data Ops</v>
      </c>
    </row>
    <row r="54" spans="1:18" x14ac:dyDescent="0.55000000000000004">
      <c r="A54" s="10"/>
      <c r="B54" s="10" t="s">
        <v>369</v>
      </c>
      <c r="C54" s="237" t="s">
        <v>257</v>
      </c>
      <c r="D54" s="11" t="s">
        <v>268</v>
      </c>
      <c r="E54" s="12">
        <v>46255</v>
      </c>
      <c r="F54" s="12">
        <v>46255</v>
      </c>
      <c r="G54" s="239" t="s">
        <v>370</v>
      </c>
      <c r="H54" s="13"/>
      <c r="I54" s="13"/>
      <c r="J54" s="13"/>
      <c r="K54" s="20" t="s">
        <v>353</v>
      </c>
      <c r="L54" s="13"/>
      <c r="M54" s="13"/>
      <c r="N54" s="13"/>
      <c r="O54" s="13"/>
      <c r="P54" s="13"/>
      <c r="Q54" s="13"/>
      <c r="R54" t="str">
        <f t="shared" si="0"/>
        <v>E9 Data Ops</v>
      </c>
    </row>
    <row r="55" spans="1:18" x14ac:dyDescent="0.55000000000000004">
      <c r="A55" s="4"/>
      <c r="B55" s="4" t="s">
        <v>371</v>
      </c>
      <c r="C55" s="19" t="s">
        <v>372</v>
      </c>
      <c r="D55" s="6" t="s">
        <v>268</v>
      </c>
      <c r="E55" s="7">
        <v>46255</v>
      </c>
      <c r="F55" s="7">
        <v>46255</v>
      </c>
      <c r="G55" s="238" t="s">
        <v>373</v>
      </c>
      <c r="H55" s="9"/>
      <c r="I55" s="9"/>
      <c r="J55" s="9"/>
      <c r="K55" s="20" t="s">
        <v>353</v>
      </c>
      <c r="L55" s="9"/>
      <c r="M55" s="9"/>
      <c r="N55" s="9"/>
      <c r="O55" s="9"/>
      <c r="P55" s="9"/>
      <c r="Q55" s="9"/>
      <c r="R55" t="str">
        <f t="shared" si="0"/>
        <v>E9 Data Ops</v>
      </c>
    </row>
    <row r="56" spans="1:18" x14ac:dyDescent="0.55000000000000004">
      <c r="A56" s="10"/>
      <c r="B56" s="10" t="s">
        <v>97</v>
      </c>
      <c r="C56" s="19" t="s">
        <v>372</v>
      </c>
      <c r="D56" s="11" t="s">
        <v>268</v>
      </c>
      <c r="E56" s="12">
        <v>46263</v>
      </c>
      <c r="F56" s="12">
        <v>46263</v>
      </c>
      <c r="G56" s="239" t="s">
        <v>374</v>
      </c>
      <c r="H56" s="13"/>
      <c r="I56" s="13"/>
      <c r="J56" s="13"/>
      <c r="K56" s="13"/>
      <c r="L56" s="20" t="s">
        <v>353</v>
      </c>
      <c r="M56" s="13"/>
      <c r="N56" s="13"/>
      <c r="O56" s="13"/>
      <c r="P56" s="13"/>
      <c r="Q56" s="13"/>
      <c r="R56" t="str">
        <f t="shared" si="0"/>
        <v>E9 Data Ops</v>
      </c>
    </row>
    <row r="57" spans="1:18" ht="21" customHeight="1" x14ac:dyDescent="0.55000000000000004">
      <c r="A57" s="4"/>
      <c r="B57" s="4" t="s">
        <v>375</v>
      </c>
      <c r="C57" s="237" t="s">
        <v>257</v>
      </c>
      <c r="D57" s="6" t="s">
        <v>310</v>
      </c>
      <c r="E57" s="7">
        <v>46238</v>
      </c>
      <c r="F57" s="7">
        <v>46238</v>
      </c>
      <c r="G57" s="238" t="s">
        <v>376</v>
      </c>
      <c r="H57" s="9"/>
      <c r="I57" s="18"/>
      <c r="J57" s="9"/>
      <c r="K57" s="9"/>
      <c r="L57" s="9"/>
      <c r="M57" s="9"/>
      <c r="N57" s="9"/>
      <c r="O57" s="9"/>
      <c r="P57" s="9"/>
      <c r="Q57" s="9"/>
      <c r="R57" t="str">
        <f t="shared" si="0"/>
        <v>E9 Data Ops</v>
      </c>
    </row>
    <row r="58" spans="1:18" x14ac:dyDescent="0.55000000000000004">
      <c r="A58" s="10"/>
      <c r="B58" s="10" t="s">
        <v>377</v>
      </c>
      <c r="C58" s="21" t="s">
        <v>378</v>
      </c>
      <c r="D58" s="11" t="s">
        <v>280</v>
      </c>
      <c r="E58" s="12">
        <v>46246</v>
      </c>
      <c r="F58" s="12">
        <v>46249</v>
      </c>
      <c r="G58" s="239" t="s">
        <v>379</v>
      </c>
      <c r="H58" s="13"/>
      <c r="I58" s="13"/>
      <c r="J58" s="22"/>
      <c r="K58" s="13"/>
      <c r="L58" s="13"/>
      <c r="M58" s="13"/>
      <c r="N58" s="13"/>
      <c r="O58" s="13"/>
      <c r="P58" s="13"/>
      <c r="Q58" s="13"/>
      <c r="R58" t="str">
        <f t="shared" si="0"/>
        <v>E9 Data Ops</v>
      </c>
    </row>
    <row r="59" spans="1:18" ht="21" customHeight="1" x14ac:dyDescent="0.55000000000000004">
      <c r="A59" s="4"/>
      <c r="B59" s="4" t="s">
        <v>380</v>
      </c>
      <c r="C59" s="237" t="s">
        <v>257</v>
      </c>
      <c r="D59" s="6" t="s">
        <v>268</v>
      </c>
      <c r="E59" s="7">
        <v>46249</v>
      </c>
      <c r="F59" s="7">
        <v>46252</v>
      </c>
      <c r="G59" s="238" t="s">
        <v>381</v>
      </c>
      <c r="H59" s="9"/>
      <c r="I59" s="9"/>
      <c r="J59" s="22"/>
      <c r="K59" s="22"/>
      <c r="L59" s="9"/>
      <c r="M59" s="9"/>
      <c r="N59" s="9"/>
      <c r="O59" s="9"/>
      <c r="P59" s="9"/>
      <c r="Q59" s="9"/>
      <c r="R59" t="str">
        <f t="shared" si="0"/>
        <v>E9 Data Ops</v>
      </c>
    </row>
    <row r="60" spans="1:18" x14ac:dyDescent="0.55000000000000004">
      <c r="A60" s="10"/>
      <c r="B60" s="10" t="s">
        <v>382</v>
      </c>
      <c r="C60" s="237" t="s">
        <v>257</v>
      </c>
      <c r="D60" s="11" t="s">
        <v>268</v>
      </c>
      <c r="E60" s="12">
        <v>46237</v>
      </c>
      <c r="F60" s="12">
        <v>46238</v>
      </c>
      <c r="G60" s="239" t="s">
        <v>383</v>
      </c>
      <c r="H60" s="13"/>
      <c r="I60" s="8"/>
      <c r="J60" s="13"/>
      <c r="K60" s="13"/>
      <c r="L60" s="13"/>
      <c r="M60" s="13"/>
      <c r="N60" s="13"/>
      <c r="O60" s="13"/>
      <c r="P60" s="13"/>
      <c r="Q60" s="13"/>
      <c r="R60" t="str">
        <f t="shared" si="0"/>
        <v>E9 Data Ops</v>
      </c>
    </row>
    <row r="61" spans="1:18" x14ac:dyDescent="0.55000000000000004">
      <c r="A61" s="4"/>
      <c r="B61" s="4" t="s">
        <v>384</v>
      </c>
      <c r="C61" s="237" t="s">
        <v>257</v>
      </c>
      <c r="D61" s="6" t="s">
        <v>310</v>
      </c>
      <c r="E61" s="7">
        <v>46237</v>
      </c>
      <c r="F61" s="7">
        <v>46238</v>
      </c>
      <c r="G61" s="238" t="s">
        <v>385</v>
      </c>
      <c r="H61" s="9"/>
      <c r="I61" s="8"/>
      <c r="J61" s="9"/>
      <c r="K61" s="9"/>
      <c r="L61" s="9"/>
      <c r="M61" s="9"/>
      <c r="N61" s="9"/>
      <c r="O61" s="9"/>
      <c r="P61" s="9"/>
      <c r="Q61" s="9"/>
      <c r="R61" t="str">
        <f t="shared" si="0"/>
        <v>E9 Data Ops</v>
      </c>
    </row>
    <row r="62" spans="1:18" x14ac:dyDescent="0.55000000000000004">
      <c r="A62" s="10"/>
      <c r="B62" s="10" t="s">
        <v>386</v>
      </c>
      <c r="C62" s="237" t="s">
        <v>257</v>
      </c>
      <c r="D62" s="11" t="s">
        <v>258</v>
      </c>
      <c r="E62" s="12">
        <v>46239</v>
      </c>
      <c r="F62" s="12">
        <v>46239</v>
      </c>
      <c r="G62" s="239" t="s">
        <v>387</v>
      </c>
      <c r="H62" s="13"/>
      <c r="I62" s="18"/>
      <c r="J62" s="13"/>
      <c r="K62" s="13"/>
      <c r="L62" s="13"/>
      <c r="M62" s="13"/>
      <c r="N62" s="13"/>
      <c r="O62" s="13"/>
      <c r="P62" s="13"/>
      <c r="Q62" s="13"/>
      <c r="R62" t="str">
        <f t="shared" si="0"/>
        <v>E9 Data Ops</v>
      </c>
    </row>
    <row r="63" spans="1:18" x14ac:dyDescent="0.55000000000000004">
      <c r="A63" s="4"/>
      <c r="B63" s="4" t="s">
        <v>388</v>
      </c>
      <c r="C63" s="237" t="s">
        <v>257</v>
      </c>
      <c r="D63" s="6" t="s">
        <v>258</v>
      </c>
      <c r="E63" s="7">
        <v>46239</v>
      </c>
      <c r="F63" s="7">
        <v>46240</v>
      </c>
      <c r="G63" s="238" t="s">
        <v>389</v>
      </c>
      <c r="H63" s="9"/>
      <c r="I63" s="18"/>
      <c r="J63" s="9"/>
      <c r="K63" s="9"/>
      <c r="L63" s="9"/>
      <c r="M63" s="9"/>
      <c r="N63" s="9"/>
      <c r="O63" s="9"/>
      <c r="P63" s="9"/>
      <c r="Q63" s="9"/>
      <c r="R63" t="str">
        <f t="shared" si="0"/>
        <v>E9 Data Ops</v>
      </c>
    </row>
    <row r="64" spans="1:18" x14ac:dyDescent="0.55000000000000004">
      <c r="A64" s="10"/>
      <c r="B64" s="10" t="s">
        <v>390</v>
      </c>
      <c r="C64" s="237" t="s">
        <v>257</v>
      </c>
      <c r="D64" s="11" t="s">
        <v>258</v>
      </c>
      <c r="E64" s="12">
        <v>46240</v>
      </c>
      <c r="F64" s="12">
        <v>46240</v>
      </c>
      <c r="G64" s="239" t="s">
        <v>391</v>
      </c>
      <c r="H64" s="13"/>
      <c r="I64" s="18"/>
      <c r="J64" s="13"/>
      <c r="K64" s="13"/>
      <c r="L64" s="13"/>
      <c r="M64" s="13"/>
      <c r="N64" s="13"/>
      <c r="O64" s="13"/>
      <c r="P64" s="13"/>
      <c r="Q64" s="13"/>
      <c r="R64" t="str">
        <f t="shared" si="0"/>
        <v>E9 Data Ops</v>
      </c>
    </row>
    <row r="65" spans="1:18" x14ac:dyDescent="0.55000000000000004">
      <c r="A65" s="4"/>
      <c r="B65" s="4" t="s">
        <v>392</v>
      </c>
      <c r="C65" s="19" t="s">
        <v>372</v>
      </c>
      <c r="D65" s="6" t="s">
        <v>393</v>
      </c>
      <c r="E65" s="7">
        <v>46246</v>
      </c>
      <c r="F65" s="7">
        <v>46246</v>
      </c>
      <c r="G65" s="238" t="s">
        <v>394</v>
      </c>
      <c r="H65" s="9"/>
      <c r="I65" s="9"/>
      <c r="J65" s="20" t="s">
        <v>353</v>
      </c>
      <c r="K65" s="9"/>
      <c r="L65" s="9"/>
      <c r="M65" s="9"/>
      <c r="N65" s="9"/>
      <c r="O65" s="9"/>
      <c r="P65" s="9"/>
      <c r="Q65" s="9"/>
      <c r="R65" t="str">
        <f t="shared" si="0"/>
        <v>E9 Data Ops</v>
      </c>
    </row>
    <row r="66" spans="1:18" x14ac:dyDescent="0.55000000000000004">
      <c r="A66" s="14" t="s">
        <v>395</v>
      </c>
      <c r="B66" s="10" t="s">
        <v>396</v>
      </c>
      <c r="C66" s="237" t="s">
        <v>257</v>
      </c>
      <c r="D66" s="11" t="s">
        <v>258</v>
      </c>
      <c r="E66" s="12">
        <v>46245</v>
      </c>
      <c r="F66" s="12">
        <v>46245</v>
      </c>
      <c r="G66" s="239" t="s">
        <v>397</v>
      </c>
      <c r="H66" s="13"/>
      <c r="I66" s="13"/>
      <c r="J66" s="18"/>
      <c r="K66" s="13"/>
      <c r="L66" s="13"/>
      <c r="M66" s="13"/>
      <c r="N66" s="13"/>
      <c r="O66" s="13"/>
      <c r="P66" s="13"/>
      <c r="Q66" s="13"/>
      <c r="R66" t="str">
        <f t="shared" si="0"/>
        <v>E10 Deploy</v>
      </c>
    </row>
    <row r="67" spans="1:18" x14ac:dyDescent="0.55000000000000004">
      <c r="A67" s="4"/>
      <c r="B67" s="4" t="s">
        <v>398</v>
      </c>
      <c r="C67" s="237" t="s">
        <v>257</v>
      </c>
      <c r="D67" s="6" t="s">
        <v>258</v>
      </c>
      <c r="E67" s="7">
        <v>46245</v>
      </c>
      <c r="F67" s="7">
        <v>46248</v>
      </c>
      <c r="G67" s="238" t="s">
        <v>399</v>
      </c>
      <c r="H67" s="9"/>
      <c r="I67" s="9"/>
      <c r="J67" s="18"/>
      <c r="K67" s="9"/>
      <c r="L67" s="9"/>
      <c r="M67" s="9"/>
      <c r="N67" s="9"/>
      <c r="O67" s="9"/>
      <c r="P67" s="9"/>
      <c r="Q67" s="9"/>
      <c r="R67" t="str">
        <f t="shared" si="0"/>
        <v>E10 Deploy</v>
      </c>
    </row>
    <row r="68" spans="1:18" ht="21" customHeight="1" x14ac:dyDescent="0.55000000000000004">
      <c r="A68" s="10"/>
      <c r="B68" s="10" t="s">
        <v>400</v>
      </c>
      <c r="C68" s="237" t="s">
        <v>257</v>
      </c>
      <c r="D68" s="11" t="s">
        <v>258</v>
      </c>
      <c r="E68" s="12">
        <v>46247</v>
      </c>
      <c r="F68" s="12">
        <v>46249</v>
      </c>
      <c r="G68" s="239" t="s">
        <v>401</v>
      </c>
      <c r="H68" s="13"/>
      <c r="I68" s="13"/>
      <c r="J68" s="18"/>
      <c r="K68" s="13"/>
      <c r="L68" s="13"/>
      <c r="M68" s="13"/>
      <c r="N68" s="13"/>
      <c r="O68" s="13"/>
      <c r="P68" s="13"/>
      <c r="Q68" s="13"/>
      <c r="R68" t="str">
        <f t="shared" si="0"/>
        <v>E10 Deploy</v>
      </c>
    </row>
    <row r="69" spans="1:18" ht="31.5" customHeight="1" x14ac:dyDescent="0.55000000000000004">
      <c r="A69" s="4"/>
      <c r="B69" s="4" t="s">
        <v>402</v>
      </c>
      <c r="C69" s="237" t="s">
        <v>257</v>
      </c>
      <c r="D69" s="6" t="s">
        <v>258</v>
      </c>
      <c r="E69" s="7">
        <v>46248</v>
      </c>
      <c r="F69" s="7">
        <v>46252</v>
      </c>
      <c r="G69" s="238" t="s">
        <v>403</v>
      </c>
      <c r="H69" s="9"/>
      <c r="I69" s="9"/>
      <c r="J69" s="18"/>
      <c r="K69" s="18"/>
      <c r="L69" s="9"/>
      <c r="M69" s="9"/>
      <c r="N69" s="9"/>
      <c r="O69" s="9"/>
      <c r="P69" s="9"/>
      <c r="Q69" s="9"/>
      <c r="R69" t="str">
        <f t="shared" ref="R69:R132" si="1">IF($A69&lt;&gt;"",$A69,R68)</f>
        <v>E10 Deploy</v>
      </c>
    </row>
    <row r="70" spans="1:18" x14ac:dyDescent="0.55000000000000004">
      <c r="A70" s="10"/>
      <c r="B70" s="10" t="s">
        <v>404</v>
      </c>
      <c r="C70" s="237" t="s">
        <v>257</v>
      </c>
      <c r="D70" s="11" t="s">
        <v>258</v>
      </c>
      <c r="E70" s="12">
        <v>46251</v>
      </c>
      <c r="F70" s="12">
        <v>46255</v>
      </c>
      <c r="G70" s="239" t="s">
        <v>405</v>
      </c>
      <c r="H70" s="13"/>
      <c r="I70" s="13"/>
      <c r="J70" s="13"/>
      <c r="K70" s="18"/>
      <c r="L70" s="13"/>
      <c r="M70" s="13"/>
      <c r="N70" s="13"/>
      <c r="O70" s="13"/>
      <c r="P70" s="13"/>
      <c r="Q70" s="13"/>
      <c r="R70" t="str">
        <f t="shared" si="1"/>
        <v>E10 Deploy</v>
      </c>
    </row>
    <row r="71" spans="1:18" x14ac:dyDescent="0.55000000000000004">
      <c r="A71" s="4"/>
      <c r="B71" s="4" t="s">
        <v>406</v>
      </c>
      <c r="C71" s="237" t="s">
        <v>257</v>
      </c>
      <c r="D71" s="6" t="s">
        <v>310</v>
      </c>
      <c r="E71" s="7">
        <v>46252</v>
      </c>
      <c r="F71" s="7">
        <v>46255</v>
      </c>
      <c r="G71" s="238" t="s">
        <v>407</v>
      </c>
      <c r="H71" s="9"/>
      <c r="I71" s="9"/>
      <c r="J71" s="9"/>
      <c r="K71" s="18"/>
      <c r="L71" s="9"/>
      <c r="M71" s="9"/>
      <c r="N71" s="9"/>
      <c r="O71" s="9"/>
      <c r="P71" s="9"/>
      <c r="Q71" s="9"/>
      <c r="R71" t="str">
        <f t="shared" si="1"/>
        <v>E10 Deploy</v>
      </c>
    </row>
    <row r="72" spans="1:18" x14ac:dyDescent="0.55000000000000004">
      <c r="A72" s="10"/>
      <c r="B72" s="10" t="s">
        <v>408</v>
      </c>
      <c r="C72" s="237" t="s">
        <v>257</v>
      </c>
      <c r="D72" s="11" t="s">
        <v>320</v>
      </c>
      <c r="E72" s="12">
        <v>46253</v>
      </c>
      <c r="F72" s="12">
        <v>46258</v>
      </c>
      <c r="G72" s="239" t="s">
        <v>409</v>
      </c>
      <c r="H72" s="13"/>
      <c r="I72" s="13"/>
      <c r="J72" s="13"/>
      <c r="K72" s="18"/>
      <c r="L72" s="18"/>
      <c r="M72" s="13"/>
      <c r="N72" s="13"/>
      <c r="O72" s="13"/>
      <c r="P72" s="13"/>
      <c r="Q72" s="13"/>
      <c r="R72" t="str">
        <f t="shared" si="1"/>
        <v>E10 Deploy</v>
      </c>
    </row>
    <row r="73" spans="1:18" ht="21" customHeight="1" x14ac:dyDescent="0.55000000000000004">
      <c r="A73" s="4"/>
      <c r="B73" s="4" t="s">
        <v>410</v>
      </c>
      <c r="C73" s="237" t="s">
        <v>257</v>
      </c>
      <c r="D73" s="6" t="s">
        <v>320</v>
      </c>
      <c r="E73" s="7">
        <v>46258</v>
      </c>
      <c r="F73" s="7">
        <v>46261</v>
      </c>
      <c r="G73" s="238" t="s">
        <v>411</v>
      </c>
      <c r="H73" s="9"/>
      <c r="I73" s="9"/>
      <c r="J73" s="9"/>
      <c r="K73" s="9"/>
      <c r="L73" s="18"/>
      <c r="M73" s="9"/>
      <c r="N73" s="9"/>
      <c r="O73" s="9"/>
      <c r="P73" s="9"/>
      <c r="Q73" s="9"/>
      <c r="R73" t="str">
        <f t="shared" si="1"/>
        <v>E10 Deploy</v>
      </c>
    </row>
    <row r="74" spans="1:18" x14ac:dyDescent="0.55000000000000004">
      <c r="A74" s="10"/>
      <c r="B74" s="10" t="s">
        <v>412</v>
      </c>
      <c r="C74" s="17" t="s">
        <v>16</v>
      </c>
      <c r="D74" s="11" t="s">
        <v>320</v>
      </c>
      <c r="E74" s="12">
        <v>46259</v>
      </c>
      <c r="F74" s="12">
        <v>46261</v>
      </c>
      <c r="G74" s="239" t="s">
        <v>413</v>
      </c>
      <c r="H74" s="13"/>
      <c r="I74" s="13"/>
      <c r="J74" s="13"/>
      <c r="K74" s="13"/>
      <c r="L74" s="18"/>
      <c r="M74" s="13"/>
      <c r="N74" s="13"/>
      <c r="O74" s="13"/>
      <c r="P74" s="13"/>
      <c r="Q74" s="13"/>
      <c r="R74" t="str">
        <f t="shared" si="1"/>
        <v>E10 Deploy</v>
      </c>
    </row>
    <row r="75" spans="1:18" ht="21" customHeight="1" x14ac:dyDescent="0.55000000000000004">
      <c r="A75" s="4"/>
      <c r="B75" s="4" t="s">
        <v>414</v>
      </c>
      <c r="C75" s="237" t="s">
        <v>257</v>
      </c>
      <c r="D75" s="6" t="s">
        <v>258</v>
      </c>
      <c r="E75" s="7">
        <v>46269</v>
      </c>
      <c r="F75" s="7">
        <v>46269</v>
      </c>
      <c r="G75" s="238" t="s">
        <v>415</v>
      </c>
      <c r="H75" s="9"/>
      <c r="I75" s="9"/>
      <c r="J75" s="9"/>
      <c r="K75" s="9"/>
      <c r="L75" s="9"/>
      <c r="M75" s="20" t="s">
        <v>353</v>
      </c>
      <c r="N75" s="9"/>
      <c r="O75" s="9"/>
      <c r="P75" s="9"/>
      <c r="Q75" s="9"/>
      <c r="R75" t="str">
        <f t="shared" si="1"/>
        <v>E10 Deploy</v>
      </c>
    </row>
    <row r="76" spans="1:18" x14ac:dyDescent="0.55000000000000004">
      <c r="A76" s="10"/>
      <c r="B76" s="10" t="s">
        <v>416</v>
      </c>
      <c r="C76" s="17" t="s">
        <v>16</v>
      </c>
      <c r="D76" s="11" t="s">
        <v>393</v>
      </c>
      <c r="E76" s="12">
        <v>46272</v>
      </c>
      <c r="F76" s="12">
        <v>46283</v>
      </c>
      <c r="G76" s="239" t="s">
        <v>417</v>
      </c>
      <c r="H76" s="13"/>
      <c r="I76" s="13"/>
      <c r="J76" s="13"/>
      <c r="K76" s="13"/>
      <c r="L76" s="13"/>
      <c r="M76" s="13"/>
      <c r="N76" s="18"/>
      <c r="O76" s="18"/>
      <c r="P76" s="13"/>
      <c r="Q76" s="13"/>
      <c r="R76" t="str">
        <f t="shared" si="1"/>
        <v>E10 Deploy</v>
      </c>
    </row>
    <row r="77" spans="1:18" x14ac:dyDescent="0.55000000000000004">
      <c r="A77" s="4"/>
      <c r="B77" s="4" t="s">
        <v>418</v>
      </c>
      <c r="C77" s="19" t="s">
        <v>372</v>
      </c>
      <c r="D77" s="6" t="s">
        <v>393</v>
      </c>
      <c r="E77" s="7">
        <v>46290</v>
      </c>
      <c r="F77" s="7">
        <v>46290</v>
      </c>
      <c r="G77" s="238" t="s">
        <v>419</v>
      </c>
      <c r="H77" s="9"/>
      <c r="I77" s="9"/>
      <c r="J77" s="9"/>
      <c r="K77" s="9"/>
      <c r="L77" s="9"/>
      <c r="M77" s="9"/>
      <c r="N77" s="9"/>
      <c r="O77" s="9"/>
      <c r="P77" s="20" t="s">
        <v>353</v>
      </c>
      <c r="Q77" s="9"/>
      <c r="R77" t="str">
        <f t="shared" si="1"/>
        <v>E10 Deploy</v>
      </c>
    </row>
    <row r="78" spans="1:18" x14ac:dyDescent="0.55000000000000004">
      <c r="A78" s="10"/>
      <c r="B78" s="10" t="s">
        <v>420</v>
      </c>
      <c r="C78" s="237" t="s">
        <v>257</v>
      </c>
      <c r="D78" s="11" t="s">
        <v>258</v>
      </c>
      <c r="E78" s="12">
        <v>46237</v>
      </c>
      <c r="F78" s="12">
        <v>46237</v>
      </c>
      <c r="G78" s="239" t="s">
        <v>421</v>
      </c>
      <c r="H78" s="13"/>
      <c r="I78" s="8"/>
      <c r="J78" s="13"/>
      <c r="K78" s="13"/>
      <c r="L78" s="13"/>
      <c r="M78" s="13"/>
      <c r="N78" s="13"/>
      <c r="O78" s="13"/>
      <c r="P78" s="13"/>
      <c r="Q78" s="13"/>
      <c r="R78" t="str">
        <f t="shared" si="1"/>
        <v>E10 Deploy</v>
      </c>
    </row>
    <row r="79" spans="1:18" x14ac:dyDescent="0.55000000000000004">
      <c r="A79" s="4"/>
      <c r="B79" s="4" t="s">
        <v>422</v>
      </c>
      <c r="C79" s="237" t="s">
        <v>257</v>
      </c>
      <c r="D79" s="6" t="s">
        <v>393</v>
      </c>
      <c r="E79" s="7">
        <v>46237</v>
      </c>
      <c r="F79" s="7">
        <v>46238</v>
      </c>
      <c r="G79" s="238" t="s">
        <v>423</v>
      </c>
      <c r="H79" s="9"/>
      <c r="I79" s="8"/>
      <c r="J79" s="9"/>
      <c r="K79" s="9"/>
      <c r="L79" s="9"/>
      <c r="M79" s="9"/>
      <c r="N79" s="9"/>
      <c r="O79" s="9"/>
      <c r="P79" s="9"/>
      <c r="Q79" s="9"/>
      <c r="R79" t="str">
        <f t="shared" si="1"/>
        <v>E10 Deploy</v>
      </c>
    </row>
    <row r="80" spans="1:18" x14ac:dyDescent="0.55000000000000004">
      <c r="A80" s="14" t="s">
        <v>424</v>
      </c>
      <c r="B80" s="10" t="s">
        <v>425</v>
      </c>
      <c r="C80" s="237" t="s">
        <v>257</v>
      </c>
      <c r="D80" s="11" t="s">
        <v>258</v>
      </c>
      <c r="E80" s="12">
        <v>46238</v>
      </c>
      <c r="F80" s="12">
        <v>46238</v>
      </c>
      <c r="G80" s="239" t="s">
        <v>426</v>
      </c>
      <c r="H80" s="13"/>
      <c r="I80" s="8"/>
      <c r="J80" s="13"/>
      <c r="K80" s="13"/>
      <c r="L80" s="13"/>
      <c r="M80" s="13"/>
      <c r="N80" s="13"/>
      <c r="O80" s="13"/>
      <c r="P80" s="13"/>
      <c r="Q80" s="13"/>
      <c r="R80" t="str">
        <f t="shared" si="1"/>
        <v>E11 Ops Resilience</v>
      </c>
    </row>
    <row r="81" spans="1:18" x14ac:dyDescent="0.55000000000000004">
      <c r="A81" s="4"/>
      <c r="B81" s="4" t="s">
        <v>427</v>
      </c>
      <c r="C81" s="237" t="s">
        <v>257</v>
      </c>
      <c r="D81" s="6" t="s">
        <v>258</v>
      </c>
      <c r="E81" s="7">
        <v>46238</v>
      </c>
      <c r="F81" s="7">
        <v>46238</v>
      </c>
      <c r="G81" s="238" t="s">
        <v>428</v>
      </c>
      <c r="H81" s="9"/>
      <c r="I81" s="8"/>
      <c r="J81" s="9"/>
      <c r="K81" s="9"/>
      <c r="L81" s="9"/>
      <c r="M81" s="9"/>
      <c r="N81" s="9"/>
      <c r="O81" s="9"/>
      <c r="P81" s="9"/>
      <c r="Q81" s="9"/>
      <c r="R81" t="str">
        <f t="shared" si="1"/>
        <v>E11 Ops Resilience</v>
      </c>
    </row>
    <row r="82" spans="1:18" ht="21" customHeight="1" x14ac:dyDescent="0.55000000000000004">
      <c r="A82" s="10"/>
      <c r="B82" s="10" t="s">
        <v>429</v>
      </c>
      <c r="C82" s="237" t="s">
        <v>257</v>
      </c>
      <c r="D82" s="11" t="s">
        <v>258</v>
      </c>
      <c r="E82" s="12">
        <v>46246</v>
      </c>
      <c r="F82" s="12">
        <v>46247</v>
      </c>
      <c r="G82" s="239" t="s">
        <v>430</v>
      </c>
      <c r="H82" s="13"/>
      <c r="I82" s="13"/>
      <c r="J82" s="18"/>
      <c r="K82" s="13"/>
      <c r="L82" s="13"/>
      <c r="M82" s="13"/>
      <c r="N82" s="13"/>
      <c r="O82" s="13"/>
      <c r="P82" s="13"/>
      <c r="Q82" s="13"/>
      <c r="R82" t="str">
        <f t="shared" si="1"/>
        <v>E11 Ops Resilience</v>
      </c>
    </row>
    <row r="83" spans="1:18" x14ac:dyDescent="0.55000000000000004">
      <c r="A83" s="4"/>
      <c r="B83" s="4" t="s">
        <v>431</v>
      </c>
      <c r="C83" s="17" t="s">
        <v>16</v>
      </c>
      <c r="D83" s="6" t="s">
        <v>258</v>
      </c>
      <c r="E83" s="7">
        <v>46247</v>
      </c>
      <c r="F83" s="7">
        <v>46247</v>
      </c>
      <c r="G83" s="238" t="s">
        <v>432</v>
      </c>
      <c r="H83" s="9"/>
      <c r="I83" s="9"/>
      <c r="J83" s="18"/>
      <c r="K83" s="9"/>
      <c r="L83" s="9"/>
      <c r="M83" s="9"/>
      <c r="N83" s="9"/>
      <c r="O83" s="9"/>
      <c r="P83" s="9"/>
      <c r="Q83" s="9"/>
      <c r="R83" t="str">
        <f t="shared" si="1"/>
        <v>E11 Ops Resilience</v>
      </c>
    </row>
    <row r="84" spans="1:18" x14ac:dyDescent="0.55000000000000004">
      <c r="A84" s="10"/>
      <c r="B84" s="10" t="s">
        <v>433</v>
      </c>
      <c r="C84" s="17" t="s">
        <v>16</v>
      </c>
      <c r="D84" s="11" t="s">
        <v>258</v>
      </c>
      <c r="E84" s="12">
        <v>46248</v>
      </c>
      <c r="F84" s="12">
        <v>46252</v>
      </c>
      <c r="G84" s="239" t="s">
        <v>434</v>
      </c>
      <c r="H84" s="13"/>
      <c r="I84" s="13"/>
      <c r="J84" s="18"/>
      <c r="K84" s="18"/>
      <c r="L84" s="13"/>
      <c r="M84" s="13"/>
      <c r="N84" s="13"/>
      <c r="O84" s="13"/>
      <c r="P84" s="13"/>
      <c r="Q84" s="13"/>
      <c r="R84" t="str">
        <f t="shared" si="1"/>
        <v>E11 Ops Resilience</v>
      </c>
    </row>
    <row r="85" spans="1:18" x14ac:dyDescent="0.55000000000000004">
      <c r="A85" s="4"/>
      <c r="B85" s="4" t="s">
        <v>435</v>
      </c>
      <c r="C85" s="17" t="s">
        <v>16</v>
      </c>
      <c r="D85" s="6" t="s">
        <v>258</v>
      </c>
      <c r="E85" s="7">
        <v>46253</v>
      </c>
      <c r="F85" s="7">
        <v>46254</v>
      </c>
      <c r="G85" s="238" t="s">
        <v>436</v>
      </c>
      <c r="H85" s="9"/>
      <c r="I85" s="9"/>
      <c r="J85" s="9"/>
      <c r="K85" s="18"/>
      <c r="L85" s="9"/>
      <c r="M85" s="9"/>
      <c r="N85" s="9"/>
      <c r="O85" s="9"/>
      <c r="P85" s="9"/>
      <c r="Q85" s="9"/>
      <c r="R85" t="str">
        <f t="shared" si="1"/>
        <v>E11 Ops Resilience</v>
      </c>
    </row>
    <row r="86" spans="1:18" x14ac:dyDescent="0.55000000000000004">
      <c r="A86" s="14" t="s">
        <v>334</v>
      </c>
      <c r="B86" s="10" t="s">
        <v>437</v>
      </c>
      <c r="C86" s="237" t="s">
        <v>257</v>
      </c>
      <c r="D86" s="11" t="s">
        <v>280</v>
      </c>
      <c r="E86" s="12">
        <v>46238</v>
      </c>
      <c r="F86" s="12">
        <v>46238</v>
      </c>
      <c r="G86" s="239" t="s">
        <v>438</v>
      </c>
      <c r="H86" s="10"/>
      <c r="I86" s="37"/>
      <c r="J86" s="10"/>
      <c r="K86" s="10"/>
      <c r="L86" s="10"/>
      <c r="M86" s="10"/>
      <c r="N86" s="10"/>
      <c r="O86" s="10"/>
      <c r="P86" s="10"/>
      <c r="Q86" s="10"/>
      <c r="R86" t="str">
        <f t="shared" si="1"/>
        <v>E8 Model Quality</v>
      </c>
    </row>
    <row r="87" spans="1:18" x14ac:dyDescent="0.55000000000000004">
      <c r="A87" s="3" t="s">
        <v>334</v>
      </c>
      <c r="B87" s="4" t="s">
        <v>439</v>
      </c>
      <c r="C87" s="237" t="s">
        <v>257</v>
      </c>
      <c r="D87" s="6" t="s">
        <v>280</v>
      </c>
      <c r="E87" s="7">
        <v>46238</v>
      </c>
      <c r="F87" s="7">
        <v>46238</v>
      </c>
      <c r="G87" s="238" t="s">
        <v>440</v>
      </c>
      <c r="H87" s="4"/>
      <c r="I87" s="37"/>
      <c r="J87" s="4"/>
      <c r="K87" s="4"/>
      <c r="L87" s="4"/>
      <c r="M87" s="4"/>
      <c r="N87" s="4"/>
      <c r="O87" s="4"/>
      <c r="P87" s="4"/>
      <c r="Q87" s="4"/>
      <c r="R87" t="str">
        <f t="shared" si="1"/>
        <v>E8 Model Quality</v>
      </c>
    </row>
    <row r="88" spans="1:18" x14ac:dyDescent="0.55000000000000004">
      <c r="A88" s="14" t="s">
        <v>334</v>
      </c>
      <c r="B88" s="10" t="s">
        <v>441</v>
      </c>
      <c r="C88" s="237" t="s">
        <v>257</v>
      </c>
      <c r="D88" s="11" t="s">
        <v>280</v>
      </c>
      <c r="E88" s="12">
        <v>46238</v>
      </c>
      <c r="F88" s="12">
        <v>46238</v>
      </c>
      <c r="G88" s="239" t="s">
        <v>442</v>
      </c>
      <c r="H88" s="10"/>
      <c r="I88" s="37"/>
      <c r="J88" s="10"/>
      <c r="K88" s="10"/>
      <c r="L88" s="10"/>
      <c r="M88" s="10"/>
      <c r="N88" s="10"/>
      <c r="O88" s="10"/>
      <c r="P88" s="10"/>
      <c r="Q88" s="10"/>
      <c r="R88" t="str">
        <f t="shared" si="1"/>
        <v>E8 Model Quality</v>
      </c>
    </row>
    <row r="89" spans="1:18" x14ac:dyDescent="0.55000000000000004">
      <c r="A89" s="3" t="s">
        <v>334</v>
      </c>
      <c r="B89" s="4" t="s">
        <v>443</v>
      </c>
      <c r="C89" s="237" t="s">
        <v>257</v>
      </c>
      <c r="D89" s="6" t="s">
        <v>280</v>
      </c>
      <c r="E89" s="7">
        <v>46238</v>
      </c>
      <c r="F89" s="7">
        <v>46238</v>
      </c>
      <c r="G89" s="238" t="s">
        <v>444</v>
      </c>
      <c r="H89" s="4"/>
      <c r="I89" s="37"/>
      <c r="J89" s="4"/>
      <c r="K89" s="4"/>
      <c r="L89" s="4"/>
      <c r="M89" s="4"/>
      <c r="N89" s="4"/>
      <c r="O89" s="4"/>
      <c r="P89" s="4"/>
      <c r="Q89" s="4"/>
      <c r="R89" t="str">
        <f t="shared" si="1"/>
        <v>E8 Model Quality</v>
      </c>
    </row>
    <row r="90" spans="1:18" x14ac:dyDescent="0.55000000000000004">
      <c r="A90" s="14" t="s">
        <v>334</v>
      </c>
      <c r="B90" s="10" t="s">
        <v>445</v>
      </c>
      <c r="C90" s="237" t="s">
        <v>257</v>
      </c>
      <c r="D90" s="11" t="s">
        <v>280</v>
      </c>
      <c r="E90" s="12">
        <v>46238</v>
      </c>
      <c r="F90" s="12">
        <v>46238</v>
      </c>
      <c r="G90" s="239" t="s">
        <v>446</v>
      </c>
      <c r="H90" s="10"/>
      <c r="I90" s="37"/>
      <c r="J90" s="10"/>
      <c r="K90" s="10"/>
      <c r="L90" s="10"/>
      <c r="M90" s="10"/>
      <c r="N90" s="10"/>
      <c r="O90" s="10"/>
      <c r="P90" s="10"/>
      <c r="Q90" s="10"/>
      <c r="R90" t="str">
        <f t="shared" si="1"/>
        <v>E8 Model Quality</v>
      </c>
    </row>
    <row r="91" spans="1:18" x14ac:dyDescent="0.55000000000000004">
      <c r="A91" s="3" t="s">
        <v>334</v>
      </c>
      <c r="B91" s="4" t="s">
        <v>447</v>
      </c>
      <c r="C91" s="237" t="s">
        <v>257</v>
      </c>
      <c r="D91" s="6" t="s">
        <v>280</v>
      </c>
      <c r="E91" s="7">
        <v>46238</v>
      </c>
      <c r="F91" s="7">
        <v>46238</v>
      </c>
      <c r="G91" s="238" t="s">
        <v>448</v>
      </c>
      <c r="H91" s="4"/>
      <c r="I91" s="37"/>
      <c r="J91" s="4"/>
      <c r="K91" s="4"/>
      <c r="L91" s="4"/>
      <c r="M91" s="4"/>
      <c r="N91" s="4"/>
      <c r="O91" s="4"/>
      <c r="P91" s="4"/>
      <c r="Q91" s="4"/>
      <c r="R91" t="str">
        <f t="shared" si="1"/>
        <v>E8 Model Quality</v>
      </c>
    </row>
    <row r="92" spans="1:18" x14ac:dyDescent="0.55000000000000004">
      <c r="A92" s="14" t="s">
        <v>424</v>
      </c>
      <c r="B92" s="10" t="s">
        <v>449</v>
      </c>
      <c r="C92" s="237" t="s">
        <v>257</v>
      </c>
      <c r="D92" s="11" t="s">
        <v>258</v>
      </c>
      <c r="E92" s="12">
        <v>46238</v>
      </c>
      <c r="F92" s="12">
        <v>46238</v>
      </c>
      <c r="G92" s="239" t="s">
        <v>450</v>
      </c>
      <c r="H92" s="10"/>
      <c r="I92" s="37"/>
      <c r="J92" s="10"/>
      <c r="K92" s="10"/>
      <c r="L92" s="10"/>
      <c r="M92" s="10"/>
      <c r="N92" s="10"/>
      <c r="O92" s="10"/>
      <c r="P92" s="10"/>
      <c r="Q92" s="10"/>
      <c r="R92" t="str">
        <f t="shared" si="1"/>
        <v>E11 Ops Resilience</v>
      </c>
    </row>
    <row r="93" spans="1:18" x14ac:dyDescent="0.55000000000000004">
      <c r="A93" s="3" t="s">
        <v>364</v>
      </c>
      <c r="B93" s="4" t="s">
        <v>451</v>
      </c>
      <c r="C93" s="17" t="s">
        <v>16</v>
      </c>
      <c r="D93" s="6" t="s">
        <v>310</v>
      </c>
      <c r="E93" s="7">
        <v>46239</v>
      </c>
      <c r="F93" s="7">
        <v>46239</v>
      </c>
      <c r="G93" s="238" t="s">
        <v>452</v>
      </c>
      <c r="H93" s="4"/>
      <c r="I93" s="39"/>
      <c r="J93" s="4"/>
      <c r="K93" s="4"/>
      <c r="L93" s="4"/>
      <c r="M93" s="4"/>
      <c r="N93" s="4"/>
      <c r="O93" s="4"/>
      <c r="P93" s="4"/>
      <c r="Q93" s="4"/>
      <c r="R93" t="str">
        <f t="shared" si="1"/>
        <v>E9 Data Ops</v>
      </c>
    </row>
    <row r="94" spans="1:18" x14ac:dyDescent="0.55000000000000004">
      <c r="A94" s="14" t="s">
        <v>364</v>
      </c>
      <c r="B94" s="10" t="s">
        <v>453</v>
      </c>
      <c r="C94" s="237" t="s">
        <v>257</v>
      </c>
      <c r="D94" s="11" t="s">
        <v>258</v>
      </c>
      <c r="E94" s="12">
        <v>46239</v>
      </c>
      <c r="F94" s="12">
        <v>46239</v>
      </c>
      <c r="G94" s="239" t="s">
        <v>454</v>
      </c>
      <c r="H94" s="10"/>
      <c r="I94" s="37"/>
      <c r="J94" s="10"/>
      <c r="K94" s="10"/>
      <c r="L94" s="10"/>
      <c r="M94" s="10"/>
      <c r="N94" s="10"/>
      <c r="O94" s="10"/>
      <c r="P94" s="10"/>
      <c r="Q94" s="10"/>
      <c r="R94" t="str">
        <f t="shared" si="1"/>
        <v>E9 Data Ops</v>
      </c>
    </row>
    <row r="95" spans="1:18" x14ac:dyDescent="0.55000000000000004">
      <c r="A95" s="3" t="s">
        <v>334</v>
      </c>
      <c r="B95" s="4" t="s">
        <v>455</v>
      </c>
      <c r="C95" s="17" t="s">
        <v>16</v>
      </c>
      <c r="D95" s="6" t="s">
        <v>268</v>
      </c>
      <c r="E95" s="7">
        <v>46240</v>
      </c>
      <c r="F95" s="7">
        <v>46240</v>
      </c>
      <c r="G95" s="238" t="s">
        <v>456</v>
      </c>
      <c r="H95" s="4"/>
      <c r="I95" s="39"/>
      <c r="J95" s="4"/>
      <c r="K95" s="4"/>
      <c r="L95" s="4"/>
      <c r="M95" s="4"/>
      <c r="N95" s="4"/>
      <c r="O95" s="4"/>
      <c r="P95" s="4"/>
      <c r="Q95" s="4"/>
      <c r="R95" t="str">
        <f t="shared" si="1"/>
        <v>E8 Model Quality</v>
      </c>
    </row>
    <row r="96" spans="1:18" x14ac:dyDescent="0.55000000000000004">
      <c r="A96" s="14" t="s">
        <v>334</v>
      </c>
      <c r="B96" s="10" t="s">
        <v>457</v>
      </c>
      <c r="C96" s="237" t="s">
        <v>257</v>
      </c>
      <c r="D96" s="11" t="s">
        <v>280</v>
      </c>
      <c r="E96" s="12">
        <v>46238</v>
      </c>
      <c r="F96" s="12">
        <v>46238</v>
      </c>
      <c r="G96" s="239" t="s">
        <v>458</v>
      </c>
      <c r="H96" s="10"/>
      <c r="I96" s="37"/>
      <c r="J96" s="10"/>
      <c r="K96" s="10"/>
      <c r="L96" s="10"/>
      <c r="M96" s="10"/>
      <c r="N96" s="10"/>
      <c r="O96" s="10"/>
      <c r="P96" s="10"/>
      <c r="Q96" s="10"/>
      <c r="R96" t="str">
        <f t="shared" si="1"/>
        <v>E8 Model Quality</v>
      </c>
    </row>
    <row r="97" spans="1:18" x14ac:dyDescent="0.55000000000000004">
      <c r="A97" s="3" t="s">
        <v>334</v>
      </c>
      <c r="B97" s="4" t="s">
        <v>459</v>
      </c>
      <c r="C97" s="237" t="s">
        <v>257</v>
      </c>
      <c r="D97" s="6" t="s">
        <v>268</v>
      </c>
      <c r="E97" s="7">
        <v>46238</v>
      </c>
      <c r="F97" s="7">
        <v>46238</v>
      </c>
      <c r="G97" s="238" t="s">
        <v>460</v>
      </c>
      <c r="H97" s="4"/>
      <c r="I97" s="37"/>
      <c r="J97" s="4"/>
      <c r="K97" s="4"/>
      <c r="L97" s="4"/>
      <c r="M97" s="4"/>
      <c r="N97" s="4"/>
      <c r="O97" s="4"/>
      <c r="P97" s="4"/>
      <c r="Q97" s="4"/>
      <c r="R97" t="str">
        <f t="shared" si="1"/>
        <v>E8 Model Quality</v>
      </c>
    </row>
    <row r="98" spans="1:18" x14ac:dyDescent="0.55000000000000004">
      <c r="A98" s="14" t="s">
        <v>334</v>
      </c>
      <c r="B98" s="10" t="s">
        <v>461</v>
      </c>
      <c r="C98" s="237" t="s">
        <v>257</v>
      </c>
      <c r="D98" s="11" t="s">
        <v>280</v>
      </c>
      <c r="E98" s="12">
        <v>46238</v>
      </c>
      <c r="F98" s="12">
        <v>46238</v>
      </c>
      <c r="G98" s="239" t="s">
        <v>462</v>
      </c>
      <c r="H98" s="10"/>
      <c r="I98" s="37"/>
      <c r="J98" s="10"/>
      <c r="K98" s="10"/>
      <c r="L98" s="10"/>
      <c r="M98" s="10"/>
      <c r="N98" s="10"/>
      <c r="O98" s="10"/>
      <c r="P98" s="10"/>
      <c r="Q98" s="10"/>
      <c r="R98" t="str">
        <f t="shared" si="1"/>
        <v>E8 Model Quality</v>
      </c>
    </row>
    <row r="99" spans="1:18" x14ac:dyDescent="0.55000000000000004">
      <c r="A99" s="3" t="s">
        <v>334</v>
      </c>
      <c r="B99" s="4" t="s">
        <v>463</v>
      </c>
      <c r="C99" s="237" t="s">
        <v>257</v>
      </c>
      <c r="D99" s="6" t="s">
        <v>268</v>
      </c>
      <c r="E99" s="7">
        <v>46238</v>
      </c>
      <c r="F99" s="7">
        <v>46239</v>
      </c>
      <c r="G99" s="238" t="s">
        <v>464</v>
      </c>
      <c r="H99" s="4"/>
      <c r="I99" s="38"/>
      <c r="J99" s="4"/>
      <c r="K99" s="4"/>
      <c r="L99" s="4"/>
      <c r="M99" s="4"/>
      <c r="N99" s="4"/>
      <c r="O99" s="4"/>
      <c r="P99" s="4"/>
      <c r="Q99" s="4"/>
      <c r="R99" t="str">
        <f t="shared" si="1"/>
        <v>E8 Model Quality</v>
      </c>
    </row>
    <row r="100" spans="1:18" x14ac:dyDescent="0.55000000000000004">
      <c r="A100" s="14" t="s">
        <v>334</v>
      </c>
      <c r="B100" s="10" t="s">
        <v>465</v>
      </c>
      <c r="C100" s="237" t="s">
        <v>257</v>
      </c>
      <c r="D100" s="11" t="s">
        <v>280</v>
      </c>
      <c r="E100" s="12">
        <v>46239</v>
      </c>
      <c r="F100" s="12">
        <v>46239</v>
      </c>
      <c r="G100" s="239" t="s">
        <v>466</v>
      </c>
      <c r="H100" s="10"/>
      <c r="I100" s="39"/>
      <c r="J100" s="10"/>
      <c r="K100" s="10"/>
      <c r="L100" s="10"/>
      <c r="M100" s="10"/>
      <c r="N100" s="10"/>
      <c r="O100" s="10"/>
      <c r="P100" s="10"/>
      <c r="Q100" s="10"/>
      <c r="R100" t="str">
        <f t="shared" si="1"/>
        <v>E8 Model Quality</v>
      </c>
    </row>
    <row r="101" spans="1:18" ht="21" customHeight="1" x14ac:dyDescent="0.55000000000000004">
      <c r="A101" s="3" t="s">
        <v>364</v>
      </c>
      <c r="B101" s="4" t="s">
        <v>467</v>
      </c>
      <c r="C101" s="237" t="s">
        <v>257</v>
      </c>
      <c r="D101" s="6" t="s">
        <v>268</v>
      </c>
      <c r="E101" s="7">
        <v>46246</v>
      </c>
      <c r="F101" s="7">
        <v>46248</v>
      </c>
      <c r="G101" s="238" t="s">
        <v>468</v>
      </c>
      <c r="H101" s="4"/>
      <c r="I101" s="4"/>
      <c r="J101" s="39"/>
      <c r="K101" s="4"/>
      <c r="L101" s="4"/>
      <c r="M101" s="4"/>
      <c r="N101" s="4"/>
      <c r="O101" s="4"/>
      <c r="P101" s="4"/>
      <c r="Q101" s="4"/>
      <c r="R101" t="str">
        <f t="shared" si="1"/>
        <v>E9 Data Ops</v>
      </c>
    </row>
    <row r="102" spans="1:18" x14ac:dyDescent="0.55000000000000004">
      <c r="A102" s="14" t="s">
        <v>364</v>
      </c>
      <c r="B102" s="10" t="s">
        <v>469</v>
      </c>
      <c r="C102" s="237" t="s">
        <v>257</v>
      </c>
      <c r="D102" s="11" t="s">
        <v>258</v>
      </c>
      <c r="E102" s="12">
        <v>46239</v>
      </c>
      <c r="F102" s="12">
        <v>46239</v>
      </c>
      <c r="G102" s="239" t="s">
        <v>470</v>
      </c>
      <c r="H102" s="10"/>
      <c r="I102" s="39"/>
      <c r="J102" s="10"/>
      <c r="K102" s="10"/>
      <c r="L102" s="10"/>
      <c r="M102" s="10"/>
      <c r="N102" s="10"/>
      <c r="O102" s="10"/>
      <c r="P102" s="10"/>
      <c r="Q102" s="10"/>
      <c r="R102" t="str">
        <f t="shared" si="1"/>
        <v>E9 Data Ops</v>
      </c>
    </row>
    <row r="103" spans="1:18" x14ac:dyDescent="0.55000000000000004">
      <c r="A103" s="3" t="s">
        <v>424</v>
      </c>
      <c r="B103" s="4" t="s">
        <v>471</v>
      </c>
      <c r="C103" s="237" t="s">
        <v>257</v>
      </c>
      <c r="D103" s="6" t="s">
        <v>258</v>
      </c>
      <c r="E103" s="7">
        <v>46238</v>
      </c>
      <c r="F103" s="7">
        <v>46238</v>
      </c>
      <c r="G103" s="238" t="s">
        <v>472</v>
      </c>
      <c r="H103" s="4"/>
      <c r="I103" s="37"/>
      <c r="J103" s="4"/>
      <c r="K103" s="4"/>
      <c r="L103" s="4"/>
      <c r="M103" s="4"/>
      <c r="N103" s="4"/>
      <c r="O103" s="4"/>
      <c r="P103" s="4"/>
      <c r="Q103" s="4"/>
      <c r="R103" t="str">
        <f t="shared" si="1"/>
        <v>E11 Ops Resilience</v>
      </c>
    </row>
    <row r="104" spans="1:18" x14ac:dyDescent="0.55000000000000004">
      <c r="A104" s="14" t="s">
        <v>297</v>
      </c>
      <c r="B104" s="10" t="s">
        <v>473</v>
      </c>
      <c r="C104" s="237" t="s">
        <v>257</v>
      </c>
      <c r="D104" s="11" t="s">
        <v>310</v>
      </c>
      <c r="E104" s="12">
        <v>46238</v>
      </c>
      <c r="F104" s="12">
        <v>46238</v>
      </c>
      <c r="G104" s="239" t="s">
        <v>474</v>
      </c>
      <c r="H104" s="10"/>
      <c r="I104" s="37"/>
      <c r="J104" s="10"/>
      <c r="K104" s="10"/>
      <c r="L104" s="10"/>
      <c r="M104" s="10"/>
      <c r="N104" s="10"/>
      <c r="O104" s="10"/>
      <c r="P104" s="10"/>
      <c r="Q104" s="10"/>
      <c r="R104" t="str">
        <f t="shared" si="1"/>
        <v>E5 ML Tennis</v>
      </c>
    </row>
    <row r="105" spans="1:18" x14ac:dyDescent="0.55000000000000004">
      <c r="A105" s="3" t="s">
        <v>297</v>
      </c>
      <c r="B105" s="4" t="s">
        <v>475</v>
      </c>
      <c r="C105" s="237" t="s">
        <v>257</v>
      </c>
      <c r="D105" s="6" t="s">
        <v>310</v>
      </c>
      <c r="E105" s="7">
        <v>46238</v>
      </c>
      <c r="F105" s="7">
        <v>46238</v>
      </c>
      <c r="G105" s="238" t="s">
        <v>476</v>
      </c>
      <c r="H105" s="4"/>
      <c r="I105" s="37"/>
      <c r="J105" s="4"/>
      <c r="K105" s="4"/>
      <c r="L105" s="4"/>
      <c r="M105" s="4"/>
      <c r="N105" s="4"/>
      <c r="O105" s="4"/>
      <c r="P105" s="4"/>
      <c r="Q105" s="4"/>
      <c r="R105" t="str">
        <f t="shared" si="1"/>
        <v>E5 ML Tennis</v>
      </c>
    </row>
    <row r="106" spans="1:18" x14ac:dyDescent="0.55000000000000004">
      <c r="A106" s="14" t="s">
        <v>364</v>
      </c>
      <c r="B106" s="10" t="s">
        <v>477</v>
      </c>
      <c r="C106" s="237" t="s">
        <v>257</v>
      </c>
      <c r="D106" s="11" t="s">
        <v>268</v>
      </c>
      <c r="E106" s="12">
        <v>46238</v>
      </c>
      <c r="F106" s="12">
        <v>46238</v>
      </c>
      <c r="G106" s="239" t="s">
        <v>478</v>
      </c>
      <c r="H106" s="10"/>
      <c r="I106" s="37"/>
      <c r="J106" s="10"/>
      <c r="K106" s="10"/>
      <c r="L106" s="10"/>
      <c r="M106" s="10"/>
      <c r="N106" s="10"/>
      <c r="O106" s="10"/>
      <c r="P106" s="10"/>
      <c r="Q106" s="10"/>
      <c r="R106" t="str">
        <f t="shared" si="1"/>
        <v>E9 Data Ops</v>
      </c>
    </row>
    <row r="107" spans="1:18" x14ac:dyDescent="0.55000000000000004">
      <c r="A107" s="3" t="s">
        <v>424</v>
      </c>
      <c r="B107" s="4" t="s">
        <v>479</v>
      </c>
      <c r="C107" s="237" t="s">
        <v>257</v>
      </c>
      <c r="D107" s="6" t="s">
        <v>258</v>
      </c>
      <c r="E107" s="7">
        <v>46238</v>
      </c>
      <c r="F107" s="7">
        <v>46238</v>
      </c>
      <c r="G107" s="238" t="s">
        <v>480</v>
      </c>
      <c r="H107" s="4"/>
      <c r="I107" s="37"/>
      <c r="J107" s="4"/>
      <c r="K107" s="4"/>
      <c r="L107" s="4"/>
      <c r="M107" s="4"/>
      <c r="N107" s="4"/>
      <c r="O107" s="4"/>
      <c r="P107" s="4"/>
      <c r="Q107" s="4"/>
      <c r="R107" t="str">
        <f t="shared" si="1"/>
        <v>E11 Ops Resilience</v>
      </c>
    </row>
    <row r="108" spans="1:18" x14ac:dyDescent="0.55000000000000004">
      <c r="A108" s="44" t="s">
        <v>395</v>
      </c>
      <c r="B108" s="45" t="s">
        <v>481</v>
      </c>
      <c r="C108" s="240" t="s">
        <v>257</v>
      </c>
      <c r="D108" s="46" t="s">
        <v>258</v>
      </c>
      <c r="E108" s="47">
        <v>46238</v>
      </c>
      <c r="F108" s="47">
        <v>46238</v>
      </c>
      <c r="G108" s="241" t="s">
        <v>482</v>
      </c>
      <c r="H108" s="45"/>
      <c r="I108" s="48"/>
      <c r="J108" s="45"/>
      <c r="K108" s="45"/>
      <c r="L108" s="45"/>
      <c r="M108" s="45"/>
      <c r="N108" s="45"/>
      <c r="O108" s="45"/>
      <c r="P108" s="45"/>
      <c r="Q108" s="45"/>
      <c r="R108" t="str">
        <f t="shared" si="1"/>
        <v>E10 Deploy</v>
      </c>
    </row>
    <row r="109" spans="1:18" x14ac:dyDescent="0.55000000000000004">
      <c r="A109" s="49" t="s">
        <v>395</v>
      </c>
      <c r="B109" s="50" t="s">
        <v>483</v>
      </c>
      <c r="C109" s="240" t="s">
        <v>257</v>
      </c>
      <c r="D109" s="51" t="s">
        <v>258</v>
      </c>
      <c r="E109" s="52">
        <v>46238</v>
      </c>
      <c r="F109" s="52">
        <v>46238</v>
      </c>
      <c r="G109" s="242" t="s">
        <v>484</v>
      </c>
      <c r="H109" s="50"/>
      <c r="I109" s="48"/>
      <c r="J109" s="50"/>
      <c r="K109" s="50"/>
      <c r="L109" s="50"/>
      <c r="M109" s="50"/>
      <c r="N109" s="50"/>
      <c r="O109" s="50"/>
      <c r="P109" s="50"/>
      <c r="Q109" s="50"/>
      <c r="R109" t="str">
        <f t="shared" si="1"/>
        <v>E10 Deploy</v>
      </c>
    </row>
    <row r="110" spans="1:18" x14ac:dyDescent="0.55000000000000004">
      <c r="A110" s="44" t="s">
        <v>395</v>
      </c>
      <c r="B110" s="45" t="s">
        <v>485</v>
      </c>
      <c r="C110" s="240" t="s">
        <v>257</v>
      </c>
      <c r="D110" s="46" t="s">
        <v>258</v>
      </c>
      <c r="E110" s="47">
        <v>46238</v>
      </c>
      <c r="F110" s="47">
        <v>46238</v>
      </c>
      <c r="G110" s="241" t="s">
        <v>486</v>
      </c>
      <c r="H110" s="45"/>
      <c r="I110" s="48"/>
      <c r="J110" s="45"/>
      <c r="K110" s="45"/>
      <c r="L110" s="45"/>
      <c r="M110" s="45"/>
      <c r="N110" s="45"/>
      <c r="O110" s="45"/>
      <c r="P110" s="45"/>
      <c r="Q110" s="45"/>
      <c r="R110" t="str">
        <f t="shared" si="1"/>
        <v>E10 Deploy</v>
      </c>
    </row>
    <row r="111" spans="1:18" x14ac:dyDescent="0.55000000000000004">
      <c r="A111" s="49" t="s">
        <v>395</v>
      </c>
      <c r="B111" s="50" t="s">
        <v>487</v>
      </c>
      <c r="C111" s="240" t="s">
        <v>257</v>
      </c>
      <c r="D111" s="51" t="s">
        <v>310</v>
      </c>
      <c r="E111" s="52">
        <v>46238</v>
      </c>
      <c r="F111" s="52">
        <v>46238</v>
      </c>
      <c r="G111" s="242" t="s">
        <v>488</v>
      </c>
      <c r="H111" s="50"/>
      <c r="I111" s="48"/>
      <c r="J111" s="50"/>
      <c r="K111" s="50"/>
      <c r="L111" s="50"/>
      <c r="M111" s="50"/>
      <c r="N111" s="50"/>
      <c r="O111" s="50"/>
      <c r="P111" s="50"/>
      <c r="Q111" s="50"/>
      <c r="R111" t="str">
        <f t="shared" si="1"/>
        <v>E10 Deploy</v>
      </c>
    </row>
    <row r="112" spans="1:18" x14ac:dyDescent="0.55000000000000004">
      <c r="A112" s="58" t="s">
        <v>395</v>
      </c>
      <c r="B112" s="59" t="s">
        <v>489</v>
      </c>
      <c r="C112" s="243" t="s">
        <v>257</v>
      </c>
      <c r="D112" s="60" t="s">
        <v>320</v>
      </c>
      <c r="E112" s="61">
        <v>46238</v>
      </c>
      <c r="F112" s="61">
        <v>46238</v>
      </c>
      <c r="G112" s="244" t="s">
        <v>490</v>
      </c>
      <c r="H112" s="59"/>
      <c r="I112" s="62"/>
      <c r="J112" s="59"/>
      <c r="K112" s="59"/>
      <c r="L112" s="59"/>
      <c r="M112" s="59"/>
      <c r="N112" s="59"/>
      <c r="O112" s="59"/>
      <c r="P112" s="59"/>
      <c r="Q112" s="59"/>
      <c r="R112" t="str">
        <f t="shared" si="1"/>
        <v>E10 Deploy</v>
      </c>
    </row>
    <row r="113" spans="1:18" x14ac:dyDescent="0.55000000000000004">
      <c r="A113" s="63" t="s">
        <v>395</v>
      </c>
      <c r="B113" s="64" t="s">
        <v>491</v>
      </c>
      <c r="C113" s="243" t="s">
        <v>257</v>
      </c>
      <c r="D113" s="65" t="s">
        <v>258</v>
      </c>
      <c r="E113" s="66">
        <v>46238</v>
      </c>
      <c r="F113" s="66">
        <v>46238</v>
      </c>
      <c r="G113" s="245" t="s">
        <v>492</v>
      </c>
      <c r="H113" s="64"/>
      <c r="I113" s="62"/>
      <c r="J113" s="64"/>
      <c r="K113" s="64"/>
      <c r="L113" s="64"/>
      <c r="M113" s="64"/>
      <c r="N113" s="64"/>
      <c r="O113" s="64"/>
      <c r="P113" s="64"/>
      <c r="Q113" s="64"/>
      <c r="R113" t="str">
        <f t="shared" si="1"/>
        <v>E10 Deploy</v>
      </c>
    </row>
    <row r="114" spans="1:18" x14ac:dyDescent="0.55000000000000004">
      <c r="A114" s="58" t="s">
        <v>395</v>
      </c>
      <c r="B114" s="59" t="s">
        <v>493</v>
      </c>
      <c r="C114" s="240" t="s">
        <v>257</v>
      </c>
      <c r="D114" s="60" t="s">
        <v>258</v>
      </c>
      <c r="E114" s="61">
        <v>46238</v>
      </c>
      <c r="F114" s="61">
        <v>46238</v>
      </c>
      <c r="G114" s="244" t="s">
        <v>494</v>
      </c>
      <c r="H114" s="59"/>
      <c r="I114" s="68"/>
      <c r="J114" s="59"/>
      <c r="K114" s="59"/>
      <c r="L114" s="59"/>
      <c r="M114" s="59"/>
      <c r="N114" s="59"/>
      <c r="O114" s="59"/>
      <c r="P114" s="59"/>
      <c r="Q114" s="59"/>
      <c r="R114" t="str">
        <f t="shared" si="1"/>
        <v>E10 Deploy</v>
      </c>
    </row>
    <row r="115" spans="1:18" x14ac:dyDescent="0.55000000000000004">
      <c r="A115" s="63" t="s">
        <v>395</v>
      </c>
      <c r="B115" s="64" t="s">
        <v>495</v>
      </c>
      <c r="C115" s="243" t="s">
        <v>257</v>
      </c>
      <c r="D115" s="65" t="s">
        <v>320</v>
      </c>
      <c r="E115" s="66">
        <v>46239</v>
      </c>
      <c r="F115" s="66">
        <v>46239</v>
      </c>
      <c r="G115" s="245" t="s">
        <v>496</v>
      </c>
      <c r="H115" s="64"/>
      <c r="I115" s="70"/>
      <c r="J115" s="64"/>
      <c r="K115" s="64"/>
      <c r="L115" s="64"/>
      <c r="M115" s="64"/>
      <c r="N115" s="64"/>
      <c r="O115" s="64"/>
      <c r="P115" s="64"/>
      <c r="Q115" s="64"/>
      <c r="R115" t="str">
        <f t="shared" si="1"/>
        <v>E10 Deploy</v>
      </c>
    </row>
    <row r="116" spans="1:18" x14ac:dyDescent="0.55000000000000004">
      <c r="A116" s="73" t="s">
        <v>395</v>
      </c>
      <c r="B116" s="74" t="s">
        <v>497</v>
      </c>
      <c r="C116" s="246" t="s">
        <v>257</v>
      </c>
      <c r="D116" s="75" t="s">
        <v>320</v>
      </c>
      <c r="E116" s="76">
        <v>46238</v>
      </c>
      <c r="F116" s="76">
        <v>46238</v>
      </c>
      <c r="G116" s="247" t="s">
        <v>498</v>
      </c>
      <c r="H116" s="74"/>
      <c r="I116" s="77"/>
      <c r="J116" s="74"/>
      <c r="K116" s="74"/>
      <c r="L116" s="74"/>
      <c r="M116" s="74"/>
      <c r="N116" s="74"/>
      <c r="O116" s="74"/>
      <c r="P116" s="74"/>
      <c r="Q116" s="74"/>
      <c r="R116" t="str">
        <f t="shared" si="1"/>
        <v>E10 Deploy</v>
      </c>
    </row>
    <row r="117" spans="1:18" x14ac:dyDescent="0.55000000000000004">
      <c r="A117" s="81" t="s">
        <v>318</v>
      </c>
      <c r="B117" s="82" t="s">
        <v>499</v>
      </c>
      <c r="C117" s="248" t="s">
        <v>257</v>
      </c>
      <c r="D117" s="83" t="s">
        <v>320</v>
      </c>
      <c r="E117" s="84">
        <v>46238</v>
      </c>
      <c r="F117" s="84">
        <v>46238</v>
      </c>
      <c r="G117" s="249" t="s">
        <v>500</v>
      </c>
      <c r="H117" s="82"/>
      <c r="I117" s="85"/>
      <c r="J117" s="82"/>
      <c r="K117" s="82"/>
      <c r="L117" s="82"/>
      <c r="M117" s="82"/>
      <c r="N117" s="82"/>
      <c r="O117" s="82"/>
      <c r="P117" s="82"/>
      <c r="Q117" s="82"/>
      <c r="R117" t="str">
        <f t="shared" si="1"/>
        <v>E7 Mobile</v>
      </c>
    </row>
    <row r="118" spans="1:18" x14ac:dyDescent="0.55000000000000004">
      <c r="A118" s="86" t="s">
        <v>318</v>
      </c>
      <c r="B118" s="87" t="s">
        <v>501</v>
      </c>
      <c r="C118" s="248" t="s">
        <v>257</v>
      </c>
      <c r="D118" s="88" t="s">
        <v>393</v>
      </c>
      <c r="E118" s="89">
        <v>46238</v>
      </c>
      <c r="F118" s="89">
        <v>46238</v>
      </c>
      <c r="G118" s="250" t="s">
        <v>502</v>
      </c>
      <c r="H118" s="87"/>
      <c r="I118" s="85"/>
      <c r="J118" s="87"/>
      <c r="K118" s="87"/>
      <c r="L118" s="87"/>
      <c r="M118" s="87"/>
      <c r="N118" s="87"/>
      <c r="O118" s="87"/>
      <c r="P118" s="87"/>
      <c r="Q118" s="87"/>
      <c r="R118" t="str">
        <f t="shared" si="1"/>
        <v>E7 Mobile</v>
      </c>
    </row>
    <row r="119" spans="1:18" x14ac:dyDescent="0.55000000000000004">
      <c r="A119" s="81" t="s">
        <v>395</v>
      </c>
      <c r="B119" s="82" t="s">
        <v>503</v>
      </c>
      <c r="C119" s="254" t="s">
        <v>257</v>
      </c>
      <c r="D119" s="83" t="s">
        <v>320</v>
      </c>
      <c r="E119" s="84">
        <v>46239</v>
      </c>
      <c r="F119" s="84">
        <v>46239</v>
      </c>
      <c r="G119" s="249" t="s">
        <v>504</v>
      </c>
      <c r="H119" s="82"/>
      <c r="I119" s="91"/>
      <c r="J119" s="82"/>
      <c r="K119" s="82"/>
      <c r="L119" s="82"/>
      <c r="M119" s="82"/>
      <c r="N119" s="82"/>
      <c r="O119" s="82"/>
      <c r="P119" s="82"/>
      <c r="Q119" s="82"/>
      <c r="R119" t="str">
        <f t="shared" si="1"/>
        <v>E10 Deploy</v>
      </c>
    </row>
    <row r="120" spans="1:18" x14ac:dyDescent="0.55000000000000004">
      <c r="A120" s="86" t="s">
        <v>318</v>
      </c>
      <c r="B120" s="87" t="s">
        <v>505</v>
      </c>
      <c r="C120" s="90" t="s">
        <v>16</v>
      </c>
      <c r="D120" s="88" t="s">
        <v>393</v>
      </c>
      <c r="E120" s="89">
        <v>46244</v>
      </c>
      <c r="F120" s="89">
        <v>46248</v>
      </c>
      <c r="G120" s="250" t="s">
        <v>506</v>
      </c>
      <c r="H120" s="87"/>
      <c r="I120" s="87"/>
      <c r="J120" s="91"/>
      <c r="K120" s="87"/>
      <c r="L120" s="87"/>
      <c r="M120" s="87"/>
      <c r="N120" s="87"/>
      <c r="O120" s="87"/>
      <c r="P120" s="87"/>
      <c r="Q120" s="87"/>
      <c r="R120" t="str">
        <f t="shared" si="1"/>
        <v>E7 Mobile</v>
      </c>
    </row>
    <row r="121" spans="1:18" x14ac:dyDescent="0.55000000000000004">
      <c r="A121" s="95" t="s">
        <v>395</v>
      </c>
      <c r="B121" s="96" t="s">
        <v>507</v>
      </c>
      <c r="C121" s="251" t="s">
        <v>257</v>
      </c>
      <c r="D121" s="97" t="s">
        <v>320</v>
      </c>
      <c r="E121" s="98">
        <v>46238</v>
      </c>
      <c r="F121" s="98">
        <v>46238</v>
      </c>
      <c r="G121" s="252" t="s">
        <v>508</v>
      </c>
      <c r="H121" s="96"/>
      <c r="I121" s="99"/>
      <c r="J121" s="96"/>
      <c r="K121" s="96"/>
      <c r="L121" s="96"/>
      <c r="M121" s="96"/>
      <c r="N121" s="96"/>
      <c r="O121" s="96"/>
      <c r="P121" s="96"/>
      <c r="Q121" s="96"/>
      <c r="R121" t="str">
        <f t="shared" si="1"/>
        <v>E10 Deploy</v>
      </c>
    </row>
    <row r="122" spans="1:18" x14ac:dyDescent="0.55000000000000004">
      <c r="A122" s="100" t="s">
        <v>395</v>
      </c>
      <c r="B122" s="101" t="s">
        <v>509</v>
      </c>
      <c r="C122" s="251" t="s">
        <v>257</v>
      </c>
      <c r="D122" s="102" t="s">
        <v>320</v>
      </c>
      <c r="E122" s="103">
        <v>46238</v>
      </c>
      <c r="F122" s="103">
        <v>46238</v>
      </c>
      <c r="G122" s="253" t="s">
        <v>510</v>
      </c>
      <c r="H122" s="101"/>
      <c r="I122" s="99"/>
      <c r="J122" s="101"/>
      <c r="K122" s="101"/>
      <c r="L122" s="101"/>
      <c r="M122" s="101"/>
      <c r="N122" s="101"/>
      <c r="O122" s="101"/>
      <c r="P122" s="101"/>
      <c r="Q122" s="101"/>
      <c r="R122" t="str">
        <f t="shared" si="1"/>
        <v>E10 Deploy</v>
      </c>
    </row>
    <row r="123" spans="1:18" x14ac:dyDescent="0.55000000000000004">
      <c r="A123" s="95" t="s">
        <v>395</v>
      </c>
      <c r="B123" s="96" t="s">
        <v>511</v>
      </c>
      <c r="C123" s="251" t="s">
        <v>257</v>
      </c>
      <c r="D123" s="97" t="s">
        <v>320</v>
      </c>
      <c r="E123" s="98">
        <v>46239</v>
      </c>
      <c r="F123" s="98">
        <v>46239</v>
      </c>
      <c r="G123" s="252" t="s">
        <v>512</v>
      </c>
      <c r="H123" s="96"/>
      <c r="I123" s="105"/>
      <c r="J123" s="96"/>
      <c r="K123" s="96"/>
      <c r="L123" s="96"/>
      <c r="M123" s="96"/>
      <c r="N123" s="96"/>
      <c r="O123" s="96"/>
      <c r="P123" s="96"/>
      <c r="Q123" s="96"/>
      <c r="R123" t="str">
        <f t="shared" si="1"/>
        <v>E10 Deploy</v>
      </c>
    </row>
    <row r="124" spans="1:18" x14ac:dyDescent="0.55000000000000004">
      <c r="A124" s="100" t="s">
        <v>395</v>
      </c>
      <c r="B124" s="101" t="s">
        <v>513</v>
      </c>
      <c r="C124" s="251" t="s">
        <v>257</v>
      </c>
      <c r="D124" s="102" t="s">
        <v>320</v>
      </c>
      <c r="E124" s="103">
        <v>46239</v>
      </c>
      <c r="F124" s="103">
        <v>46240</v>
      </c>
      <c r="G124" s="253" t="s">
        <v>514</v>
      </c>
      <c r="H124" s="101"/>
      <c r="I124" s="105"/>
      <c r="J124" s="101"/>
      <c r="K124" s="101"/>
      <c r="L124" s="101"/>
      <c r="M124" s="101"/>
      <c r="N124" s="101"/>
      <c r="O124" s="101"/>
      <c r="P124" s="101"/>
      <c r="Q124" s="101"/>
      <c r="R124" t="str">
        <f t="shared" si="1"/>
        <v>E10 Deploy</v>
      </c>
    </row>
    <row r="125" spans="1:18" x14ac:dyDescent="0.55000000000000004">
      <c r="A125" s="110" t="s">
        <v>395</v>
      </c>
      <c r="B125" s="111" t="s">
        <v>515</v>
      </c>
      <c r="C125" s="254" t="s">
        <v>257</v>
      </c>
      <c r="D125" s="112" t="s">
        <v>320</v>
      </c>
      <c r="E125" s="113">
        <v>46238</v>
      </c>
      <c r="F125" s="113">
        <v>46238</v>
      </c>
      <c r="G125" s="255" t="s">
        <v>516</v>
      </c>
      <c r="H125" s="111"/>
      <c r="I125" s="114"/>
      <c r="J125" s="111"/>
      <c r="K125" s="111"/>
      <c r="L125" s="111"/>
      <c r="M125" s="111"/>
      <c r="N125" s="111"/>
      <c r="O125" s="111"/>
      <c r="P125" s="111"/>
      <c r="Q125" s="111"/>
      <c r="R125" t="str">
        <f t="shared" si="1"/>
        <v>E10 Deploy</v>
      </c>
    </row>
    <row r="126" spans="1:18" ht="21" customHeight="1" x14ac:dyDescent="0.55000000000000004">
      <c r="A126" s="115" t="s">
        <v>395</v>
      </c>
      <c r="B126" s="116" t="s">
        <v>517</v>
      </c>
      <c r="C126" s="254" t="s">
        <v>257</v>
      </c>
      <c r="D126" s="117" t="s">
        <v>320</v>
      </c>
      <c r="E126" s="118">
        <v>46239</v>
      </c>
      <c r="F126" s="118">
        <v>46239</v>
      </c>
      <c r="G126" s="256" t="s">
        <v>518</v>
      </c>
      <c r="H126" s="116"/>
      <c r="I126" s="119"/>
      <c r="J126" s="116"/>
      <c r="K126" s="116"/>
      <c r="L126" s="116"/>
      <c r="M126" s="116"/>
      <c r="N126" s="116"/>
      <c r="O126" s="116"/>
      <c r="P126" s="116"/>
      <c r="Q126" s="116"/>
      <c r="R126" t="str">
        <f t="shared" si="1"/>
        <v>E10 Deploy</v>
      </c>
    </row>
    <row r="127" spans="1:18" ht="21" customHeight="1" x14ac:dyDescent="0.55000000000000004">
      <c r="A127" s="120" t="s">
        <v>318</v>
      </c>
      <c r="B127" s="121" t="s">
        <v>519</v>
      </c>
      <c r="C127" s="267" t="s">
        <v>257</v>
      </c>
      <c r="D127" s="123" t="s">
        <v>320</v>
      </c>
      <c r="E127" s="124">
        <v>46239</v>
      </c>
      <c r="F127" s="124">
        <v>46239</v>
      </c>
      <c r="G127" s="257" t="s">
        <v>520</v>
      </c>
      <c r="H127" s="121"/>
      <c r="I127" s="125"/>
      <c r="J127" s="121"/>
      <c r="K127" s="121"/>
      <c r="L127" s="121"/>
      <c r="M127" s="121"/>
      <c r="N127" s="121"/>
      <c r="O127" s="121"/>
      <c r="P127" s="121"/>
      <c r="Q127" s="121"/>
      <c r="R127" t="str">
        <f t="shared" si="1"/>
        <v>E7 Mobile</v>
      </c>
    </row>
    <row r="128" spans="1:18" x14ac:dyDescent="0.55000000000000004">
      <c r="A128" s="126" t="s">
        <v>318</v>
      </c>
      <c r="B128" s="127" t="s">
        <v>521</v>
      </c>
      <c r="C128" s="258" t="s">
        <v>257</v>
      </c>
      <c r="D128" s="128" t="s">
        <v>320</v>
      </c>
      <c r="E128" s="129">
        <v>46239</v>
      </c>
      <c r="F128" s="129">
        <v>46239</v>
      </c>
      <c r="G128" s="259" t="s">
        <v>522</v>
      </c>
      <c r="H128" s="127"/>
      <c r="I128" s="130"/>
      <c r="J128" s="127"/>
      <c r="K128" s="127"/>
      <c r="L128" s="127"/>
      <c r="M128" s="127"/>
      <c r="N128" s="127"/>
      <c r="O128" s="127"/>
      <c r="P128" s="127"/>
      <c r="Q128" s="127"/>
      <c r="R128" t="str">
        <f t="shared" si="1"/>
        <v>E7 Mobile</v>
      </c>
    </row>
    <row r="129" spans="1:18" x14ac:dyDescent="0.55000000000000004">
      <c r="A129" s="120" t="s">
        <v>318</v>
      </c>
      <c r="B129" s="121" t="s">
        <v>523</v>
      </c>
      <c r="C129" s="258" t="s">
        <v>257</v>
      </c>
      <c r="D129" s="123" t="s">
        <v>320</v>
      </c>
      <c r="E129" s="124">
        <v>46239</v>
      </c>
      <c r="F129" s="124">
        <v>46239</v>
      </c>
      <c r="G129" s="257" t="s">
        <v>524</v>
      </c>
      <c r="H129" s="121"/>
      <c r="I129" s="130"/>
      <c r="J129" s="121"/>
      <c r="K129" s="121"/>
      <c r="L129" s="121"/>
      <c r="M129" s="121"/>
      <c r="N129" s="121"/>
      <c r="O129" s="121"/>
      <c r="P129" s="121"/>
      <c r="Q129" s="121"/>
      <c r="R129" t="str">
        <f t="shared" si="1"/>
        <v>E7 Mobile</v>
      </c>
    </row>
    <row r="130" spans="1:18" x14ac:dyDescent="0.55000000000000004">
      <c r="A130" s="126" t="s">
        <v>424</v>
      </c>
      <c r="B130" s="127" t="s">
        <v>525</v>
      </c>
      <c r="C130" s="258" t="s">
        <v>257</v>
      </c>
      <c r="D130" s="128" t="s">
        <v>310</v>
      </c>
      <c r="E130" s="129">
        <v>46239</v>
      </c>
      <c r="F130" s="129">
        <v>46239</v>
      </c>
      <c r="G130" s="259" t="s">
        <v>526</v>
      </c>
      <c r="H130" s="127"/>
      <c r="I130" s="130"/>
      <c r="J130" s="127"/>
      <c r="K130" s="127"/>
      <c r="L130" s="127"/>
      <c r="M130" s="127"/>
      <c r="N130" s="127"/>
      <c r="O130" s="127"/>
      <c r="P130" s="127"/>
      <c r="Q130" s="127"/>
      <c r="R130" t="str">
        <f t="shared" si="1"/>
        <v>E11 Ops Resilience</v>
      </c>
    </row>
    <row r="131" spans="1:18" x14ac:dyDescent="0.55000000000000004">
      <c r="A131" s="120" t="s">
        <v>318</v>
      </c>
      <c r="B131" s="121" t="s">
        <v>527</v>
      </c>
      <c r="C131" s="258" t="s">
        <v>257</v>
      </c>
      <c r="D131" s="123" t="s">
        <v>320</v>
      </c>
      <c r="E131" s="124">
        <v>46239</v>
      </c>
      <c r="F131" s="124">
        <v>46239</v>
      </c>
      <c r="G131" s="257" t="s">
        <v>528</v>
      </c>
      <c r="H131" s="121"/>
      <c r="I131" s="132"/>
      <c r="J131" s="121"/>
      <c r="K131" s="121"/>
      <c r="L131" s="121"/>
      <c r="M131" s="121"/>
      <c r="N131" s="121"/>
      <c r="O131" s="121"/>
      <c r="P131" s="121"/>
      <c r="Q131" s="121"/>
      <c r="R131" t="str">
        <f t="shared" si="1"/>
        <v>E7 Mobile</v>
      </c>
    </row>
    <row r="132" spans="1:18" x14ac:dyDescent="0.55000000000000004">
      <c r="A132" s="126" t="s">
        <v>318</v>
      </c>
      <c r="B132" s="127" t="s">
        <v>529</v>
      </c>
      <c r="C132" s="131" t="s">
        <v>16</v>
      </c>
      <c r="D132" s="128" t="s">
        <v>320</v>
      </c>
      <c r="E132" s="129">
        <v>46240</v>
      </c>
      <c r="F132" s="129">
        <v>46240</v>
      </c>
      <c r="G132" s="259" t="s">
        <v>530</v>
      </c>
      <c r="H132" s="127"/>
      <c r="I132" s="132"/>
      <c r="J132" s="127"/>
      <c r="K132" s="127"/>
      <c r="L132" s="127"/>
      <c r="M132" s="127"/>
      <c r="N132" s="127"/>
      <c r="O132" s="127"/>
      <c r="P132" s="127"/>
      <c r="Q132" s="127"/>
      <c r="R132" t="str">
        <f t="shared" si="1"/>
        <v>E7 Mobile</v>
      </c>
    </row>
    <row r="133" spans="1:18" x14ac:dyDescent="0.55000000000000004">
      <c r="A133" s="137" t="s">
        <v>364</v>
      </c>
      <c r="B133" s="138" t="s">
        <v>531</v>
      </c>
      <c r="C133" s="260" t="s">
        <v>257</v>
      </c>
      <c r="D133" s="139" t="s">
        <v>268</v>
      </c>
      <c r="E133" s="140">
        <v>46239</v>
      </c>
      <c r="F133" s="140">
        <v>46239</v>
      </c>
      <c r="G133" s="261" t="s">
        <v>532</v>
      </c>
      <c r="H133" s="138"/>
      <c r="I133" s="141"/>
      <c r="J133" s="138"/>
      <c r="K133" s="138"/>
      <c r="L133" s="138"/>
      <c r="M133" s="138"/>
      <c r="N133" s="138"/>
      <c r="O133" s="138"/>
      <c r="P133" s="138"/>
      <c r="Q133" s="138"/>
      <c r="R133" t="str">
        <f t="shared" ref="R133:R196" si="2">IF($A133&lt;&gt;"",$A133,R132)</f>
        <v>E9 Data Ops</v>
      </c>
    </row>
    <row r="134" spans="1:18" x14ac:dyDescent="0.55000000000000004">
      <c r="A134" s="142" t="s">
        <v>364</v>
      </c>
      <c r="B134" s="143" t="s">
        <v>533</v>
      </c>
      <c r="C134" s="260" t="s">
        <v>257</v>
      </c>
      <c r="D134" s="144" t="s">
        <v>268</v>
      </c>
      <c r="E134" s="145">
        <v>46239</v>
      </c>
      <c r="F134" s="145">
        <v>46239</v>
      </c>
      <c r="G134" s="262" t="s">
        <v>534</v>
      </c>
      <c r="H134" s="143"/>
      <c r="I134" s="141"/>
      <c r="J134" s="143"/>
      <c r="K134" s="143"/>
      <c r="L134" s="143"/>
      <c r="M134" s="143"/>
      <c r="N134" s="143"/>
      <c r="O134" s="143"/>
      <c r="P134" s="143"/>
      <c r="Q134" s="143"/>
      <c r="R134" t="str">
        <f t="shared" si="2"/>
        <v>E9 Data Ops</v>
      </c>
    </row>
    <row r="135" spans="1:18" x14ac:dyDescent="0.55000000000000004">
      <c r="A135" s="153" t="s">
        <v>364</v>
      </c>
      <c r="B135" s="154" t="s">
        <v>535</v>
      </c>
      <c r="C135" s="155" t="s">
        <v>16</v>
      </c>
      <c r="D135" s="156" t="s">
        <v>268</v>
      </c>
      <c r="E135" s="157">
        <v>46255</v>
      </c>
      <c r="F135" s="157">
        <v>46255</v>
      </c>
      <c r="G135" s="263" t="s">
        <v>536</v>
      </c>
      <c r="H135" s="154"/>
      <c r="I135" s="154"/>
      <c r="J135" s="154"/>
      <c r="K135" s="158"/>
      <c r="L135" s="154"/>
      <c r="M135" s="154"/>
      <c r="N135" s="154"/>
      <c r="O135" s="154"/>
      <c r="P135" s="154"/>
      <c r="Q135" s="154"/>
      <c r="R135" t="str">
        <f t="shared" si="2"/>
        <v>E9 Data Ops</v>
      </c>
    </row>
    <row r="136" spans="1:18" x14ac:dyDescent="0.55000000000000004">
      <c r="A136" s="162" t="s">
        <v>364</v>
      </c>
      <c r="B136" s="163" t="s">
        <v>537</v>
      </c>
      <c r="C136" s="264" t="s">
        <v>257</v>
      </c>
      <c r="D136" s="164" t="s">
        <v>268</v>
      </c>
      <c r="E136" s="165">
        <v>46239</v>
      </c>
      <c r="F136" s="165">
        <v>46239</v>
      </c>
      <c r="G136" s="265" t="s">
        <v>538</v>
      </c>
      <c r="H136" s="163"/>
      <c r="I136" s="166"/>
      <c r="J136" s="163"/>
      <c r="K136" s="163"/>
      <c r="L136" s="163"/>
      <c r="M136" s="163"/>
      <c r="N136" s="163"/>
      <c r="O136" s="163"/>
      <c r="P136" s="163"/>
      <c r="Q136" s="163"/>
      <c r="R136" t="str">
        <f t="shared" si="2"/>
        <v>E9 Data Ops</v>
      </c>
    </row>
    <row r="137" spans="1:18" x14ac:dyDescent="0.55000000000000004">
      <c r="A137" s="174" t="s">
        <v>297</v>
      </c>
      <c r="B137" s="175" t="s">
        <v>539</v>
      </c>
      <c r="C137" s="267" t="s">
        <v>257</v>
      </c>
      <c r="D137" s="177" t="s">
        <v>268</v>
      </c>
      <c r="E137" s="178">
        <v>46239</v>
      </c>
      <c r="F137" s="178">
        <v>46239</v>
      </c>
      <c r="G137" s="266" t="s">
        <v>540</v>
      </c>
      <c r="H137" s="175"/>
      <c r="I137" s="179"/>
      <c r="J137" s="175"/>
      <c r="K137" s="175"/>
      <c r="L137" s="175"/>
      <c r="M137" s="175"/>
      <c r="N137" s="175"/>
      <c r="O137" s="175"/>
      <c r="P137" s="175"/>
      <c r="Q137" s="175"/>
      <c r="R137" t="str">
        <f t="shared" si="2"/>
        <v>E5 ML Tennis</v>
      </c>
    </row>
    <row r="138" spans="1:18" x14ac:dyDescent="0.55000000000000004">
      <c r="A138" s="180" t="s">
        <v>297</v>
      </c>
      <c r="B138" s="181" t="s">
        <v>541</v>
      </c>
      <c r="C138" s="267" t="s">
        <v>257</v>
      </c>
      <c r="D138" s="182" t="s">
        <v>310</v>
      </c>
      <c r="E138" s="183">
        <v>46239</v>
      </c>
      <c r="F138" s="183">
        <v>46239</v>
      </c>
      <c r="G138" s="268" t="s">
        <v>542</v>
      </c>
      <c r="H138" s="181"/>
      <c r="I138" s="184"/>
      <c r="J138" s="181"/>
      <c r="K138" s="181"/>
      <c r="L138" s="181"/>
      <c r="M138" s="181"/>
      <c r="N138" s="181"/>
      <c r="O138" s="181"/>
      <c r="P138" s="181"/>
      <c r="Q138" s="181"/>
      <c r="R138" t="str">
        <f t="shared" si="2"/>
        <v>E5 ML Tennis</v>
      </c>
    </row>
    <row r="139" spans="1:18" x14ac:dyDescent="0.55000000000000004">
      <c r="A139" s="174" t="s">
        <v>297</v>
      </c>
      <c r="B139" s="175" t="s">
        <v>543</v>
      </c>
      <c r="C139" s="267" t="s">
        <v>257</v>
      </c>
      <c r="D139" s="177" t="s">
        <v>310</v>
      </c>
      <c r="E139" s="178">
        <v>46239</v>
      </c>
      <c r="F139" s="178">
        <v>46239</v>
      </c>
      <c r="G139" s="266" t="s">
        <v>544</v>
      </c>
      <c r="H139" s="175"/>
      <c r="I139" s="184"/>
      <c r="J139" s="175"/>
      <c r="K139" s="175"/>
      <c r="L139" s="175"/>
      <c r="M139" s="175"/>
      <c r="N139" s="175"/>
      <c r="O139" s="175"/>
      <c r="P139" s="175"/>
      <c r="Q139" s="175"/>
      <c r="R139" t="str">
        <f t="shared" si="2"/>
        <v>E5 ML Tennis</v>
      </c>
    </row>
    <row r="140" spans="1:18" ht="21" customHeight="1" x14ac:dyDescent="0.55000000000000004">
      <c r="A140" s="180" t="s">
        <v>364</v>
      </c>
      <c r="B140" s="181" t="s">
        <v>545</v>
      </c>
      <c r="C140" s="185" t="s">
        <v>16</v>
      </c>
      <c r="D140" s="182" t="s">
        <v>268</v>
      </c>
      <c r="E140" s="183">
        <v>46242</v>
      </c>
      <c r="F140" s="183">
        <v>46242</v>
      </c>
      <c r="G140" s="268" t="s">
        <v>546</v>
      </c>
      <c r="H140" s="181"/>
      <c r="I140" s="186"/>
      <c r="J140" s="181"/>
      <c r="K140" s="181"/>
      <c r="L140" s="181"/>
      <c r="M140" s="181"/>
      <c r="N140" s="181"/>
      <c r="O140" s="181"/>
      <c r="P140" s="181"/>
      <c r="Q140" s="181"/>
      <c r="R140" t="str">
        <f t="shared" si="2"/>
        <v>E9 Data Ops</v>
      </c>
    </row>
    <row r="141" spans="1:18" x14ac:dyDescent="0.55000000000000004">
      <c r="A141" s="174" t="s">
        <v>364</v>
      </c>
      <c r="B141" s="175" t="s">
        <v>547</v>
      </c>
      <c r="C141" s="267" t="s">
        <v>257</v>
      </c>
      <c r="D141" s="177" t="s">
        <v>258</v>
      </c>
      <c r="E141" s="178">
        <v>46240</v>
      </c>
      <c r="F141" s="178">
        <v>46240</v>
      </c>
      <c r="G141" s="266" t="s">
        <v>548</v>
      </c>
      <c r="H141" s="175"/>
      <c r="I141" s="186"/>
      <c r="J141" s="175"/>
      <c r="K141" s="175"/>
      <c r="L141" s="175"/>
      <c r="M141" s="175"/>
      <c r="N141" s="175"/>
      <c r="O141" s="175"/>
      <c r="P141" s="175"/>
      <c r="Q141" s="175"/>
      <c r="R141" t="str">
        <f t="shared" si="2"/>
        <v>E9 Data Ops</v>
      </c>
    </row>
    <row r="142" spans="1:18" x14ac:dyDescent="0.55000000000000004">
      <c r="A142" s="180" t="s">
        <v>318</v>
      </c>
      <c r="B142" s="181" t="s">
        <v>549</v>
      </c>
      <c r="C142" s="185" t="s">
        <v>16</v>
      </c>
      <c r="D142" s="182" t="s">
        <v>320</v>
      </c>
      <c r="E142" s="183">
        <v>46273</v>
      </c>
      <c r="F142" s="183">
        <v>46277</v>
      </c>
      <c r="G142" s="268" t="s">
        <v>550</v>
      </c>
      <c r="H142" s="181"/>
      <c r="I142" s="181"/>
      <c r="J142" s="181"/>
      <c r="K142" s="181"/>
      <c r="L142" s="181"/>
      <c r="M142" s="181"/>
      <c r="N142" s="186"/>
      <c r="O142" s="181"/>
      <c r="P142" s="181"/>
      <c r="Q142" s="181"/>
      <c r="R142" t="str">
        <f t="shared" si="2"/>
        <v>E7 Mobile</v>
      </c>
    </row>
    <row r="143" spans="1:18" x14ac:dyDescent="0.55000000000000004">
      <c r="A143" s="174" t="s">
        <v>318</v>
      </c>
      <c r="B143" s="175" t="s">
        <v>551</v>
      </c>
      <c r="C143" s="267" t="s">
        <v>257</v>
      </c>
      <c r="D143" s="177" t="s">
        <v>320</v>
      </c>
      <c r="E143" s="178">
        <v>46239</v>
      </c>
      <c r="F143" s="178">
        <v>46239</v>
      </c>
      <c r="G143" s="266" t="s">
        <v>552</v>
      </c>
      <c r="H143" s="175"/>
      <c r="I143" s="184"/>
      <c r="J143" s="175"/>
      <c r="K143" s="175"/>
      <c r="L143" s="175"/>
      <c r="M143" s="175"/>
      <c r="N143" s="175"/>
      <c r="O143" s="175"/>
      <c r="P143" s="175"/>
      <c r="Q143" s="175"/>
      <c r="R143" t="str">
        <f t="shared" si="2"/>
        <v>E7 Mobile</v>
      </c>
    </row>
    <row r="144" spans="1:18" x14ac:dyDescent="0.55000000000000004">
      <c r="A144" s="191" t="s">
        <v>334</v>
      </c>
      <c r="B144" s="192" t="s">
        <v>553</v>
      </c>
      <c r="C144" s="269" t="s">
        <v>257</v>
      </c>
      <c r="D144" s="193" t="s">
        <v>268</v>
      </c>
      <c r="E144" s="194">
        <v>46240</v>
      </c>
      <c r="F144" s="194">
        <v>46240</v>
      </c>
      <c r="G144" s="270" t="s">
        <v>554</v>
      </c>
      <c r="H144" s="192"/>
      <c r="I144" s="195"/>
      <c r="J144" s="192"/>
      <c r="K144" s="192"/>
      <c r="L144" s="192"/>
      <c r="M144" s="192"/>
      <c r="N144" s="192"/>
      <c r="O144" s="192"/>
      <c r="P144" s="192"/>
      <c r="Q144" s="192"/>
      <c r="R144" t="str">
        <f t="shared" si="2"/>
        <v>E8 Model Quality</v>
      </c>
    </row>
    <row r="145" spans="1:18" x14ac:dyDescent="0.55000000000000004">
      <c r="A145" s="196" t="s">
        <v>334</v>
      </c>
      <c r="B145" s="197" t="s">
        <v>555</v>
      </c>
      <c r="C145" s="269" t="s">
        <v>257</v>
      </c>
      <c r="D145" s="199" t="s">
        <v>280</v>
      </c>
      <c r="E145" s="200">
        <v>46240</v>
      </c>
      <c r="F145" s="200">
        <v>46240</v>
      </c>
      <c r="G145" s="271" t="s">
        <v>556</v>
      </c>
      <c r="H145" s="197"/>
      <c r="I145" s="201"/>
      <c r="J145" s="197"/>
      <c r="K145" s="197"/>
      <c r="L145" s="197"/>
      <c r="M145" s="197"/>
      <c r="N145" s="197"/>
      <c r="O145" s="197"/>
      <c r="P145" s="197"/>
      <c r="Q145" s="197"/>
      <c r="R145" t="str">
        <f t="shared" si="2"/>
        <v>E8 Model Quality</v>
      </c>
    </row>
    <row r="146" spans="1:18" x14ac:dyDescent="0.55000000000000004">
      <c r="A146" s="191" t="s">
        <v>297</v>
      </c>
      <c r="B146" s="192" t="s">
        <v>557</v>
      </c>
      <c r="C146" s="269" t="s">
        <v>257</v>
      </c>
      <c r="D146" s="193" t="s">
        <v>310</v>
      </c>
      <c r="E146" s="194">
        <v>46240</v>
      </c>
      <c r="F146" s="194">
        <v>46240</v>
      </c>
      <c r="G146" s="270" t="s">
        <v>558</v>
      </c>
      <c r="H146" s="192"/>
      <c r="I146" s="195"/>
      <c r="J146" s="192"/>
      <c r="K146" s="192"/>
      <c r="L146" s="192"/>
      <c r="M146" s="192"/>
      <c r="N146" s="192"/>
      <c r="O146" s="192"/>
      <c r="P146" s="192"/>
      <c r="Q146" s="192"/>
      <c r="R146" t="str">
        <f t="shared" si="2"/>
        <v>E5 ML Tennis</v>
      </c>
    </row>
    <row r="147" spans="1:18" x14ac:dyDescent="0.55000000000000004">
      <c r="A147" s="196" t="s">
        <v>297</v>
      </c>
      <c r="B147" s="197" t="s">
        <v>559</v>
      </c>
      <c r="C147" s="269" t="s">
        <v>257</v>
      </c>
      <c r="D147" s="199" t="s">
        <v>280</v>
      </c>
      <c r="E147" s="200">
        <v>46240</v>
      </c>
      <c r="F147" s="200">
        <v>46240</v>
      </c>
      <c r="G147" s="271" t="s">
        <v>560</v>
      </c>
      <c r="H147" s="197"/>
      <c r="I147" s="195"/>
      <c r="J147" s="197"/>
      <c r="K147" s="197"/>
      <c r="L147" s="197"/>
      <c r="M147" s="197"/>
      <c r="N147" s="197"/>
      <c r="O147" s="197"/>
      <c r="P147" s="197"/>
      <c r="Q147" s="197"/>
      <c r="R147" t="str">
        <f t="shared" si="2"/>
        <v>E5 ML Tennis</v>
      </c>
    </row>
    <row r="148" spans="1:18" x14ac:dyDescent="0.55000000000000004">
      <c r="A148" s="191" t="s">
        <v>297</v>
      </c>
      <c r="B148" s="192" t="s">
        <v>561</v>
      </c>
      <c r="C148" s="269" t="s">
        <v>257</v>
      </c>
      <c r="D148" s="193" t="s">
        <v>280</v>
      </c>
      <c r="E148" s="194">
        <v>46240</v>
      </c>
      <c r="F148" s="194">
        <v>46240</v>
      </c>
      <c r="G148" s="270" t="s">
        <v>562</v>
      </c>
      <c r="H148" s="192"/>
      <c r="I148" s="195"/>
      <c r="J148" s="192"/>
      <c r="K148" s="192"/>
      <c r="L148" s="192"/>
      <c r="M148" s="192"/>
      <c r="N148" s="192"/>
      <c r="O148" s="192"/>
      <c r="P148" s="192"/>
      <c r="Q148" s="192"/>
      <c r="R148" t="str">
        <f t="shared" si="2"/>
        <v>E5 ML Tennis</v>
      </c>
    </row>
    <row r="149" spans="1:18" ht="21" customHeight="1" x14ac:dyDescent="0.55000000000000004">
      <c r="A149" s="196" t="s">
        <v>297</v>
      </c>
      <c r="B149" s="197" t="s">
        <v>563</v>
      </c>
      <c r="C149" s="269" t="s">
        <v>257</v>
      </c>
      <c r="D149" s="199" t="s">
        <v>280</v>
      </c>
      <c r="E149" s="200">
        <v>46244</v>
      </c>
      <c r="F149" s="200">
        <v>46247</v>
      </c>
      <c r="G149" s="271" t="s">
        <v>564</v>
      </c>
      <c r="H149" s="197"/>
      <c r="I149" s="197"/>
      <c r="J149" s="203"/>
      <c r="K149" s="197"/>
      <c r="L149" s="197"/>
      <c r="M149" s="197"/>
      <c r="N149" s="197"/>
      <c r="O149" s="197"/>
      <c r="P149" s="197"/>
      <c r="Q149" s="197"/>
      <c r="R149" t="str">
        <f t="shared" si="2"/>
        <v>E5 ML Tennis</v>
      </c>
    </row>
    <row r="150" spans="1:18" x14ac:dyDescent="0.55000000000000004">
      <c r="A150" s="191" t="s">
        <v>297</v>
      </c>
      <c r="B150" s="192" t="s">
        <v>565</v>
      </c>
      <c r="C150" s="269" t="s">
        <v>257</v>
      </c>
      <c r="D150" s="193" t="s">
        <v>280</v>
      </c>
      <c r="E150" s="194">
        <v>46247</v>
      </c>
      <c r="F150" s="194">
        <v>46249</v>
      </c>
      <c r="G150" s="270" t="s">
        <v>566</v>
      </c>
      <c r="H150" s="192"/>
      <c r="I150" s="192"/>
      <c r="J150" s="203"/>
      <c r="K150" s="192"/>
      <c r="L150" s="192"/>
      <c r="M150" s="192"/>
      <c r="N150" s="192"/>
      <c r="O150" s="192"/>
      <c r="P150" s="192"/>
      <c r="Q150" s="192"/>
      <c r="R150" t="str">
        <f t="shared" si="2"/>
        <v>E5 ML Tennis</v>
      </c>
    </row>
    <row r="151" spans="1:18" x14ac:dyDescent="0.55000000000000004">
      <c r="A151" s="196" t="s">
        <v>297</v>
      </c>
      <c r="B151" s="197" t="s">
        <v>567</v>
      </c>
      <c r="C151" s="269" t="s">
        <v>257</v>
      </c>
      <c r="D151" s="199" t="s">
        <v>280</v>
      </c>
      <c r="E151" s="200">
        <v>46249</v>
      </c>
      <c r="F151" s="200">
        <v>46252</v>
      </c>
      <c r="G151" s="271" t="s">
        <v>568</v>
      </c>
      <c r="H151" s="197"/>
      <c r="I151" s="197"/>
      <c r="J151" s="203"/>
      <c r="K151" s="203"/>
      <c r="L151" s="197"/>
      <c r="M151" s="197"/>
      <c r="N151" s="197"/>
      <c r="O151" s="197"/>
      <c r="P151" s="197"/>
      <c r="Q151" s="197"/>
      <c r="R151" t="str">
        <f t="shared" si="2"/>
        <v>E5 ML Tennis</v>
      </c>
    </row>
    <row r="152" spans="1:18" x14ac:dyDescent="0.55000000000000004">
      <c r="A152" s="191" t="s">
        <v>297</v>
      </c>
      <c r="B152" s="192" t="s">
        <v>569</v>
      </c>
      <c r="C152" s="269" t="s">
        <v>257</v>
      </c>
      <c r="D152" s="193" t="s">
        <v>310</v>
      </c>
      <c r="E152" s="194">
        <v>46252</v>
      </c>
      <c r="F152" s="194">
        <v>46254</v>
      </c>
      <c r="G152" s="270" t="s">
        <v>570</v>
      </c>
      <c r="H152" s="192"/>
      <c r="I152" s="192"/>
      <c r="J152" s="192"/>
      <c r="K152" s="203"/>
      <c r="L152" s="192"/>
      <c r="M152" s="192"/>
      <c r="N152" s="192"/>
      <c r="O152" s="192"/>
      <c r="P152" s="192"/>
      <c r="Q152" s="192"/>
      <c r="R152" t="str">
        <f t="shared" si="2"/>
        <v>E5 ML Tennis</v>
      </c>
    </row>
    <row r="153" spans="1:18" x14ac:dyDescent="0.55000000000000004">
      <c r="A153" s="196" t="s">
        <v>297</v>
      </c>
      <c r="B153" s="197" t="s">
        <v>571</v>
      </c>
      <c r="C153" s="269" t="s">
        <v>257</v>
      </c>
      <c r="D153" s="199" t="s">
        <v>268</v>
      </c>
      <c r="E153" s="200">
        <v>46254</v>
      </c>
      <c r="F153" s="200">
        <v>46254</v>
      </c>
      <c r="G153" s="271" t="s">
        <v>572</v>
      </c>
      <c r="H153" s="197"/>
      <c r="I153" s="197"/>
      <c r="J153" s="197"/>
      <c r="K153" s="204"/>
      <c r="L153" s="197"/>
      <c r="M153" s="197"/>
      <c r="N153" s="197"/>
      <c r="O153" s="197"/>
      <c r="P153" s="197"/>
      <c r="Q153" s="197"/>
      <c r="R153" t="str">
        <f t="shared" si="2"/>
        <v>E5 ML Tennis</v>
      </c>
    </row>
    <row r="154" spans="1:18" ht="28.8" customHeight="1" x14ac:dyDescent="0.55000000000000004">
      <c r="A154" t="s">
        <v>297</v>
      </c>
      <c r="B154" t="s">
        <v>573</v>
      </c>
      <c r="C154" s="269" t="s">
        <v>257</v>
      </c>
      <c r="D154" t="s">
        <v>268</v>
      </c>
      <c r="E154" s="209">
        <v>46243</v>
      </c>
      <c r="F154" s="209">
        <v>46243</v>
      </c>
      <c r="G154" s="214" t="s">
        <v>574</v>
      </c>
      <c r="I154" t="s">
        <v>575</v>
      </c>
      <c r="R154" t="str">
        <f t="shared" si="2"/>
        <v>E5 ML Tennis</v>
      </c>
    </row>
    <row r="155" spans="1:18" ht="28.8" customHeight="1" x14ac:dyDescent="0.55000000000000004">
      <c r="A155" t="s">
        <v>297</v>
      </c>
      <c r="B155" t="s">
        <v>576</v>
      </c>
      <c r="C155" s="272" t="s">
        <v>257</v>
      </c>
      <c r="D155" t="s">
        <v>268</v>
      </c>
      <c r="E155" s="209">
        <v>46243</v>
      </c>
      <c r="F155" s="209">
        <v>46243</v>
      </c>
      <c r="G155" s="214" t="s">
        <v>577</v>
      </c>
      <c r="I155" t="s">
        <v>575</v>
      </c>
      <c r="R155" t="str">
        <f t="shared" si="2"/>
        <v>E5 ML Tennis</v>
      </c>
    </row>
    <row r="156" spans="1:18" ht="57.6" customHeight="1" x14ac:dyDescent="0.55000000000000004">
      <c r="A156" t="s">
        <v>297</v>
      </c>
      <c r="B156" t="s">
        <v>578</v>
      </c>
      <c r="C156" s="272" t="s">
        <v>257</v>
      </c>
      <c r="D156" t="s">
        <v>280</v>
      </c>
      <c r="E156" s="209">
        <v>46243</v>
      </c>
      <c r="F156" s="209">
        <v>46243</v>
      </c>
      <c r="G156" s="214" t="s">
        <v>579</v>
      </c>
      <c r="I156" t="s">
        <v>575</v>
      </c>
      <c r="R156" t="str">
        <f t="shared" si="2"/>
        <v>E5 ML Tennis</v>
      </c>
    </row>
    <row r="157" spans="1:18" ht="43.2" customHeight="1" x14ac:dyDescent="0.55000000000000004">
      <c r="A157" t="s">
        <v>297</v>
      </c>
      <c r="B157" t="s">
        <v>580</v>
      </c>
      <c r="C157" s="272" t="s">
        <v>257</v>
      </c>
      <c r="D157" t="s">
        <v>268</v>
      </c>
      <c r="E157" s="209">
        <v>46243</v>
      </c>
      <c r="F157" s="209">
        <v>46243</v>
      </c>
      <c r="G157" s="214" t="s">
        <v>581</v>
      </c>
      <c r="I157" t="s">
        <v>575</v>
      </c>
      <c r="R157" t="str">
        <f t="shared" si="2"/>
        <v>E5 ML Tennis</v>
      </c>
    </row>
    <row r="158" spans="1:18" ht="43.2" customHeight="1" x14ac:dyDescent="0.55000000000000004">
      <c r="A158" t="s">
        <v>364</v>
      </c>
      <c r="B158" t="s">
        <v>582</v>
      </c>
      <c r="C158" s="272" t="s">
        <v>257</v>
      </c>
      <c r="D158" t="s">
        <v>268</v>
      </c>
      <c r="E158" s="209">
        <v>46243</v>
      </c>
      <c r="F158" s="209">
        <v>46243</v>
      </c>
      <c r="G158" s="214" t="s">
        <v>583</v>
      </c>
      <c r="I158" t="s">
        <v>575</v>
      </c>
      <c r="R158" t="str">
        <f t="shared" si="2"/>
        <v>E9 Data Ops</v>
      </c>
    </row>
    <row r="159" spans="1:18" ht="28.8" customHeight="1" x14ac:dyDescent="0.55000000000000004">
      <c r="A159" t="s">
        <v>334</v>
      </c>
      <c r="B159" t="s">
        <v>584</v>
      </c>
      <c r="C159" s="272" t="s">
        <v>257</v>
      </c>
      <c r="D159" t="s">
        <v>280</v>
      </c>
      <c r="E159" s="209">
        <v>46243</v>
      </c>
      <c r="F159" s="209">
        <v>46243</v>
      </c>
      <c r="G159" s="214" t="s">
        <v>585</v>
      </c>
      <c r="I159" t="s">
        <v>575</v>
      </c>
      <c r="R159" t="str">
        <f t="shared" si="2"/>
        <v>E8 Model Quality</v>
      </c>
    </row>
    <row r="160" spans="1:18" ht="28.8" customHeight="1" x14ac:dyDescent="0.55000000000000004">
      <c r="A160" t="s">
        <v>395</v>
      </c>
      <c r="B160" t="s">
        <v>586</v>
      </c>
      <c r="C160" s="272" t="s">
        <v>257</v>
      </c>
      <c r="D160" t="s">
        <v>310</v>
      </c>
      <c r="E160" s="209">
        <v>46243</v>
      </c>
      <c r="F160" s="209">
        <v>46243</v>
      </c>
      <c r="G160" s="214" t="s">
        <v>587</v>
      </c>
      <c r="I160" t="s">
        <v>575</v>
      </c>
      <c r="R160" t="str">
        <f t="shared" si="2"/>
        <v>E10 Deploy</v>
      </c>
    </row>
    <row r="161" spans="1:18" ht="43.2" customHeight="1" x14ac:dyDescent="0.55000000000000004">
      <c r="A161" t="s">
        <v>334</v>
      </c>
      <c r="B161" t="s">
        <v>588</v>
      </c>
      <c r="C161" s="272" t="s">
        <v>257</v>
      </c>
      <c r="D161" t="s">
        <v>280</v>
      </c>
      <c r="E161" s="209">
        <v>46243</v>
      </c>
      <c r="F161" s="209">
        <v>46243</v>
      </c>
      <c r="G161" s="214" t="s">
        <v>589</v>
      </c>
      <c r="I161" t="s">
        <v>575</v>
      </c>
      <c r="R161" t="str">
        <f t="shared" si="2"/>
        <v>E8 Model Quality</v>
      </c>
    </row>
    <row r="162" spans="1:18" ht="43.2" customHeight="1" x14ac:dyDescent="0.55000000000000004">
      <c r="A162" t="s">
        <v>334</v>
      </c>
      <c r="B162" t="s">
        <v>590</v>
      </c>
      <c r="C162" s="272" t="s">
        <v>257</v>
      </c>
      <c r="D162" t="s">
        <v>280</v>
      </c>
      <c r="E162" s="209">
        <v>46243</v>
      </c>
      <c r="F162" s="209">
        <v>46243</v>
      </c>
      <c r="G162" s="214" t="s">
        <v>591</v>
      </c>
      <c r="I162" t="s">
        <v>575</v>
      </c>
      <c r="R162" t="str">
        <f t="shared" si="2"/>
        <v>E8 Model Quality</v>
      </c>
    </row>
    <row r="163" spans="1:18" ht="43.2" customHeight="1" x14ac:dyDescent="0.55000000000000004">
      <c r="A163" t="s">
        <v>334</v>
      </c>
      <c r="B163" t="s">
        <v>592</v>
      </c>
      <c r="C163" s="272" t="s">
        <v>257</v>
      </c>
      <c r="D163" t="s">
        <v>280</v>
      </c>
      <c r="E163" s="209">
        <v>46243</v>
      </c>
      <c r="F163" s="209">
        <v>46243</v>
      </c>
      <c r="G163" s="214" t="s">
        <v>593</v>
      </c>
      <c r="I163" t="s">
        <v>575</v>
      </c>
      <c r="R163" t="str">
        <f t="shared" si="2"/>
        <v>E8 Model Quality</v>
      </c>
    </row>
    <row r="164" spans="1:18" ht="28.8" customHeight="1" x14ac:dyDescent="0.55000000000000004">
      <c r="A164" t="s">
        <v>424</v>
      </c>
      <c r="B164" t="s">
        <v>594</v>
      </c>
      <c r="C164" s="272" t="s">
        <v>257</v>
      </c>
      <c r="D164" t="s">
        <v>595</v>
      </c>
      <c r="E164" s="209">
        <v>46243</v>
      </c>
      <c r="F164" s="209">
        <v>46243</v>
      </c>
      <c r="G164" s="214" t="s">
        <v>596</v>
      </c>
      <c r="I164" t="s">
        <v>575</v>
      </c>
      <c r="R164" t="str">
        <f t="shared" si="2"/>
        <v>E11 Ops Resilience</v>
      </c>
    </row>
    <row r="165" spans="1:18" ht="43.2" customHeight="1" x14ac:dyDescent="0.55000000000000004">
      <c r="A165" t="s">
        <v>364</v>
      </c>
      <c r="B165" t="s">
        <v>597</v>
      </c>
      <c r="C165" s="272" t="s">
        <v>257</v>
      </c>
      <c r="D165" t="s">
        <v>268</v>
      </c>
      <c r="E165" s="209">
        <v>46243</v>
      </c>
      <c r="F165" s="209">
        <v>46243</v>
      </c>
      <c r="G165" s="214" t="s">
        <v>598</v>
      </c>
      <c r="I165" t="s">
        <v>575</v>
      </c>
      <c r="R165" t="str">
        <f t="shared" si="2"/>
        <v>E9 Data Ops</v>
      </c>
    </row>
    <row r="166" spans="1:18" ht="28.8" customHeight="1" x14ac:dyDescent="0.55000000000000004">
      <c r="A166" t="s">
        <v>364</v>
      </c>
      <c r="B166" t="s">
        <v>599</v>
      </c>
      <c r="C166" s="272" t="s">
        <v>257</v>
      </c>
      <c r="D166" t="s">
        <v>268</v>
      </c>
      <c r="E166" s="209">
        <v>46243</v>
      </c>
      <c r="F166" s="209">
        <v>46243</v>
      </c>
      <c r="G166" s="214" t="s">
        <v>600</v>
      </c>
      <c r="I166" t="s">
        <v>575</v>
      </c>
      <c r="R166" t="str">
        <f t="shared" si="2"/>
        <v>E9 Data Ops</v>
      </c>
    </row>
    <row r="167" spans="1:18" ht="28.8" customHeight="1" x14ac:dyDescent="0.55000000000000004">
      <c r="A167" t="s">
        <v>364</v>
      </c>
      <c r="B167" t="s">
        <v>601</v>
      </c>
      <c r="C167" s="272" t="s">
        <v>257</v>
      </c>
      <c r="D167" t="s">
        <v>268</v>
      </c>
      <c r="E167" s="209">
        <v>46243</v>
      </c>
      <c r="F167" s="209">
        <v>46247</v>
      </c>
      <c r="G167" s="214" t="s">
        <v>602</v>
      </c>
      <c r="R167" t="str">
        <f t="shared" si="2"/>
        <v>E9 Data Ops</v>
      </c>
    </row>
    <row r="168" spans="1:18" ht="28.8" customHeight="1" x14ac:dyDescent="0.55000000000000004">
      <c r="A168" t="s">
        <v>334</v>
      </c>
      <c r="B168" t="s">
        <v>603</v>
      </c>
      <c r="C168" s="272" t="s">
        <v>257</v>
      </c>
      <c r="D168" t="s">
        <v>280</v>
      </c>
      <c r="E168" s="209">
        <v>46243</v>
      </c>
      <c r="F168" s="209">
        <v>46247</v>
      </c>
      <c r="G168" s="214" t="s">
        <v>604</v>
      </c>
      <c r="R168" t="str">
        <f t="shared" si="2"/>
        <v>E8 Model Quality</v>
      </c>
    </row>
    <row r="169" spans="1:18" ht="43.2" customHeight="1" x14ac:dyDescent="0.55000000000000004">
      <c r="A169" t="s">
        <v>334</v>
      </c>
      <c r="B169" t="s">
        <v>605</v>
      </c>
      <c r="C169" s="185" t="s">
        <v>16</v>
      </c>
      <c r="D169" t="s">
        <v>280</v>
      </c>
      <c r="E169" s="209">
        <v>46243</v>
      </c>
      <c r="G169" s="214" t="s">
        <v>606</v>
      </c>
      <c r="R169" t="str">
        <f t="shared" si="2"/>
        <v>E8 Model Quality</v>
      </c>
    </row>
    <row r="170" spans="1:18" ht="28.8" customHeight="1" x14ac:dyDescent="0.55000000000000004">
      <c r="A170" t="s">
        <v>334</v>
      </c>
      <c r="B170" t="s">
        <v>607</v>
      </c>
      <c r="C170" s="272" t="s">
        <v>257</v>
      </c>
      <c r="D170" t="s">
        <v>280</v>
      </c>
      <c r="E170" s="209">
        <v>46243</v>
      </c>
      <c r="F170" s="209">
        <v>46247</v>
      </c>
      <c r="G170" s="214" t="s">
        <v>608</v>
      </c>
      <c r="R170" t="str">
        <f t="shared" si="2"/>
        <v>E8 Model Quality</v>
      </c>
    </row>
    <row r="171" spans="1:18" ht="28.8" customHeight="1" x14ac:dyDescent="0.55000000000000004">
      <c r="A171" t="s">
        <v>334</v>
      </c>
      <c r="B171" t="s">
        <v>609</v>
      </c>
      <c r="C171" s="272" t="s">
        <v>257</v>
      </c>
      <c r="D171" t="s">
        <v>280</v>
      </c>
      <c r="E171" s="209">
        <v>46243</v>
      </c>
      <c r="F171" s="209">
        <v>46247</v>
      </c>
      <c r="G171" s="214" t="s">
        <v>610</v>
      </c>
      <c r="R171" t="str">
        <f t="shared" si="2"/>
        <v>E8 Model Quality</v>
      </c>
    </row>
    <row r="172" spans="1:18" ht="28.8" customHeight="1" x14ac:dyDescent="0.55000000000000004">
      <c r="A172" t="s">
        <v>334</v>
      </c>
      <c r="B172" t="s">
        <v>611</v>
      </c>
      <c r="C172" s="185" t="s">
        <v>16</v>
      </c>
      <c r="D172" t="s">
        <v>280</v>
      </c>
      <c r="E172" s="209">
        <v>46243</v>
      </c>
      <c r="G172" s="214" t="s">
        <v>612</v>
      </c>
      <c r="R172" t="str">
        <f t="shared" si="2"/>
        <v>E8 Model Quality</v>
      </c>
    </row>
    <row r="173" spans="1:18" ht="28.8" customHeight="1" x14ac:dyDescent="0.55000000000000004">
      <c r="A173" t="s">
        <v>308</v>
      </c>
      <c r="B173" t="s">
        <v>613</v>
      </c>
      <c r="C173" s="185" t="s">
        <v>16</v>
      </c>
      <c r="D173" t="s">
        <v>310</v>
      </c>
      <c r="E173" s="209">
        <v>46243</v>
      </c>
      <c r="G173" s="214" t="s">
        <v>614</v>
      </c>
      <c r="R173" t="str">
        <f t="shared" si="2"/>
        <v>E6 Picks</v>
      </c>
    </row>
    <row r="174" spans="1:18" ht="57.6" customHeight="1" x14ac:dyDescent="0.55000000000000004">
      <c r="A174" t="s">
        <v>364</v>
      </c>
      <c r="B174" t="s">
        <v>615</v>
      </c>
      <c r="C174" s="272" t="s">
        <v>257</v>
      </c>
      <c r="D174" t="s">
        <v>268</v>
      </c>
      <c r="E174" s="209">
        <v>46243</v>
      </c>
      <c r="G174" s="214" t="s">
        <v>616</v>
      </c>
      <c r="R174" t="str">
        <f t="shared" si="2"/>
        <v>E9 Data Ops</v>
      </c>
    </row>
    <row r="175" spans="1:18" ht="28.8" customHeight="1" x14ac:dyDescent="0.55000000000000004">
      <c r="A175" t="s">
        <v>364</v>
      </c>
      <c r="B175" t="s">
        <v>617</v>
      </c>
      <c r="C175" s="185" t="s">
        <v>16</v>
      </c>
      <c r="D175" t="s">
        <v>268</v>
      </c>
      <c r="E175" s="209">
        <v>46243</v>
      </c>
      <c r="G175" s="214" t="s">
        <v>618</v>
      </c>
      <c r="R175" t="str">
        <f t="shared" si="2"/>
        <v>E9 Data Ops</v>
      </c>
    </row>
    <row r="176" spans="1:18" ht="100.8" customHeight="1" x14ac:dyDescent="0.55000000000000004">
      <c r="A176" t="s">
        <v>395</v>
      </c>
      <c r="B176" t="s">
        <v>619</v>
      </c>
      <c r="C176" s="272" t="s">
        <v>257</v>
      </c>
      <c r="D176" t="s">
        <v>310</v>
      </c>
      <c r="E176" s="209">
        <v>46243</v>
      </c>
      <c r="F176" s="209">
        <v>46244</v>
      </c>
      <c r="G176" s="214" t="s">
        <v>620</v>
      </c>
      <c r="R176" t="str">
        <f t="shared" si="2"/>
        <v>E10 Deploy</v>
      </c>
    </row>
    <row r="177" spans="1:18" ht="28.8" customHeight="1" x14ac:dyDescent="0.55000000000000004">
      <c r="A177" t="s">
        <v>424</v>
      </c>
      <c r="B177" t="s">
        <v>621</v>
      </c>
      <c r="C177" s="272" t="s">
        <v>257</v>
      </c>
      <c r="D177" t="s">
        <v>595</v>
      </c>
      <c r="E177" s="209">
        <v>46243</v>
      </c>
      <c r="F177" s="209">
        <v>46247</v>
      </c>
      <c r="G177" s="214" t="s">
        <v>622</v>
      </c>
      <c r="R177" t="str">
        <f t="shared" si="2"/>
        <v>E11 Ops Resilience</v>
      </c>
    </row>
    <row r="178" spans="1:18" ht="28.8" customHeight="1" x14ac:dyDescent="0.55000000000000004">
      <c r="A178" t="s">
        <v>424</v>
      </c>
      <c r="B178" t="s">
        <v>623</v>
      </c>
      <c r="C178" s="272" t="s">
        <v>257</v>
      </c>
      <c r="D178" t="s">
        <v>595</v>
      </c>
      <c r="E178" s="209">
        <v>46243</v>
      </c>
      <c r="F178" s="209">
        <v>46247</v>
      </c>
      <c r="G178" s="214" t="s">
        <v>624</v>
      </c>
      <c r="R178" t="str">
        <f t="shared" si="2"/>
        <v>E11 Ops Resilience</v>
      </c>
    </row>
    <row r="179" spans="1:18" ht="86.4" customHeight="1" x14ac:dyDescent="0.55000000000000004">
      <c r="A179" t="s">
        <v>424</v>
      </c>
      <c r="B179" t="s">
        <v>625</v>
      </c>
      <c r="C179" s="272" t="s">
        <v>257</v>
      </c>
      <c r="D179" t="s">
        <v>595</v>
      </c>
      <c r="E179" s="209">
        <v>46243</v>
      </c>
      <c r="F179" s="209">
        <v>46244</v>
      </c>
      <c r="G179" s="214" t="s">
        <v>626</v>
      </c>
      <c r="R179" t="str">
        <f t="shared" si="2"/>
        <v>E11 Ops Resilience</v>
      </c>
    </row>
    <row r="180" spans="1:18" ht="43.2" customHeight="1" x14ac:dyDescent="0.55000000000000004">
      <c r="A180" t="s">
        <v>364</v>
      </c>
      <c r="B180" t="s">
        <v>627</v>
      </c>
      <c r="C180" s="19" t="s">
        <v>372</v>
      </c>
      <c r="D180" t="s">
        <v>268</v>
      </c>
      <c r="E180" s="209">
        <v>46243</v>
      </c>
      <c r="G180" s="214" t="s">
        <v>628</v>
      </c>
      <c r="R180" t="str">
        <f t="shared" si="2"/>
        <v>E9 Data Ops</v>
      </c>
    </row>
    <row r="181" spans="1:18" ht="28.8" customHeight="1" x14ac:dyDescent="0.55000000000000004">
      <c r="A181" t="s">
        <v>364</v>
      </c>
      <c r="B181" t="s">
        <v>629</v>
      </c>
      <c r="C181" s="272" t="s">
        <v>257</v>
      </c>
      <c r="D181" t="s">
        <v>268</v>
      </c>
      <c r="E181" s="209">
        <v>46244</v>
      </c>
      <c r="F181" s="209">
        <v>46243</v>
      </c>
      <c r="G181" s="214" t="s">
        <v>630</v>
      </c>
      <c r="R181" t="str">
        <f t="shared" si="2"/>
        <v>E9 Data Ops</v>
      </c>
    </row>
    <row r="182" spans="1:18" ht="72" customHeight="1" x14ac:dyDescent="0.55000000000000004">
      <c r="A182" t="s">
        <v>286</v>
      </c>
      <c r="B182" t="s">
        <v>631</v>
      </c>
      <c r="C182" s="272" t="s">
        <v>257</v>
      </c>
      <c r="D182" t="s">
        <v>280</v>
      </c>
      <c r="E182" s="209">
        <v>46243</v>
      </c>
      <c r="F182" s="209">
        <v>46243</v>
      </c>
      <c r="G182" s="214" t="s">
        <v>632</v>
      </c>
      <c r="I182" t="s">
        <v>633</v>
      </c>
      <c r="R182" t="str">
        <f t="shared" si="2"/>
        <v>E4 ML Football</v>
      </c>
    </row>
    <row r="183" spans="1:18" ht="57.6" customHeight="1" x14ac:dyDescent="0.55000000000000004">
      <c r="B183" t="s">
        <v>634</v>
      </c>
      <c r="C183" s="272" t="s">
        <v>257</v>
      </c>
      <c r="D183" t="s">
        <v>268</v>
      </c>
      <c r="E183" s="209">
        <v>46244</v>
      </c>
      <c r="F183" s="209">
        <v>46244</v>
      </c>
      <c r="G183" s="214" t="s">
        <v>635</v>
      </c>
      <c r="J183" t="s">
        <v>633</v>
      </c>
      <c r="R183" t="str">
        <f t="shared" si="2"/>
        <v>E4 ML Football</v>
      </c>
    </row>
    <row r="184" spans="1:18" ht="72" customHeight="1" x14ac:dyDescent="0.55000000000000004">
      <c r="A184" t="s">
        <v>334</v>
      </c>
      <c r="B184" t="s">
        <v>636</v>
      </c>
      <c r="C184" s="272" t="s">
        <v>257</v>
      </c>
      <c r="D184" t="s">
        <v>310</v>
      </c>
      <c r="E184" s="209">
        <v>46244</v>
      </c>
      <c r="F184" s="209">
        <v>46244</v>
      </c>
      <c r="G184" s="214" t="s">
        <v>637</v>
      </c>
      <c r="J184" t="s">
        <v>633</v>
      </c>
      <c r="R184" t="str">
        <f t="shared" si="2"/>
        <v>E8 Model Quality</v>
      </c>
    </row>
    <row r="185" spans="1:18" ht="43.2" customHeight="1" x14ac:dyDescent="0.55000000000000004">
      <c r="A185" t="s">
        <v>424</v>
      </c>
      <c r="B185" t="s">
        <v>638</v>
      </c>
      <c r="C185" s="272" t="s">
        <v>257</v>
      </c>
      <c r="D185" t="s">
        <v>595</v>
      </c>
      <c r="E185" s="209">
        <v>46244</v>
      </c>
      <c r="F185" s="209">
        <v>46244</v>
      </c>
      <c r="G185" s="214" t="s">
        <v>639</v>
      </c>
      <c r="J185" t="s">
        <v>633</v>
      </c>
      <c r="R185" t="str">
        <f t="shared" si="2"/>
        <v>E11 Ops Resilience</v>
      </c>
    </row>
    <row r="186" spans="1:18" ht="72" customHeight="1" x14ac:dyDescent="0.55000000000000004">
      <c r="A186" t="s">
        <v>266</v>
      </c>
      <c r="B186" t="s">
        <v>640</v>
      </c>
      <c r="C186" s="272" t="s">
        <v>257</v>
      </c>
      <c r="D186" t="s">
        <v>310</v>
      </c>
      <c r="E186" s="209">
        <v>46244</v>
      </c>
      <c r="F186" s="209">
        <v>46244</v>
      </c>
      <c r="G186" s="214" t="s">
        <v>641</v>
      </c>
      <c r="J186" t="s">
        <v>633</v>
      </c>
      <c r="R186" t="str">
        <f t="shared" si="2"/>
        <v>E2 Ingestion</v>
      </c>
    </row>
    <row r="187" spans="1:18" ht="100.8" customHeight="1" x14ac:dyDescent="0.55000000000000004">
      <c r="B187" t="s">
        <v>642</v>
      </c>
      <c r="C187" s="272" t="s">
        <v>257</v>
      </c>
      <c r="D187" t="s">
        <v>310</v>
      </c>
      <c r="E187" s="209">
        <v>46244</v>
      </c>
      <c r="F187" s="209">
        <v>46244</v>
      </c>
      <c r="G187" s="214" t="s">
        <v>643</v>
      </c>
      <c r="J187" t="s">
        <v>633</v>
      </c>
      <c r="R187" t="str">
        <f t="shared" si="2"/>
        <v>E2 Ingestion</v>
      </c>
    </row>
    <row r="188" spans="1:18" ht="72" customHeight="1" x14ac:dyDescent="0.55000000000000004">
      <c r="A188" t="s">
        <v>364</v>
      </c>
      <c r="B188" t="s">
        <v>644</v>
      </c>
      <c r="C188" s="272" t="s">
        <v>257</v>
      </c>
      <c r="D188" t="s">
        <v>268</v>
      </c>
      <c r="E188" s="209">
        <v>46244</v>
      </c>
      <c r="F188" s="209">
        <v>46244</v>
      </c>
      <c r="G188" s="214" t="s">
        <v>645</v>
      </c>
      <c r="J188" t="s">
        <v>633</v>
      </c>
      <c r="R188" t="str">
        <f t="shared" si="2"/>
        <v>E9 Data Ops</v>
      </c>
    </row>
    <row r="189" spans="1:18" ht="129.6" customHeight="1" x14ac:dyDescent="0.55000000000000004">
      <c r="A189" t="s">
        <v>286</v>
      </c>
      <c r="B189" t="s">
        <v>646</v>
      </c>
      <c r="C189" s="272" t="s">
        <v>257</v>
      </c>
      <c r="D189" t="s">
        <v>280</v>
      </c>
      <c r="E189" s="209">
        <v>46244</v>
      </c>
      <c r="F189" s="209">
        <v>46244</v>
      </c>
      <c r="G189" s="214" t="s">
        <v>647</v>
      </c>
      <c r="J189" t="s">
        <v>633</v>
      </c>
      <c r="R189" t="str">
        <f t="shared" si="2"/>
        <v>E4 ML Football</v>
      </c>
    </row>
    <row r="190" spans="1:18" ht="187.2" customHeight="1" x14ac:dyDescent="0.55000000000000004">
      <c r="A190" t="s">
        <v>334</v>
      </c>
      <c r="B190" t="s">
        <v>648</v>
      </c>
      <c r="C190" s="272" t="s">
        <v>257</v>
      </c>
      <c r="D190" t="s">
        <v>280</v>
      </c>
      <c r="E190" s="209">
        <v>46244</v>
      </c>
      <c r="F190" s="209">
        <v>46244</v>
      </c>
      <c r="G190" s="214" t="s">
        <v>649</v>
      </c>
      <c r="J190" t="s">
        <v>633</v>
      </c>
      <c r="R190" t="str">
        <f t="shared" si="2"/>
        <v>E8 Model Quality</v>
      </c>
    </row>
    <row r="191" spans="1:18" ht="72" customHeight="1" x14ac:dyDescent="0.55000000000000004">
      <c r="A191" t="s">
        <v>364</v>
      </c>
      <c r="B191" t="s">
        <v>650</v>
      </c>
      <c r="C191" s="272" t="s">
        <v>257</v>
      </c>
      <c r="D191" t="s">
        <v>268</v>
      </c>
      <c r="E191" s="209">
        <v>46244</v>
      </c>
      <c r="F191" s="209">
        <v>46244</v>
      </c>
      <c r="G191" s="214" t="s">
        <v>651</v>
      </c>
      <c r="J191" t="s">
        <v>633</v>
      </c>
      <c r="R191" t="str">
        <f t="shared" si="2"/>
        <v>E9 Data Ops</v>
      </c>
    </row>
    <row r="192" spans="1:18" ht="100.8" customHeight="1" x14ac:dyDescent="0.55000000000000004">
      <c r="A192" t="s">
        <v>334</v>
      </c>
      <c r="B192" t="s">
        <v>652</v>
      </c>
      <c r="C192" s="272" t="s">
        <v>257</v>
      </c>
      <c r="D192" t="s">
        <v>310</v>
      </c>
      <c r="E192" s="209">
        <v>46244</v>
      </c>
      <c r="F192" s="209">
        <v>46244</v>
      </c>
      <c r="G192" s="214" t="s">
        <v>653</v>
      </c>
      <c r="J192" t="s">
        <v>633</v>
      </c>
      <c r="R192" t="str">
        <f t="shared" si="2"/>
        <v>E8 Model Quality</v>
      </c>
    </row>
    <row r="193" spans="1:18" ht="115.2" customHeight="1" x14ac:dyDescent="0.55000000000000004">
      <c r="A193" t="s">
        <v>266</v>
      </c>
      <c r="B193" t="s">
        <v>654</v>
      </c>
      <c r="C193" s="272" t="s">
        <v>257</v>
      </c>
      <c r="D193" t="s">
        <v>310</v>
      </c>
      <c r="E193" s="209">
        <v>46244</v>
      </c>
      <c r="F193" s="209">
        <v>46244</v>
      </c>
      <c r="G193" s="214" t="s">
        <v>655</v>
      </c>
      <c r="J193" t="s">
        <v>633</v>
      </c>
      <c r="R193" t="str">
        <f t="shared" si="2"/>
        <v>E2 Ingestion</v>
      </c>
    </row>
    <row r="194" spans="1:18" ht="86.4" customHeight="1" x14ac:dyDescent="0.55000000000000004">
      <c r="A194" t="s">
        <v>364</v>
      </c>
      <c r="B194" t="s">
        <v>656</v>
      </c>
      <c r="C194" s="272" t="s">
        <v>257</v>
      </c>
      <c r="D194" t="s">
        <v>268</v>
      </c>
      <c r="E194" s="209">
        <v>46244</v>
      </c>
      <c r="F194" s="209">
        <v>46244</v>
      </c>
      <c r="G194" s="214" t="s">
        <v>657</v>
      </c>
      <c r="J194" t="s">
        <v>633</v>
      </c>
      <c r="R194" t="str">
        <f t="shared" si="2"/>
        <v>E9 Data Ops</v>
      </c>
    </row>
    <row r="195" spans="1:18" ht="86.4" customHeight="1" x14ac:dyDescent="0.55000000000000004">
      <c r="B195" t="s">
        <v>658</v>
      </c>
      <c r="C195" s="272" t="s">
        <v>257</v>
      </c>
      <c r="D195" t="s">
        <v>268</v>
      </c>
      <c r="E195" s="209">
        <v>46244</v>
      </c>
      <c r="F195" s="209">
        <v>46244</v>
      </c>
      <c r="G195" s="214" t="s">
        <v>659</v>
      </c>
      <c r="J195" t="s">
        <v>633</v>
      </c>
      <c r="R195" t="str">
        <f t="shared" si="2"/>
        <v>E9 Data Ops</v>
      </c>
    </row>
    <row r="196" spans="1:18" ht="115.2" customHeight="1" x14ac:dyDescent="0.55000000000000004">
      <c r="A196" t="s">
        <v>286</v>
      </c>
      <c r="B196" t="s">
        <v>660</v>
      </c>
      <c r="C196" s="272" t="s">
        <v>257</v>
      </c>
      <c r="D196" t="s">
        <v>280</v>
      </c>
      <c r="E196" s="209">
        <v>46244</v>
      </c>
      <c r="F196" s="209">
        <v>46244</v>
      </c>
      <c r="G196" s="214" t="s">
        <v>661</v>
      </c>
      <c r="J196" t="s">
        <v>633</v>
      </c>
      <c r="R196" t="str">
        <f t="shared" si="2"/>
        <v>E4 ML Football</v>
      </c>
    </row>
    <row r="197" spans="1:18" ht="86.4" customHeight="1" x14ac:dyDescent="0.55000000000000004">
      <c r="A197" t="s">
        <v>424</v>
      </c>
      <c r="B197" t="s">
        <v>662</v>
      </c>
      <c r="C197" s="272" t="s">
        <v>257</v>
      </c>
      <c r="D197" t="s">
        <v>595</v>
      </c>
      <c r="E197" s="209">
        <v>46244</v>
      </c>
      <c r="F197" s="209">
        <v>46244</v>
      </c>
      <c r="G197" s="214" t="s">
        <v>663</v>
      </c>
      <c r="J197" t="s">
        <v>633</v>
      </c>
      <c r="R197" t="str">
        <f t="shared" ref="R197:R260" si="3">IF($A197&lt;&gt;"",$A197,R196)</f>
        <v>E11 Ops Resilience</v>
      </c>
    </row>
    <row r="198" spans="1:18" ht="86.4" customHeight="1" x14ac:dyDescent="0.55000000000000004">
      <c r="A198" t="s">
        <v>286</v>
      </c>
      <c r="B198" t="s">
        <v>664</v>
      </c>
      <c r="C198" s="19" t="s">
        <v>372</v>
      </c>
      <c r="D198" t="s">
        <v>280</v>
      </c>
      <c r="E198" s="209">
        <v>46327</v>
      </c>
      <c r="G198" s="214" t="s">
        <v>665</v>
      </c>
      <c r="R198" t="str">
        <f t="shared" si="3"/>
        <v>E4 ML Football</v>
      </c>
    </row>
    <row r="199" spans="1:18" ht="129.6" customHeight="1" x14ac:dyDescent="0.55000000000000004">
      <c r="A199" t="s">
        <v>297</v>
      </c>
      <c r="B199" t="s">
        <v>666</v>
      </c>
      <c r="C199" s="272" t="s">
        <v>257</v>
      </c>
      <c r="D199" t="s">
        <v>310</v>
      </c>
      <c r="E199" s="209">
        <v>46244</v>
      </c>
      <c r="F199" s="209">
        <v>46244</v>
      </c>
      <c r="G199" s="214" t="s">
        <v>667</v>
      </c>
      <c r="J199" t="s">
        <v>633</v>
      </c>
      <c r="R199" t="str">
        <f t="shared" si="3"/>
        <v>E5 ML Tennis</v>
      </c>
    </row>
    <row r="200" spans="1:18" ht="100.8" customHeight="1" x14ac:dyDescent="0.55000000000000004">
      <c r="A200" t="s">
        <v>364</v>
      </c>
      <c r="B200" t="s">
        <v>668</v>
      </c>
      <c r="C200" s="272" t="s">
        <v>257</v>
      </c>
      <c r="D200" t="s">
        <v>268</v>
      </c>
      <c r="E200" s="209">
        <v>46244</v>
      </c>
      <c r="F200" s="209">
        <v>46244</v>
      </c>
      <c r="G200" s="214" t="s">
        <v>669</v>
      </c>
      <c r="J200" t="s">
        <v>633</v>
      </c>
      <c r="R200" t="str">
        <f t="shared" si="3"/>
        <v>E9 Data Ops</v>
      </c>
    </row>
    <row r="201" spans="1:18" ht="72" customHeight="1" x14ac:dyDescent="0.55000000000000004">
      <c r="A201" t="s">
        <v>424</v>
      </c>
      <c r="B201" t="s">
        <v>670</v>
      </c>
      <c r="C201" s="272" t="s">
        <v>257</v>
      </c>
      <c r="D201" t="s">
        <v>595</v>
      </c>
      <c r="E201" s="209">
        <v>46244</v>
      </c>
      <c r="F201" s="209">
        <v>46244</v>
      </c>
      <c r="G201" s="214" t="s">
        <v>671</v>
      </c>
      <c r="J201" t="s">
        <v>633</v>
      </c>
      <c r="R201" t="str">
        <f t="shared" si="3"/>
        <v>E11 Ops Resilience</v>
      </c>
    </row>
    <row r="202" spans="1:18" ht="100.8" customHeight="1" x14ac:dyDescent="0.55000000000000004">
      <c r="B202" t="s">
        <v>672</v>
      </c>
      <c r="C202" s="272" t="s">
        <v>257</v>
      </c>
      <c r="D202" t="s">
        <v>595</v>
      </c>
      <c r="E202" s="209">
        <v>46244</v>
      </c>
      <c r="F202" s="209">
        <v>46244</v>
      </c>
      <c r="G202" s="214" t="s">
        <v>673</v>
      </c>
      <c r="J202" t="s">
        <v>633</v>
      </c>
      <c r="R202" t="str">
        <f t="shared" si="3"/>
        <v>E11 Ops Resilience</v>
      </c>
    </row>
    <row r="203" spans="1:18" ht="144" customHeight="1" x14ac:dyDescent="0.55000000000000004">
      <c r="A203" t="s">
        <v>334</v>
      </c>
      <c r="B203" t="s">
        <v>674</v>
      </c>
      <c r="C203" s="272" t="s">
        <v>257</v>
      </c>
      <c r="D203" t="s">
        <v>280</v>
      </c>
      <c r="E203" s="209">
        <v>46244</v>
      </c>
      <c r="F203" s="209">
        <v>46244</v>
      </c>
      <c r="G203" s="214" t="s">
        <v>675</v>
      </c>
      <c r="J203" t="s">
        <v>633</v>
      </c>
      <c r="R203" t="str">
        <f t="shared" si="3"/>
        <v>E8 Model Quality</v>
      </c>
    </row>
    <row r="204" spans="1:18" ht="57.6" customHeight="1" x14ac:dyDescent="0.55000000000000004">
      <c r="A204" t="s">
        <v>308</v>
      </c>
      <c r="B204" t="s">
        <v>676</v>
      </c>
      <c r="C204" s="272" t="s">
        <v>257</v>
      </c>
      <c r="D204" t="s">
        <v>310</v>
      </c>
      <c r="E204" s="209">
        <v>46244</v>
      </c>
      <c r="F204" s="209">
        <v>46244</v>
      </c>
      <c r="G204" s="214" t="s">
        <v>677</v>
      </c>
      <c r="J204" t="s">
        <v>633</v>
      </c>
      <c r="R204" t="str">
        <f t="shared" si="3"/>
        <v>E6 Picks</v>
      </c>
    </row>
    <row r="205" spans="1:18" ht="115.2" customHeight="1" x14ac:dyDescent="0.55000000000000004">
      <c r="B205" t="s">
        <v>678</v>
      </c>
      <c r="C205" s="272" t="s">
        <v>257</v>
      </c>
      <c r="D205" t="s">
        <v>310</v>
      </c>
      <c r="E205" s="209">
        <v>46244</v>
      </c>
      <c r="F205" s="209">
        <v>46244</v>
      </c>
      <c r="G205" s="214" t="s">
        <v>679</v>
      </c>
      <c r="J205" t="s">
        <v>633</v>
      </c>
      <c r="R205" t="str">
        <f t="shared" si="3"/>
        <v>E6 Picks</v>
      </c>
    </row>
    <row r="206" spans="1:18" ht="144" customHeight="1" x14ac:dyDescent="0.55000000000000004">
      <c r="A206" t="s">
        <v>334</v>
      </c>
      <c r="B206" t="s">
        <v>680</v>
      </c>
      <c r="C206" s="272" t="s">
        <v>257</v>
      </c>
      <c r="D206" t="s">
        <v>310</v>
      </c>
      <c r="E206" s="209">
        <v>46244</v>
      </c>
      <c r="F206" s="209">
        <v>46245</v>
      </c>
      <c r="G206" s="214" t="s">
        <v>681</v>
      </c>
      <c r="J206" t="s">
        <v>633</v>
      </c>
      <c r="R206" t="str">
        <f t="shared" si="3"/>
        <v>E8 Model Quality</v>
      </c>
    </row>
    <row r="207" spans="1:18" ht="129.6" customHeight="1" x14ac:dyDescent="0.55000000000000004">
      <c r="A207" t="s">
        <v>364</v>
      </c>
      <c r="B207" t="s">
        <v>682</v>
      </c>
      <c r="C207" s="272" t="s">
        <v>257</v>
      </c>
      <c r="D207" t="s">
        <v>268</v>
      </c>
      <c r="E207" s="209">
        <v>46244</v>
      </c>
      <c r="F207" s="209">
        <v>46245</v>
      </c>
      <c r="G207" s="214" t="s">
        <v>683</v>
      </c>
      <c r="J207" t="s">
        <v>633</v>
      </c>
      <c r="R207" t="str">
        <f t="shared" si="3"/>
        <v>E9 Data Ops</v>
      </c>
    </row>
    <row r="208" spans="1:18" ht="144" customHeight="1" x14ac:dyDescent="0.55000000000000004">
      <c r="A208" t="s">
        <v>308</v>
      </c>
      <c r="B208" t="s">
        <v>684</v>
      </c>
      <c r="C208" s="272" t="s">
        <v>257</v>
      </c>
      <c r="D208" t="s">
        <v>310</v>
      </c>
      <c r="E208" s="209">
        <v>46245</v>
      </c>
      <c r="F208" s="209">
        <v>46245</v>
      </c>
      <c r="G208" s="214" t="s">
        <v>685</v>
      </c>
      <c r="J208" t="s">
        <v>633</v>
      </c>
      <c r="R208" t="str">
        <f t="shared" si="3"/>
        <v>E6 Picks</v>
      </c>
    </row>
    <row r="209" spans="1:18" ht="57.6" customHeight="1" x14ac:dyDescent="0.55000000000000004">
      <c r="A209" t="s">
        <v>424</v>
      </c>
      <c r="B209" t="s">
        <v>686</v>
      </c>
      <c r="C209" s="272" t="s">
        <v>257</v>
      </c>
      <c r="D209" t="s">
        <v>595</v>
      </c>
      <c r="E209" s="209">
        <v>46245</v>
      </c>
      <c r="F209" s="209">
        <v>46245</v>
      </c>
      <c r="G209" s="214" t="s">
        <v>687</v>
      </c>
      <c r="J209" t="s">
        <v>633</v>
      </c>
      <c r="R209" t="str">
        <f t="shared" si="3"/>
        <v>E11 Ops Resilience</v>
      </c>
    </row>
    <row r="210" spans="1:18" ht="86.4" customHeight="1" x14ac:dyDescent="0.55000000000000004">
      <c r="A210" t="s">
        <v>334</v>
      </c>
      <c r="B210" t="s">
        <v>688</v>
      </c>
      <c r="C210" s="272" t="s">
        <v>257</v>
      </c>
      <c r="D210" t="s">
        <v>310</v>
      </c>
      <c r="E210" s="209">
        <v>46245</v>
      </c>
      <c r="F210" s="209">
        <v>46245</v>
      </c>
      <c r="G210" s="214" t="s">
        <v>689</v>
      </c>
      <c r="J210" t="s">
        <v>633</v>
      </c>
      <c r="R210" t="str">
        <f t="shared" si="3"/>
        <v>E8 Model Quality</v>
      </c>
    </row>
    <row r="211" spans="1:18" ht="72" customHeight="1" x14ac:dyDescent="0.55000000000000004">
      <c r="A211" t="s">
        <v>424</v>
      </c>
      <c r="B211" t="s">
        <v>690</v>
      </c>
      <c r="C211" s="272" t="s">
        <v>257</v>
      </c>
      <c r="D211" t="s">
        <v>310</v>
      </c>
      <c r="E211" s="209">
        <v>46246</v>
      </c>
      <c r="F211" s="209">
        <v>46246</v>
      </c>
      <c r="G211" s="214" t="s">
        <v>691</v>
      </c>
      <c r="J211" t="s">
        <v>633</v>
      </c>
      <c r="R211" t="str">
        <f t="shared" si="3"/>
        <v>E11 Ops Resilience</v>
      </c>
    </row>
    <row r="212" spans="1:18" ht="43.2" customHeight="1" x14ac:dyDescent="0.55000000000000004">
      <c r="A212" t="s">
        <v>424</v>
      </c>
      <c r="B212" t="s">
        <v>692</v>
      </c>
      <c r="C212" s="272" t="s">
        <v>257</v>
      </c>
      <c r="D212" t="s">
        <v>310</v>
      </c>
      <c r="E212" s="209">
        <v>46246</v>
      </c>
      <c r="F212" s="209">
        <v>46246</v>
      </c>
      <c r="G212" s="214" t="s">
        <v>693</v>
      </c>
      <c r="J212" t="s">
        <v>633</v>
      </c>
      <c r="R212" t="str">
        <f t="shared" si="3"/>
        <v>E11 Ops Resilience</v>
      </c>
    </row>
    <row r="213" spans="1:18" ht="57.6" customHeight="1" x14ac:dyDescent="0.55000000000000004">
      <c r="A213" t="s">
        <v>424</v>
      </c>
      <c r="B213" t="s">
        <v>694</v>
      </c>
      <c r="C213" s="272" t="s">
        <v>257</v>
      </c>
      <c r="D213" t="s">
        <v>310</v>
      </c>
      <c r="E213" s="209">
        <v>46246</v>
      </c>
      <c r="F213" s="209">
        <v>46246</v>
      </c>
      <c r="G213" s="214" t="s">
        <v>695</v>
      </c>
      <c r="J213" t="s">
        <v>633</v>
      </c>
      <c r="R213" t="str">
        <f t="shared" si="3"/>
        <v>E11 Ops Resilience</v>
      </c>
    </row>
    <row r="214" spans="1:18" ht="72" customHeight="1" x14ac:dyDescent="0.55000000000000004">
      <c r="A214" t="s">
        <v>334</v>
      </c>
      <c r="B214" t="s">
        <v>696</v>
      </c>
      <c r="C214" s="272" t="s">
        <v>257</v>
      </c>
      <c r="D214" t="s">
        <v>280</v>
      </c>
      <c r="E214" s="209">
        <v>46247</v>
      </c>
      <c r="F214" s="209">
        <v>46247</v>
      </c>
      <c r="G214" s="214" t="s">
        <v>697</v>
      </c>
      <c r="J214" t="s">
        <v>633</v>
      </c>
      <c r="R214" t="str">
        <f t="shared" si="3"/>
        <v>E8 Model Quality</v>
      </c>
    </row>
    <row r="215" spans="1:18" ht="57.6" customHeight="1" x14ac:dyDescent="0.55000000000000004">
      <c r="A215" t="s">
        <v>334</v>
      </c>
      <c r="B215" t="s">
        <v>698</v>
      </c>
      <c r="C215" s="272" t="s">
        <v>257</v>
      </c>
      <c r="D215" t="s">
        <v>280</v>
      </c>
      <c r="E215" s="209">
        <v>46247</v>
      </c>
      <c r="F215" s="209">
        <v>46247</v>
      </c>
      <c r="G215" s="214" t="s">
        <v>699</v>
      </c>
      <c r="J215" t="s">
        <v>633</v>
      </c>
      <c r="R215" t="str">
        <f t="shared" si="3"/>
        <v>E8 Model Quality</v>
      </c>
    </row>
    <row r="216" spans="1:18" ht="57.6" customHeight="1" x14ac:dyDescent="0.55000000000000004">
      <c r="A216" t="s">
        <v>424</v>
      </c>
      <c r="B216" t="s">
        <v>700</v>
      </c>
      <c r="C216" s="272" t="s">
        <v>257</v>
      </c>
      <c r="D216" t="s">
        <v>310</v>
      </c>
      <c r="E216" s="209">
        <v>46247</v>
      </c>
      <c r="F216" s="209">
        <v>46247</v>
      </c>
      <c r="G216" s="214" t="s">
        <v>701</v>
      </c>
      <c r="J216" t="s">
        <v>633</v>
      </c>
      <c r="R216" t="str">
        <f t="shared" si="3"/>
        <v>E11 Ops Resilience</v>
      </c>
    </row>
    <row r="217" spans="1:18" ht="86.4" customHeight="1" x14ac:dyDescent="0.55000000000000004">
      <c r="A217" t="s">
        <v>334</v>
      </c>
      <c r="B217" t="s">
        <v>702</v>
      </c>
      <c r="C217" s="272" t="s">
        <v>257</v>
      </c>
      <c r="D217" t="s">
        <v>280</v>
      </c>
      <c r="E217" s="209">
        <v>46247</v>
      </c>
      <c r="F217" s="209">
        <v>46247</v>
      </c>
      <c r="G217" s="214" t="s">
        <v>703</v>
      </c>
      <c r="J217" t="s">
        <v>633</v>
      </c>
      <c r="R217" t="str">
        <f t="shared" si="3"/>
        <v>E8 Model Quality</v>
      </c>
    </row>
    <row r="218" spans="1:18" ht="72" customHeight="1" x14ac:dyDescent="0.55000000000000004">
      <c r="A218" t="s">
        <v>334</v>
      </c>
      <c r="B218" t="s">
        <v>704</v>
      </c>
      <c r="C218" s="272" t="s">
        <v>257</v>
      </c>
      <c r="D218" t="s">
        <v>310</v>
      </c>
      <c r="E218" s="209">
        <v>46247</v>
      </c>
      <c r="F218" s="209">
        <v>46247</v>
      </c>
      <c r="G218" s="214" t="s">
        <v>705</v>
      </c>
      <c r="J218" t="s">
        <v>633</v>
      </c>
      <c r="R218" t="str">
        <f t="shared" si="3"/>
        <v>E8 Model Quality</v>
      </c>
    </row>
    <row r="219" spans="1:18" ht="86.4" customHeight="1" x14ac:dyDescent="0.55000000000000004">
      <c r="A219" t="s">
        <v>308</v>
      </c>
      <c r="B219" t="s">
        <v>706</v>
      </c>
      <c r="C219" s="272" t="s">
        <v>257</v>
      </c>
      <c r="D219" t="s">
        <v>310</v>
      </c>
      <c r="E219" s="209">
        <v>46247</v>
      </c>
      <c r="F219" s="209">
        <v>46247</v>
      </c>
      <c r="G219" s="214" t="s">
        <v>707</v>
      </c>
      <c r="J219" t="s">
        <v>633</v>
      </c>
      <c r="R219" t="str">
        <f t="shared" si="3"/>
        <v>E6 Picks</v>
      </c>
    </row>
    <row r="220" spans="1:18" ht="72" customHeight="1" x14ac:dyDescent="0.55000000000000004">
      <c r="A220" t="s">
        <v>334</v>
      </c>
      <c r="B220" t="s">
        <v>708</v>
      </c>
      <c r="C220" s="272" t="s">
        <v>257</v>
      </c>
      <c r="D220" t="s">
        <v>280</v>
      </c>
      <c r="E220" s="209">
        <v>46247</v>
      </c>
      <c r="F220" s="209">
        <v>46247</v>
      </c>
      <c r="G220" s="214" t="s">
        <v>709</v>
      </c>
      <c r="J220" t="s">
        <v>633</v>
      </c>
      <c r="R220" t="str">
        <f t="shared" si="3"/>
        <v>E8 Model Quality</v>
      </c>
    </row>
    <row r="221" spans="1:18" ht="57.6" customHeight="1" x14ac:dyDescent="0.55000000000000004">
      <c r="A221" t="s">
        <v>364</v>
      </c>
      <c r="B221" t="s">
        <v>710</v>
      </c>
      <c r="C221" s="272" t="s">
        <v>257</v>
      </c>
      <c r="D221" t="s">
        <v>280</v>
      </c>
      <c r="E221" s="209">
        <v>46247</v>
      </c>
      <c r="F221" s="209">
        <v>46247</v>
      </c>
      <c r="G221" s="214" t="s">
        <v>711</v>
      </c>
      <c r="J221" t="s">
        <v>633</v>
      </c>
      <c r="R221" t="str">
        <f t="shared" si="3"/>
        <v>E9 Data Ops</v>
      </c>
    </row>
    <row r="222" spans="1:18" ht="72" customHeight="1" x14ac:dyDescent="0.55000000000000004">
      <c r="A222" t="s">
        <v>308</v>
      </c>
      <c r="B222" t="s">
        <v>712</v>
      </c>
      <c r="C222" s="272" t="s">
        <v>257</v>
      </c>
      <c r="D222" t="s">
        <v>310</v>
      </c>
      <c r="E222" s="209">
        <v>46247</v>
      </c>
      <c r="F222" s="209">
        <v>46247</v>
      </c>
      <c r="G222" s="214" t="s">
        <v>713</v>
      </c>
      <c r="J222" t="s">
        <v>633</v>
      </c>
      <c r="R222" t="str">
        <f t="shared" si="3"/>
        <v>E6 Picks</v>
      </c>
    </row>
    <row r="223" spans="1:18" ht="57.6" customHeight="1" x14ac:dyDescent="0.55000000000000004">
      <c r="A223" t="s">
        <v>364</v>
      </c>
      <c r="B223" t="s">
        <v>714</v>
      </c>
      <c r="C223" s="272" t="s">
        <v>257</v>
      </c>
      <c r="D223" t="s">
        <v>280</v>
      </c>
      <c r="E223" s="209">
        <v>46247</v>
      </c>
      <c r="F223" s="209">
        <v>46247</v>
      </c>
      <c r="G223" s="214" t="s">
        <v>715</v>
      </c>
      <c r="J223" t="s">
        <v>633</v>
      </c>
      <c r="R223" t="str">
        <f t="shared" si="3"/>
        <v>E9 Data Ops</v>
      </c>
    </row>
    <row r="224" spans="1:18" ht="72" customHeight="1" x14ac:dyDescent="0.55000000000000004">
      <c r="A224" t="s">
        <v>364</v>
      </c>
      <c r="B224" t="s">
        <v>716</v>
      </c>
      <c r="C224" s="272" t="s">
        <v>257</v>
      </c>
      <c r="D224" t="s">
        <v>280</v>
      </c>
      <c r="E224" s="209">
        <v>46247</v>
      </c>
      <c r="F224" s="209">
        <v>46247</v>
      </c>
      <c r="G224" s="214" t="s">
        <v>717</v>
      </c>
      <c r="J224" t="s">
        <v>633</v>
      </c>
      <c r="R224" t="str">
        <f t="shared" si="3"/>
        <v>E9 Data Ops</v>
      </c>
    </row>
    <row r="225" spans="1:18" ht="57.6" customHeight="1" x14ac:dyDescent="0.55000000000000004">
      <c r="A225" t="s">
        <v>334</v>
      </c>
      <c r="B225" t="s">
        <v>718</v>
      </c>
      <c r="C225" s="272" t="s">
        <v>257</v>
      </c>
      <c r="D225" t="s">
        <v>280</v>
      </c>
      <c r="E225" s="209">
        <v>46247</v>
      </c>
      <c r="F225" s="209">
        <v>46247</v>
      </c>
      <c r="G225" s="214" t="s">
        <v>719</v>
      </c>
      <c r="J225" t="s">
        <v>633</v>
      </c>
      <c r="R225" t="str">
        <f t="shared" si="3"/>
        <v>E8 Model Quality</v>
      </c>
    </row>
    <row r="226" spans="1:18" ht="43.2" customHeight="1" x14ac:dyDescent="0.55000000000000004">
      <c r="A226" t="s">
        <v>364</v>
      </c>
      <c r="B226" t="s">
        <v>720</v>
      </c>
      <c r="C226" s="272" t="s">
        <v>257</v>
      </c>
      <c r="D226" t="s">
        <v>721</v>
      </c>
      <c r="E226" s="209">
        <v>46247</v>
      </c>
      <c r="F226" s="209">
        <v>46247</v>
      </c>
      <c r="G226" s="214" t="s">
        <v>722</v>
      </c>
      <c r="J226" t="s">
        <v>633</v>
      </c>
      <c r="R226" t="str">
        <f t="shared" si="3"/>
        <v>E9 Data Ops</v>
      </c>
    </row>
    <row r="227" spans="1:18" ht="86.4" customHeight="1" x14ac:dyDescent="0.55000000000000004">
      <c r="A227" t="s">
        <v>364</v>
      </c>
      <c r="B227" t="s">
        <v>723</v>
      </c>
      <c r="C227" s="272" t="s">
        <v>257</v>
      </c>
      <c r="D227" t="s">
        <v>280</v>
      </c>
      <c r="E227" s="209">
        <v>46247</v>
      </c>
      <c r="F227" s="209">
        <v>46247</v>
      </c>
      <c r="G227" s="214" t="s">
        <v>724</v>
      </c>
      <c r="J227" t="s">
        <v>633</v>
      </c>
      <c r="R227" t="str">
        <f t="shared" si="3"/>
        <v>E9 Data Ops</v>
      </c>
    </row>
    <row r="228" spans="1:18" x14ac:dyDescent="0.55000000000000004">
      <c r="A228" t="s">
        <v>334</v>
      </c>
      <c r="B228" t="s">
        <v>725</v>
      </c>
      <c r="C228" s="272" t="s">
        <v>257</v>
      </c>
      <c r="D228" t="s">
        <v>280</v>
      </c>
      <c r="E228" s="209">
        <v>46247</v>
      </c>
      <c r="F228" s="209">
        <v>46247</v>
      </c>
      <c r="G228" s="214"/>
      <c r="J228" t="s">
        <v>633</v>
      </c>
      <c r="R228" t="str">
        <f t="shared" si="3"/>
        <v>E8 Model Quality</v>
      </c>
    </row>
    <row r="229" spans="1:18" x14ac:dyDescent="0.55000000000000004">
      <c r="A229" t="s">
        <v>334</v>
      </c>
      <c r="B229" t="s">
        <v>726</v>
      </c>
      <c r="C229" s="272" t="s">
        <v>257</v>
      </c>
      <c r="D229" t="s">
        <v>280</v>
      </c>
      <c r="E229" s="209">
        <v>46247</v>
      </c>
      <c r="F229" s="209">
        <v>46247</v>
      </c>
      <c r="G229" s="214"/>
      <c r="J229" t="s">
        <v>633</v>
      </c>
      <c r="R229" t="str">
        <f t="shared" si="3"/>
        <v>E8 Model Quality</v>
      </c>
    </row>
    <row r="230" spans="1:18" x14ac:dyDescent="0.55000000000000004">
      <c r="A230" t="s">
        <v>308</v>
      </c>
      <c r="B230" t="s">
        <v>727</v>
      </c>
      <c r="C230" s="272" t="s">
        <v>257</v>
      </c>
      <c r="D230" t="s">
        <v>310</v>
      </c>
      <c r="E230" s="209">
        <v>46247</v>
      </c>
      <c r="F230" s="209">
        <v>46247</v>
      </c>
      <c r="G230" s="214"/>
      <c r="J230" t="s">
        <v>633</v>
      </c>
      <c r="R230" t="str">
        <f t="shared" si="3"/>
        <v>E6 Picks</v>
      </c>
    </row>
    <row r="231" spans="1:18" x14ac:dyDescent="0.55000000000000004">
      <c r="A231" t="s">
        <v>334</v>
      </c>
      <c r="B231" t="s">
        <v>728</v>
      </c>
      <c r="C231" s="272" t="s">
        <v>257</v>
      </c>
      <c r="D231" t="s">
        <v>280</v>
      </c>
      <c r="E231" s="209">
        <v>46247</v>
      </c>
      <c r="F231" s="209">
        <v>46247</v>
      </c>
      <c r="G231" s="214"/>
      <c r="J231" t="s">
        <v>633</v>
      </c>
      <c r="R231" t="str">
        <f t="shared" si="3"/>
        <v>E8 Model Quality</v>
      </c>
    </row>
    <row r="232" spans="1:18" x14ac:dyDescent="0.55000000000000004">
      <c r="A232" t="s">
        <v>334</v>
      </c>
      <c r="B232" t="s">
        <v>729</v>
      </c>
      <c r="C232" s="272" t="s">
        <v>257</v>
      </c>
      <c r="D232" t="s">
        <v>310</v>
      </c>
      <c r="E232" s="209">
        <v>46247</v>
      </c>
      <c r="F232" s="209">
        <v>46247</v>
      </c>
      <c r="G232" s="214"/>
      <c r="J232" t="s">
        <v>633</v>
      </c>
      <c r="R232" t="str">
        <f t="shared" si="3"/>
        <v>E8 Model Quality</v>
      </c>
    </row>
    <row r="233" spans="1:18" x14ac:dyDescent="0.55000000000000004">
      <c r="A233" t="s">
        <v>424</v>
      </c>
      <c r="B233" t="s">
        <v>730</v>
      </c>
      <c r="C233" s="272" t="s">
        <v>257</v>
      </c>
      <c r="D233" t="s">
        <v>310</v>
      </c>
      <c r="E233" s="209">
        <v>46247</v>
      </c>
      <c r="F233" s="209">
        <v>46247</v>
      </c>
      <c r="G233" s="214"/>
      <c r="J233" t="s">
        <v>633</v>
      </c>
      <c r="R233" t="str">
        <f t="shared" si="3"/>
        <v>E11 Ops Resilience</v>
      </c>
    </row>
    <row r="234" spans="1:18" x14ac:dyDescent="0.55000000000000004">
      <c r="A234" t="s">
        <v>334</v>
      </c>
      <c r="B234" t="s">
        <v>731</v>
      </c>
      <c r="C234" s="272" t="s">
        <v>257</v>
      </c>
      <c r="D234" t="s">
        <v>280</v>
      </c>
      <c r="E234" s="209">
        <v>46247</v>
      </c>
      <c r="F234" s="209">
        <v>46247</v>
      </c>
      <c r="G234" s="214"/>
      <c r="J234" t="s">
        <v>633</v>
      </c>
      <c r="R234" t="str">
        <f t="shared" si="3"/>
        <v>E8 Model Quality</v>
      </c>
    </row>
    <row r="235" spans="1:18" x14ac:dyDescent="0.55000000000000004">
      <c r="A235" t="s">
        <v>364</v>
      </c>
      <c r="B235" t="s">
        <v>732</v>
      </c>
      <c r="C235" s="272" t="s">
        <v>257</v>
      </c>
      <c r="D235" t="s">
        <v>280</v>
      </c>
      <c r="E235" s="209">
        <v>46247</v>
      </c>
      <c r="F235" s="209">
        <v>46247</v>
      </c>
      <c r="G235" s="214"/>
      <c r="J235" t="s">
        <v>633</v>
      </c>
      <c r="R235" t="str">
        <f t="shared" si="3"/>
        <v>E9 Data Ops</v>
      </c>
    </row>
    <row r="236" spans="1:18" x14ac:dyDescent="0.55000000000000004">
      <c r="A236" t="s">
        <v>334</v>
      </c>
      <c r="B236" t="s">
        <v>733</v>
      </c>
      <c r="C236" s="272" t="s">
        <v>257</v>
      </c>
      <c r="D236" t="s">
        <v>280</v>
      </c>
      <c r="E236" s="209">
        <v>46247</v>
      </c>
      <c r="F236" s="209">
        <v>46247</v>
      </c>
      <c r="G236" s="214"/>
      <c r="J236" t="s">
        <v>633</v>
      </c>
      <c r="R236" t="str">
        <f t="shared" si="3"/>
        <v>E8 Model Quality</v>
      </c>
    </row>
    <row r="237" spans="1:18" x14ac:dyDescent="0.55000000000000004">
      <c r="A237" t="s">
        <v>297</v>
      </c>
      <c r="B237" t="s">
        <v>734</v>
      </c>
      <c r="C237" s="272" t="s">
        <v>257</v>
      </c>
      <c r="D237" t="s">
        <v>280</v>
      </c>
      <c r="E237" s="209">
        <v>46247</v>
      </c>
      <c r="F237" s="209">
        <v>46247</v>
      </c>
      <c r="G237" s="214"/>
      <c r="J237" t="s">
        <v>633</v>
      </c>
      <c r="R237" t="str">
        <f t="shared" si="3"/>
        <v>E5 ML Tennis</v>
      </c>
    </row>
    <row r="238" spans="1:18" x14ac:dyDescent="0.55000000000000004">
      <c r="A238" t="s">
        <v>424</v>
      </c>
      <c r="B238" t="s">
        <v>735</v>
      </c>
      <c r="C238" s="272" t="s">
        <v>257</v>
      </c>
      <c r="D238" t="s">
        <v>280</v>
      </c>
      <c r="E238" s="209">
        <v>46247</v>
      </c>
      <c r="F238" s="209">
        <v>46247</v>
      </c>
      <c r="G238" s="214"/>
      <c r="J238" t="s">
        <v>633</v>
      </c>
      <c r="R238" t="str">
        <f t="shared" si="3"/>
        <v>E11 Ops Resilience</v>
      </c>
    </row>
    <row r="239" spans="1:18" x14ac:dyDescent="0.55000000000000004">
      <c r="A239" t="s">
        <v>278</v>
      </c>
      <c r="B239" t="s">
        <v>736</v>
      </c>
      <c r="C239" s="272" t="s">
        <v>257</v>
      </c>
      <c r="D239" t="s">
        <v>280</v>
      </c>
      <c r="E239" s="209">
        <v>46247</v>
      </c>
      <c r="F239" s="209">
        <v>46247</v>
      </c>
      <c r="G239" s="214"/>
      <c r="J239" t="s">
        <v>633</v>
      </c>
      <c r="R239" t="str">
        <f t="shared" si="3"/>
        <v>E3 ML NBA</v>
      </c>
    </row>
    <row r="240" spans="1:18" x14ac:dyDescent="0.55000000000000004">
      <c r="A240" t="s">
        <v>424</v>
      </c>
      <c r="B240" t="s">
        <v>737</v>
      </c>
      <c r="C240" s="272" t="s">
        <v>257</v>
      </c>
      <c r="D240" t="s">
        <v>280</v>
      </c>
      <c r="E240" s="209">
        <v>46247</v>
      </c>
      <c r="F240" s="209">
        <v>46247</v>
      </c>
      <c r="G240" s="214"/>
      <c r="J240" t="s">
        <v>633</v>
      </c>
      <c r="R240" t="str">
        <f t="shared" si="3"/>
        <v>E11 Ops Resilience</v>
      </c>
    </row>
    <row r="241" spans="1:18" ht="72" customHeight="1" x14ac:dyDescent="0.55000000000000004">
      <c r="A241" t="s">
        <v>278</v>
      </c>
      <c r="B241" t="s">
        <v>738</v>
      </c>
      <c r="C241" s="272" t="s">
        <v>257</v>
      </c>
      <c r="D241" t="s">
        <v>310</v>
      </c>
      <c r="E241" s="209">
        <v>46247</v>
      </c>
      <c r="F241" s="209">
        <v>46247</v>
      </c>
      <c r="G241" s="214" t="s">
        <v>739</v>
      </c>
      <c r="J241" t="s">
        <v>633</v>
      </c>
      <c r="R241" t="str">
        <f t="shared" si="3"/>
        <v>E3 ML NBA</v>
      </c>
    </row>
    <row r="242" spans="1:18" ht="57.6" customHeight="1" x14ac:dyDescent="0.55000000000000004">
      <c r="A242" t="s">
        <v>318</v>
      </c>
      <c r="B242" t="s">
        <v>740</v>
      </c>
      <c r="C242" s="278" t="s">
        <v>257</v>
      </c>
      <c r="D242" t="s">
        <v>320</v>
      </c>
      <c r="E242" s="209">
        <v>46254</v>
      </c>
      <c r="F242" s="209">
        <v>46254</v>
      </c>
      <c r="G242" s="214" t="s">
        <v>741</v>
      </c>
      <c r="K242" t="s">
        <v>633</v>
      </c>
      <c r="R242" t="str">
        <f t="shared" si="3"/>
        <v>E7 Mobile</v>
      </c>
    </row>
    <row r="243" spans="1:18" ht="57.6" customHeight="1" x14ac:dyDescent="0.55000000000000004">
      <c r="B243" t="s">
        <v>742</v>
      </c>
      <c r="C243" s="278" t="s">
        <v>257</v>
      </c>
      <c r="D243" t="s">
        <v>320</v>
      </c>
      <c r="E243" s="209">
        <v>46254</v>
      </c>
      <c r="F243" s="209">
        <v>46255</v>
      </c>
      <c r="G243" s="214" t="s">
        <v>743</v>
      </c>
      <c r="K243" t="s">
        <v>633</v>
      </c>
      <c r="R243" t="str">
        <f t="shared" si="3"/>
        <v>E7 Mobile</v>
      </c>
    </row>
    <row r="244" spans="1:18" ht="43.2" customHeight="1" x14ac:dyDescent="0.55000000000000004">
      <c r="B244" t="s">
        <v>744</v>
      </c>
      <c r="C244" s="278" t="s">
        <v>257</v>
      </c>
      <c r="D244" t="s">
        <v>320</v>
      </c>
      <c r="E244" s="209">
        <v>46255</v>
      </c>
      <c r="F244" s="209">
        <v>46255</v>
      </c>
      <c r="G244" s="214" t="s">
        <v>745</v>
      </c>
      <c r="K244" t="s">
        <v>633</v>
      </c>
      <c r="R244" t="str">
        <f t="shared" si="3"/>
        <v>E7 Mobile</v>
      </c>
    </row>
    <row r="245" spans="1:18" ht="72" customHeight="1" x14ac:dyDescent="0.55000000000000004">
      <c r="B245" t="s">
        <v>746</v>
      </c>
      <c r="C245" s="278" t="s">
        <v>257</v>
      </c>
      <c r="D245" t="s">
        <v>320</v>
      </c>
      <c r="E245" s="209">
        <v>46256</v>
      </c>
      <c r="F245" s="209">
        <v>46256</v>
      </c>
      <c r="G245" s="214" t="s">
        <v>747</v>
      </c>
      <c r="K245" t="s">
        <v>633</v>
      </c>
      <c r="R245" t="str">
        <f t="shared" si="3"/>
        <v>E7 Mobile</v>
      </c>
    </row>
    <row r="246" spans="1:18" ht="72" customHeight="1" x14ac:dyDescent="0.55000000000000004">
      <c r="B246" t="s">
        <v>748</v>
      </c>
      <c r="C246" s="278" t="s">
        <v>257</v>
      </c>
      <c r="D246" t="s">
        <v>320</v>
      </c>
      <c r="E246" s="209">
        <v>46256</v>
      </c>
      <c r="F246" s="209">
        <v>46256</v>
      </c>
      <c r="G246" s="214" t="s">
        <v>749</v>
      </c>
      <c r="K246" t="s">
        <v>633</v>
      </c>
      <c r="R246" t="str">
        <f t="shared" si="3"/>
        <v>E7 Mobile</v>
      </c>
    </row>
    <row r="247" spans="1:18" ht="86.4" customHeight="1" x14ac:dyDescent="0.55000000000000004">
      <c r="A247" t="s">
        <v>334</v>
      </c>
      <c r="B247" t="s">
        <v>750</v>
      </c>
      <c r="C247" s="278" t="s">
        <v>257</v>
      </c>
      <c r="D247" t="s">
        <v>280</v>
      </c>
      <c r="E247" s="209">
        <v>46256</v>
      </c>
      <c r="F247" s="209">
        <v>46256</v>
      </c>
      <c r="G247" s="214" t="s">
        <v>751</v>
      </c>
      <c r="K247" t="s">
        <v>633</v>
      </c>
      <c r="R247" t="str">
        <f t="shared" si="3"/>
        <v>E8 Model Quality</v>
      </c>
    </row>
    <row r="248" spans="1:18" ht="86.4" customHeight="1" x14ac:dyDescent="0.55000000000000004">
      <c r="B248" t="s">
        <v>752</v>
      </c>
      <c r="C248" s="278" t="s">
        <v>257</v>
      </c>
      <c r="D248" t="s">
        <v>280</v>
      </c>
      <c r="E248" s="209">
        <v>46256</v>
      </c>
      <c r="F248" s="209">
        <v>46256</v>
      </c>
      <c r="G248" s="214" t="s">
        <v>753</v>
      </c>
      <c r="K248" t="s">
        <v>633</v>
      </c>
      <c r="R248" t="str">
        <f t="shared" si="3"/>
        <v>E8 Model Quality</v>
      </c>
    </row>
    <row r="249" spans="1:18" ht="100.8" customHeight="1" x14ac:dyDescent="0.55000000000000004">
      <c r="B249" t="s">
        <v>754</v>
      </c>
      <c r="C249" s="278" t="s">
        <v>257</v>
      </c>
      <c r="D249" t="s">
        <v>280</v>
      </c>
      <c r="E249" s="209">
        <v>46256</v>
      </c>
      <c r="F249" s="209">
        <v>46256</v>
      </c>
      <c r="G249" s="214" t="s">
        <v>755</v>
      </c>
      <c r="K249" t="s">
        <v>633</v>
      </c>
      <c r="R249" t="str">
        <f t="shared" si="3"/>
        <v>E8 Model Quality</v>
      </c>
    </row>
    <row r="250" spans="1:18" ht="100.8" customHeight="1" x14ac:dyDescent="0.55000000000000004">
      <c r="B250" t="s">
        <v>756</v>
      </c>
      <c r="C250" s="279" t="s">
        <v>257</v>
      </c>
      <c r="D250" t="s">
        <v>310</v>
      </c>
      <c r="E250" s="209">
        <v>46256</v>
      </c>
      <c r="F250" s="209">
        <v>46256</v>
      </c>
      <c r="G250" s="214" t="s">
        <v>757</v>
      </c>
      <c r="K250" t="s">
        <v>633</v>
      </c>
      <c r="R250" t="str">
        <f t="shared" si="3"/>
        <v>E8 Model Quality</v>
      </c>
    </row>
    <row r="251" spans="1:18" ht="86.4" customHeight="1" x14ac:dyDescent="0.55000000000000004">
      <c r="B251" t="s">
        <v>758</v>
      </c>
      <c r="C251" s="279" t="s">
        <v>257</v>
      </c>
      <c r="D251" t="s">
        <v>280</v>
      </c>
      <c r="E251" s="209">
        <v>46256</v>
      </c>
      <c r="F251" s="209">
        <v>46256</v>
      </c>
      <c r="G251" s="214" t="s">
        <v>759</v>
      </c>
      <c r="K251" t="s">
        <v>633</v>
      </c>
      <c r="R251" t="str">
        <f t="shared" si="3"/>
        <v>E8 Model Quality</v>
      </c>
    </row>
    <row r="252" spans="1:18" ht="86.4" customHeight="1" x14ac:dyDescent="0.55000000000000004">
      <c r="B252" t="s">
        <v>760</v>
      </c>
      <c r="C252" s="279" t="s">
        <v>257</v>
      </c>
      <c r="D252" t="s">
        <v>761</v>
      </c>
      <c r="E252" s="209">
        <v>46256</v>
      </c>
      <c r="F252" s="209">
        <v>46256</v>
      </c>
      <c r="G252" s="214" t="s">
        <v>762</v>
      </c>
      <c r="K252" t="s">
        <v>633</v>
      </c>
      <c r="R252" t="str">
        <f t="shared" si="3"/>
        <v>E8 Model Quality</v>
      </c>
    </row>
    <row r="253" spans="1:18" ht="100.8" customHeight="1" x14ac:dyDescent="0.55000000000000004">
      <c r="A253" t="s">
        <v>318</v>
      </c>
      <c r="B253" t="s">
        <v>763</v>
      </c>
      <c r="C253" s="279" t="s">
        <v>257</v>
      </c>
      <c r="D253" t="s">
        <v>320</v>
      </c>
      <c r="E253" s="209">
        <v>46256</v>
      </c>
      <c r="F253" s="209">
        <v>46256</v>
      </c>
      <c r="G253" s="214" t="s">
        <v>764</v>
      </c>
      <c r="K253" t="s">
        <v>633</v>
      </c>
      <c r="R253" t="str">
        <f t="shared" si="3"/>
        <v>E7 Mobile</v>
      </c>
    </row>
    <row r="254" spans="1:18" ht="100.8" customHeight="1" x14ac:dyDescent="0.55000000000000004">
      <c r="A254" t="s">
        <v>308</v>
      </c>
      <c r="B254" t="s">
        <v>765</v>
      </c>
      <c r="C254" s="280" t="s">
        <v>257</v>
      </c>
      <c r="D254" t="s">
        <v>310</v>
      </c>
      <c r="E254" s="209">
        <v>46257</v>
      </c>
      <c r="F254" s="209">
        <v>46257</v>
      </c>
      <c r="G254" s="214" t="s">
        <v>766</v>
      </c>
      <c r="K254" t="s">
        <v>633</v>
      </c>
      <c r="R254" t="str">
        <f t="shared" si="3"/>
        <v>E6 Picks</v>
      </c>
    </row>
    <row r="255" spans="1:18" ht="86.4" customHeight="1" x14ac:dyDescent="0.55000000000000004">
      <c r="B255" t="s">
        <v>767</v>
      </c>
      <c r="C255" s="280" t="s">
        <v>257</v>
      </c>
      <c r="D255" t="s">
        <v>310</v>
      </c>
      <c r="E255" s="209">
        <v>46257</v>
      </c>
      <c r="F255" s="209">
        <v>46257</v>
      </c>
      <c r="G255" s="214" t="s">
        <v>768</v>
      </c>
      <c r="K255" t="s">
        <v>633</v>
      </c>
      <c r="R255" t="str">
        <f t="shared" si="3"/>
        <v>E6 Picks</v>
      </c>
    </row>
    <row r="256" spans="1:18" ht="57.6" customHeight="1" x14ac:dyDescent="0.55000000000000004">
      <c r="A256" t="s">
        <v>318</v>
      </c>
      <c r="B256" t="s">
        <v>769</v>
      </c>
      <c r="C256" s="280" t="s">
        <v>257</v>
      </c>
      <c r="D256" t="s">
        <v>320</v>
      </c>
      <c r="E256" s="209">
        <v>46257</v>
      </c>
      <c r="F256" s="209">
        <v>46257</v>
      </c>
      <c r="G256" s="214" t="s">
        <v>770</v>
      </c>
      <c r="K256" t="s">
        <v>633</v>
      </c>
      <c r="R256" t="str">
        <f t="shared" si="3"/>
        <v>E7 Mobile</v>
      </c>
    </row>
    <row r="257" spans="1:18" ht="86.4" customHeight="1" x14ac:dyDescent="0.55000000000000004">
      <c r="A257" t="s">
        <v>334</v>
      </c>
      <c r="B257" t="s">
        <v>771</v>
      </c>
      <c r="C257" s="281" t="s">
        <v>257</v>
      </c>
      <c r="D257" t="s">
        <v>280</v>
      </c>
      <c r="E257" s="209">
        <v>46257</v>
      </c>
      <c r="F257" s="209">
        <v>46257</v>
      </c>
      <c r="G257" s="214" t="s">
        <v>772</v>
      </c>
      <c r="K257" t="s">
        <v>633</v>
      </c>
      <c r="R257" t="str">
        <f t="shared" si="3"/>
        <v>E8 Model Quality</v>
      </c>
    </row>
    <row r="258" spans="1:18" ht="28.8" customHeight="1" x14ac:dyDescent="0.55000000000000004">
      <c r="A258" t="s">
        <v>308</v>
      </c>
      <c r="B258" t="s">
        <v>773</v>
      </c>
      <c r="C258" s="281" t="s">
        <v>257</v>
      </c>
      <c r="D258" t="s">
        <v>320</v>
      </c>
      <c r="E258" s="209" t="s">
        <v>774</v>
      </c>
      <c r="F258" s="209" t="s">
        <v>774</v>
      </c>
      <c r="G258" s="214" t="s">
        <v>775</v>
      </c>
      <c r="L258" t="s">
        <v>633</v>
      </c>
      <c r="R258" t="str">
        <f t="shared" si="3"/>
        <v>E6 Picks</v>
      </c>
    </row>
    <row r="259" spans="1:18" ht="43.2" customHeight="1" x14ac:dyDescent="0.55000000000000004">
      <c r="B259" t="s">
        <v>776</v>
      </c>
      <c r="C259" s="281" t="s">
        <v>257</v>
      </c>
      <c r="D259" t="s">
        <v>310</v>
      </c>
      <c r="E259" s="209" t="s">
        <v>777</v>
      </c>
      <c r="F259" s="209" t="s">
        <v>777</v>
      </c>
      <c r="G259" s="214" t="s">
        <v>778</v>
      </c>
      <c r="L259" t="s">
        <v>633</v>
      </c>
      <c r="R259" t="str">
        <f t="shared" si="3"/>
        <v>E6 Picks</v>
      </c>
    </row>
    <row r="260" spans="1:18" ht="43.2" customHeight="1" x14ac:dyDescent="0.55000000000000004">
      <c r="A260" t="s">
        <v>318</v>
      </c>
      <c r="B260" t="s">
        <v>779</v>
      </c>
      <c r="C260" s="281" t="s">
        <v>257</v>
      </c>
      <c r="D260" t="s">
        <v>320</v>
      </c>
      <c r="E260" s="209" t="s">
        <v>777</v>
      </c>
      <c r="F260" s="209" t="s">
        <v>777</v>
      </c>
      <c r="G260" s="214" t="s">
        <v>780</v>
      </c>
      <c r="L260" t="s">
        <v>633</v>
      </c>
      <c r="R260" t="str">
        <f t="shared" si="3"/>
        <v>E7 Mobile</v>
      </c>
    </row>
    <row r="261" spans="1:18" ht="43.2" customHeight="1" x14ac:dyDescent="0.55000000000000004">
      <c r="B261" t="s">
        <v>781</v>
      </c>
      <c r="C261" s="281" t="s">
        <v>257</v>
      </c>
      <c r="D261" t="s">
        <v>320</v>
      </c>
      <c r="E261" s="209" t="s">
        <v>777</v>
      </c>
      <c r="F261" s="209" t="s">
        <v>777</v>
      </c>
      <c r="G261" s="214" t="s">
        <v>782</v>
      </c>
      <c r="L261" t="s">
        <v>633</v>
      </c>
      <c r="R261" t="str">
        <f t="shared" ref="R261:R286" si="4">IF($A261&lt;&gt;"",$A261,R260)</f>
        <v>E7 Mobile</v>
      </c>
    </row>
    <row r="262" spans="1:18" ht="43.2" customHeight="1" x14ac:dyDescent="0.55000000000000004">
      <c r="A262" t="s">
        <v>334</v>
      </c>
      <c r="B262" t="s">
        <v>783</v>
      </c>
      <c r="C262" s="281" t="s">
        <v>257</v>
      </c>
      <c r="D262" t="s">
        <v>280</v>
      </c>
      <c r="E262" s="209" t="s">
        <v>784</v>
      </c>
      <c r="F262" s="209" t="s">
        <v>784</v>
      </c>
      <c r="G262" s="214" t="s">
        <v>785</v>
      </c>
      <c r="L262" t="s">
        <v>633</v>
      </c>
      <c r="R262" t="str">
        <f t="shared" si="4"/>
        <v>E8 Model Quality</v>
      </c>
    </row>
    <row r="263" spans="1:18" ht="57.6" customHeight="1" x14ac:dyDescent="0.55000000000000004">
      <c r="A263" t="s">
        <v>395</v>
      </c>
      <c r="B263" t="s">
        <v>786</v>
      </c>
      <c r="C263" s="281" t="s">
        <v>257</v>
      </c>
      <c r="D263" t="s">
        <v>761</v>
      </c>
      <c r="E263" s="209" t="s">
        <v>787</v>
      </c>
      <c r="F263" s="209" t="s">
        <v>787</v>
      </c>
      <c r="G263" s="214" t="s">
        <v>788</v>
      </c>
      <c r="M263" t="s">
        <v>633</v>
      </c>
      <c r="R263" t="str">
        <f t="shared" si="4"/>
        <v>E10 Deploy</v>
      </c>
    </row>
    <row r="264" spans="1:18" ht="57.6" customHeight="1" x14ac:dyDescent="0.55000000000000004">
      <c r="A264" t="s">
        <v>308</v>
      </c>
      <c r="B264" t="s">
        <v>789</v>
      </c>
      <c r="C264" s="281" t="s">
        <v>257</v>
      </c>
      <c r="D264" t="s">
        <v>310</v>
      </c>
      <c r="E264" s="209" t="s">
        <v>790</v>
      </c>
      <c r="F264" s="209" t="s">
        <v>790</v>
      </c>
      <c r="G264" s="214" t="s">
        <v>791</v>
      </c>
      <c r="N264" t="s">
        <v>633</v>
      </c>
      <c r="R264" t="str">
        <f t="shared" si="4"/>
        <v>E6 Picks</v>
      </c>
    </row>
    <row r="265" spans="1:18" ht="28.8" customHeight="1" x14ac:dyDescent="0.55000000000000004">
      <c r="A265" t="s">
        <v>424</v>
      </c>
      <c r="B265" t="s">
        <v>792</v>
      </c>
      <c r="C265" s="281" t="s">
        <v>257</v>
      </c>
      <c r="D265" t="s">
        <v>310</v>
      </c>
      <c r="E265" s="209" t="s">
        <v>793</v>
      </c>
      <c r="F265" s="209" t="s">
        <v>793</v>
      </c>
      <c r="G265" s="214" t="s">
        <v>794</v>
      </c>
      <c r="O265" t="s">
        <v>633</v>
      </c>
      <c r="R265" t="str">
        <f t="shared" si="4"/>
        <v>E11 Ops Resilience</v>
      </c>
    </row>
    <row r="266" spans="1:18" ht="57.6" customHeight="1" x14ac:dyDescent="0.55000000000000004">
      <c r="A266" t="s">
        <v>266</v>
      </c>
      <c r="B266" t="s">
        <v>795</v>
      </c>
      <c r="C266" s="281" t="s">
        <v>257</v>
      </c>
      <c r="D266" t="s">
        <v>310</v>
      </c>
      <c r="E266" s="209" t="s">
        <v>793</v>
      </c>
      <c r="F266" s="209" t="s">
        <v>793</v>
      </c>
      <c r="G266" s="214" t="s">
        <v>796</v>
      </c>
      <c r="O266" t="s">
        <v>633</v>
      </c>
      <c r="R266" t="str">
        <f t="shared" si="4"/>
        <v>E2 Ingestion</v>
      </c>
    </row>
    <row r="267" spans="1:18" ht="43.2" customHeight="1" x14ac:dyDescent="0.55000000000000004">
      <c r="A267" t="s">
        <v>364</v>
      </c>
      <c r="B267" t="s">
        <v>797</v>
      </c>
      <c r="C267" s="281" t="s">
        <v>257</v>
      </c>
      <c r="D267" t="s">
        <v>280</v>
      </c>
      <c r="E267" s="209" t="s">
        <v>798</v>
      </c>
      <c r="F267" s="209" t="s">
        <v>798</v>
      </c>
      <c r="G267" s="214" t="s">
        <v>799</v>
      </c>
      <c r="O267" t="s">
        <v>633</v>
      </c>
      <c r="R267" t="str">
        <f t="shared" si="4"/>
        <v>E9 Data Ops</v>
      </c>
    </row>
    <row r="268" spans="1:18" ht="57.6" customHeight="1" x14ac:dyDescent="0.55000000000000004">
      <c r="A268" t="s">
        <v>318</v>
      </c>
      <c r="B268" t="s">
        <v>800</v>
      </c>
      <c r="C268" s="281" t="s">
        <v>257</v>
      </c>
      <c r="D268" t="s">
        <v>320</v>
      </c>
      <c r="E268" s="209">
        <v>46284</v>
      </c>
      <c r="F268" s="209">
        <v>46284</v>
      </c>
      <c r="G268" s="214" t="s">
        <v>801</v>
      </c>
      <c r="O268" t="s">
        <v>633</v>
      </c>
      <c r="R268" t="str">
        <f t="shared" si="4"/>
        <v>E7 Mobile</v>
      </c>
    </row>
    <row r="269" spans="1:18" ht="57.6" customHeight="1" x14ac:dyDescent="0.55000000000000004">
      <c r="B269" t="s">
        <v>802</v>
      </c>
      <c r="C269" s="281" t="s">
        <v>257</v>
      </c>
      <c r="D269" t="s">
        <v>320</v>
      </c>
      <c r="E269" s="209">
        <v>46284</v>
      </c>
      <c r="F269" s="209">
        <v>46284</v>
      </c>
      <c r="G269" s="214" t="s">
        <v>803</v>
      </c>
      <c r="O269" t="s">
        <v>633</v>
      </c>
      <c r="R269" t="str">
        <f t="shared" si="4"/>
        <v>E7 Mobile</v>
      </c>
    </row>
    <row r="270" spans="1:18" ht="72" customHeight="1" x14ac:dyDescent="0.55000000000000004">
      <c r="B270" t="s">
        <v>804</v>
      </c>
      <c r="C270" s="281" t="s">
        <v>257</v>
      </c>
      <c r="D270" t="s">
        <v>320</v>
      </c>
      <c r="E270" s="209">
        <v>46284</v>
      </c>
      <c r="F270" s="209">
        <v>46284</v>
      </c>
      <c r="G270" s="214" t="s">
        <v>805</v>
      </c>
      <c r="O270" t="s">
        <v>633</v>
      </c>
      <c r="R270" t="str">
        <f t="shared" si="4"/>
        <v>E7 Mobile</v>
      </c>
    </row>
    <row r="271" spans="1:18" ht="100.8" customHeight="1" x14ac:dyDescent="0.55000000000000004">
      <c r="A271" t="s">
        <v>395</v>
      </c>
      <c r="B271" t="s">
        <v>806</v>
      </c>
      <c r="C271" s="281" t="s">
        <v>257</v>
      </c>
      <c r="D271" t="s">
        <v>761</v>
      </c>
      <c r="E271" s="209">
        <v>46284</v>
      </c>
      <c r="F271" s="209">
        <v>46284</v>
      </c>
      <c r="G271" s="214" t="s">
        <v>807</v>
      </c>
      <c r="O271" t="s">
        <v>633</v>
      </c>
      <c r="R271" t="str">
        <f t="shared" si="4"/>
        <v>E10 Deploy</v>
      </c>
    </row>
    <row r="272" spans="1:18" ht="72" customHeight="1" x14ac:dyDescent="0.55000000000000004">
      <c r="A272" t="s">
        <v>318</v>
      </c>
      <c r="B272" t="s">
        <v>808</v>
      </c>
      <c r="C272" s="281" t="s">
        <v>257</v>
      </c>
      <c r="D272" t="s">
        <v>320</v>
      </c>
      <c r="E272" s="209">
        <v>46284</v>
      </c>
      <c r="F272" s="209">
        <v>46284</v>
      </c>
      <c r="G272" s="214" t="s">
        <v>809</v>
      </c>
      <c r="O272" t="s">
        <v>633</v>
      </c>
      <c r="R272" t="str">
        <f t="shared" si="4"/>
        <v>E7 Mobile</v>
      </c>
    </row>
    <row r="273" spans="1:18" ht="57.6" customHeight="1" x14ac:dyDescent="0.55000000000000004">
      <c r="B273" t="s">
        <v>810</v>
      </c>
      <c r="C273" s="281" t="s">
        <v>257</v>
      </c>
      <c r="D273" t="s">
        <v>320</v>
      </c>
      <c r="E273" s="209">
        <v>46284</v>
      </c>
      <c r="F273" s="209">
        <v>46284</v>
      </c>
      <c r="G273" s="214" t="s">
        <v>811</v>
      </c>
      <c r="O273" t="s">
        <v>633</v>
      </c>
      <c r="R273" t="str">
        <f t="shared" si="4"/>
        <v>E7 Mobile</v>
      </c>
    </row>
    <row r="274" spans="1:18" ht="100.8" customHeight="1" x14ac:dyDescent="0.55000000000000004">
      <c r="A274" t="s">
        <v>266</v>
      </c>
      <c r="B274" t="s">
        <v>812</v>
      </c>
      <c r="C274" s="281" t="s">
        <v>257</v>
      </c>
      <c r="D274" t="s">
        <v>310</v>
      </c>
      <c r="E274" s="209">
        <v>46284</v>
      </c>
      <c r="F274" s="209">
        <v>46284</v>
      </c>
      <c r="G274" s="214" t="s">
        <v>813</v>
      </c>
      <c r="O274" t="s">
        <v>633</v>
      </c>
      <c r="R274" t="str">
        <f t="shared" si="4"/>
        <v>E2 Ingestion</v>
      </c>
    </row>
    <row r="275" spans="1:18" ht="86.4" customHeight="1" x14ac:dyDescent="0.55000000000000004">
      <c r="A275" t="s">
        <v>424</v>
      </c>
      <c r="B275" t="s">
        <v>814</v>
      </c>
      <c r="C275" s="281" t="s">
        <v>257</v>
      </c>
      <c r="D275" t="s">
        <v>310</v>
      </c>
      <c r="E275" s="209">
        <v>46284</v>
      </c>
      <c r="F275" s="209">
        <v>46284</v>
      </c>
      <c r="G275" s="214" t="s">
        <v>815</v>
      </c>
      <c r="O275" t="s">
        <v>633</v>
      </c>
      <c r="R275" t="str">
        <f t="shared" si="4"/>
        <v>E11 Ops Resilience</v>
      </c>
    </row>
    <row r="276" spans="1:18" ht="100.8" customHeight="1" x14ac:dyDescent="0.55000000000000004">
      <c r="A276" t="s">
        <v>318</v>
      </c>
      <c r="B276" t="s">
        <v>816</v>
      </c>
      <c r="C276" s="281" t="s">
        <v>16</v>
      </c>
      <c r="D276" t="s">
        <v>320</v>
      </c>
      <c r="E276" s="209">
        <v>46284</v>
      </c>
      <c r="F276" s="209">
        <v>46284</v>
      </c>
      <c r="G276" s="214" t="s">
        <v>817</v>
      </c>
      <c r="O276" t="s">
        <v>633</v>
      </c>
      <c r="R276" t="str">
        <f t="shared" si="4"/>
        <v>E7 Mobile</v>
      </c>
    </row>
    <row r="277" spans="1:18" ht="100.8" customHeight="1" x14ac:dyDescent="0.55000000000000004">
      <c r="A277" t="s">
        <v>266</v>
      </c>
      <c r="B277" t="s">
        <v>818</v>
      </c>
      <c r="C277" s="282" t="s">
        <v>257</v>
      </c>
      <c r="D277" t="s">
        <v>310</v>
      </c>
      <c r="E277" s="209">
        <v>46299</v>
      </c>
      <c r="F277" s="209">
        <v>46299</v>
      </c>
      <c r="G277" s="214" t="s">
        <v>819</v>
      </c>
      <c r="Q277" t="s">
        <v>633</v>
      </c>
      <c r="R277" t="str">
        <f t="shared" si="4"/>
        <v>E2 Ingestion</v>
      </c>
    </row>
    <row r="278" spans="1:18" ht="100.8" customHeight="1" x14ac:dyDescent="0.55000000000000004">
      <c r="B278" t="s">
        <v>820</v>
      </c>
      <c r="C278" s="282" t="s">
        <v>257</v>
      </c>
      <c r="D278" t="s">
        <v>310</v>
      </c>
      <c r="E278" s="209">
        <v>46299</v>
      </c>
      <c r="F278" s="209">
        <v>46299</v>
      </c>
      <c r="G278" s="214" t="s">
        <v>821</v>
      </c>
      <c r="Q278" t="s">
        <v>633</v>
      </c>
      <c r="R278" t="str">
        <f t="shared" si="4"/>
        <v>E2 Ingestion</v>
      </c>
    </row>
    <row r="279" spans="1:18" ht="100.8" customHeight="1" x14ac:dyDescent="0.55000000000000004">
      <c r="B279" t="s">
        <v>822</v>
      </c>
      <c r="C279" s="283" t="s">
        <v>372</v>
      </c>
      <c r="D279" t="s">
        <v>310</v>
      </c>
      <c r="E279" s="209">
        <v>46315</v>
      </c>
      <c r="F279" s="209">
        <v>46315</v>
      </c>
      <c r="G279" s="214" t="s">
        <v>823</v>
      </c>
      <c r="R279" t="str">
        <f t="shared" si="4"/>
        <v>E2 Ingestion</v>
      </c>
    </row>
    <row r="280" spans="1:18" ht="100.8" customHeight="1" x14ac:dyDescent="0.55000000000000004">
      <c r="A280" t="s">
        <v>395</v>
      </c>
      <c r="B280" t="s">
        <v>824</v>
      </c>
      <c r="C280" s="282" t="s">
        <v>257</v>
      </c>
      <c r="D280" t="s">
        <v>761</v>
      </c>
      <c r="E280" s="209">
        <v>46299</v>
      </c>
      <c r="F280" s="209">
        <v>46299</v>
      </c>
      <c r="G280" s="214" t="s">
        <v>825</v>
      </c>
      <c r="Q280" t="s">
        <v>633</v>
      </c>
      <c r="R280" t="str">
        <f t="shared" si="4"/>
        <v>E10 Deploy</v>
      </c>
    </row>
    <row r="281" spans="1:18" ht="100.8" customHeight="1" x14ac:dyDescent="0.55000000000000004">
      <c r="A281" t="s">
        <v>364</v>
      </c>
      <c r="B281" t="s">
        <v>826</v>
      </c>
      <c r="C281" s="282" t="s">
        <v>257</v>
      </c>
      <c r="D281" t="s">
        <v>280</v>
      </c>
      <c r="E281" s="209">
        <v>46299</v>
      </c>
      <c r="F281" s="209">
        <v>46299</v>
      </c>
      <c r="G281" s="214" t="s">
        <v>827</v>
      </c>
      <c r="Q281" t="s">
        <v>633</v>
      </c>
      <c r="R281" t="str">
        <f t="shared" si="4"/>
        <v>E9 Data Ops</v>
      </c>
    </row>
    <row r="282" spans="1:18" ht="100.8" customHeight="1" x14ac:dyDescent="0.55000000000000004">
      <c r="A282" t="s">
        <v>334</v>
      </c>
      <c r="B282" t="s">
        <v>828</v>
      </c>
      <c r="C282" s="282" t="s">
        <v>257</v>
      </c>
      <c r="D282" t="s">
        <v>280</v>
      </c>
      <c r="E282" s="209">
        <v>46299</v>
      </c>
      <c r="F282" s="209">
        <v>46299</v>
      </c>
      <c r="G282" s="214" t="s">
        <v>829</v>
      </c>
      <c r="Q282" t="s">
        <v>633</v>
      </c>
      <c r="R282" t="str">
        <f t="shared" si="4"/>
        <v>E8 Model Quality</v>
      </c>
    </row>
    <row r="283" spans="1:18" ht="100.8" customHeight="1" x14ac:dyDescent="0.55000000000000004">
      <c r="A283" t="s">
        <v>395</v>
      </c>
      <c r="B283" t="s">
        <v>830</v>
      </c>
      <c r="C283" s="282" t="s">
        <v>257</v>
      </c>
      <c r="D283" t="s">
        <v>761</v>
      </c>
      <c r="E283" s="209">
        <v>46299</v>
      </c>
      <c r="F283" s="209">
        <v>46299</v>
      </c>
      <c r="G283" s="214" t="s">
        <v>831</v>
      </c>
      <c r="Q283" t="s">
        <v>633</v>
      </c>
      <c r="R283" t="str">
        <f t="shared" si="4"/>
        <v>E10 Deploy</v>
      </c>
    </row>
    <row r="284" spans="1:18" ht="100.8" customHeight="1" x14ac:dyDescent="0.55000000000000004">
      <c r="A284" t="s">
        <v>266</v>
      </c>
      <c r="B284" t="s">
        <v>832</v>
      </c>
      <c r="C284" s="284" t="s">
        <v>378</v>
      </c>
      <c r="D284" t="s">
        <v>310</v>
      </c>
      <c r="E284" s="209">
        <v>46299</v>
      </c>
      <c r="F284" s="209">
        <v>46299</v>
      </c>
      <c r="G284" s="214" t="s">
        <v>833</v>
      </c>
      <c r="Q284" t="s">
        <v>633</v>
      </c>
      <c r="R284" t="str">
        <f t="shared" si="4"/>
        <v>E2 Ingestion</v>
      </c>
    </row>
    <row r="285" spans="1:18" ht="100.8" customHeight="1" x14ac:dyDescent="0.55000000000000004">
      <c r="A285" t="s">
        <v>334</v>
      </c>
      <c r="B285" t="s">
        <v>834</v>
      </c>
      <c r="C285" s="282" t="s">
        <v>257</v>
      </c>
      <c r="D285" t="s">
        <v>280</v>
      </c>
      <c r="E285" s="209">
        <v>46299</v>
      </c>
      <c r="F285" s="209">
        <v>46299</v>
      </c>
      <c r="G285" s="214" t="s">
        <v>835</v>
      </c>
      <c r="Q285" t="s">
        <v>633</v>
      </c>
      <c r="R285" t="str">
        <f t="shared" si="4"/>
        <v>E8 Model Quality</v>
      </c>
    </row>
    <row r="286" spans="1:18" ht="100.8" customHeight="1" x14ac:dyDescent="0.55000000000000004">
      <c r="A286" t="s">
        <v>308</v>
      </c>
      <c r="B286" t="s">
        <v>836</v>
      </c>
      <c r="C286" s="282" t="s">
        <v>257</v>
      </c>
      <c r="D286" t="s">
        <v>310</v>
      </c>
      <c r="E286" s="209">
        <v>46299</v>
      </c>
      <c r="F286" s="209">
        <v>46299</v>
      </c>
      <c r="G286" s="214" t="s">
        <v>837</v>
      </c>
      <c r="Q286" t="s">
        <v>633</v>
      </c>
      <c r="R286" t="str">
        <f t="shared" si="4"/>
        <v>E6 Picks</v>
      </c>
    </row>
    <row r="288" spans="1:18" x14ac:dyDescent="0.55000000000000004">
      <c r="A288" s="23" t="s">
        <v>838</v>
      </c>
      <c r="B288" s="5" t="s">
        <v>257</v>
      </c>
      <c r="C288" s="15" t="s">
        <v>839</v>
      </c>
      <c r="D288" s="17" t="s">
        <v>16</v>
      </c>
      <c r="E288" s="21" t="s">
        <v>378</v>
      </c>
      <c r="F288" s="19" t="s">
        <v>372</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3"/>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305" t="s">
        <v>840</v>
      </c>
      <c r="B1" s="294"/>
      <c r="C1" s="294"/>
      <c r="D1" s="294"/>
      <c r="E1" s="294"/>
      <c r="F1" s="294"/>
      <c r="G1" s="294"/>
      <c r="H1" s="294"/>
      <c r="I1" s="294"/>
      <c r="J1" s="294"/>
      <c r="K1" s="294"/>
      <c r="L1" s="294"/>
      <c r="M1" s="294"/>
      <c r="N1" s="294"/>
      <c r="O1" s="294"/>
      <c r="P1" s="294"/>
      <c r="Q1" s="294"/>
      <c r="R1" s="294"/>
      <c r="S1" s="294"/>
    </row>
    <row r="2" spans="1:19" ht="18" customHeight="1" x14ac:dyDescent="0.55000000000000004">
      <c r="A2" s="312" t="s">
        <v>841</v>
      </c>
      <c r="B2" s="294"/>
      <c r="C2" s="294"/>
      <c r="D2" s="294"/>
      <c r="E2" s="294"/>
      <c r="F2" s="294"/>
      <c r="G2" s="294"/>
      <c r="H2" s="294"/>
      <c r="I2" s="294"/>
      <c r="J2" s="294"/>
      <c r="K2" s="294"/>
      <c r="L2" s="294"/>
      <c r="M2" s="294"/>
      <c r="N2" s="294"/>
      <c r="O2" s="294"/>
      <c r="P2" s="294"/>
      <c r="Q2" s="294"/>
      <c r="R2" s="294"/>
      <c r="S2" s="294"/>
    </row>
    <row r="4" spans="1:19" ht="20.05" customHeight="1" x14ac:dyDescent="0.55000000000000004">
      <c r="A4" s="300" t="s">
        <v>842</v>
      </c>
      <c r="B4" s="294"/>
      <c r="C4" s="294"/>
      <c r="D4" s="294"/>
      <c r="E4" s="294"/>
      <c r="F4" s="294"/>
      <c r="G4" s="294"/>
      <c r="H4" s="294"/>
      <c r="I4" s="294"/>
      <c r="J4" s="294"/>
      <c r="K4" s="294"/>
      <c r="L4" s="294"/>
      <c r="M4" s="294"/>
      <c r="N4" s="294"/>
      <c r="O4" s="294"/>
      <c r="P4" s="294"/>
      <c r="Q4" s="294"/>
      <c r="R4" s="294"/>
      <c r="S4" s="294"/>
    </row>
    <row r="5" spans="1:19" ht="52" customHeight="1" x14ac:dyDescent="0.55000000000000004">
      <c r="A5" s="35" t="s">
        <v>843</v>
      </c>
      <c r="B5" s="290" t="s">
        <v>844</v>
      </c>
      <c r="C5" s="291"/>
      <c r="D5" s="292"/>
      <c r="E5" s="295" t="s">
        <v>845</v>
      </c>
      <c r="F5" s="291"/>
      <c r="G5" s="292"/>
      <c r="H5" s="295" t="s">
        <v>846</v>
      </c>
      <c r="I5" s="291"/>
      <c r="J5" s="292"/>
      <c r="K5" s="290" t="s">
        <v>847</v>
      </c>
      <c r="L5" s="291"/>
      <c r="M5" s="292"/>
      <c r="N5" s="297" t="s">
        <v>848</v>
      </c>
      <c r="O5" s="291"/>
      <c r="P5" s="292"/>
      <c r="Q5" s="297" t="s">
        <v>849</v>
      </c>
      <c r="R5" s="291"/>
      <c r="S5" s="292"/>
    </row>
    <row r="6" spans="1:19" ht="15" customHeight="1" x14ac:dyDescent="0.55000000000000004">
      <c r="B6" s="293" t="s">
        <v>850</v>
      </c>
      <c r="C6" s="294"/>
      <c r="D6" s="294"/>
      <c r="E6" s="294"/>
      <c r="F6" s="294"/>
      <c r="G6" s="294"/>
      <c r="H6" s="294"/>
      <c r="I6" s="294"/>
      <c r="J6" s="294"/>
      <c r="K6" s="294"/>
      <c r="L6" s="294"/>
      <c r="M6" s="294"/>
      <c r="N6" s="294"/>
      <c r="O6" s="294"/>
      <c r="P6" s="294"/>
      <c r="Q6" s="294"/>
      <c r="R6" s="294"/>
      <c r="S6" s="294"/>
    </row>
    <row r="7" spans="1:19" ht="20.05" customHeight="1" x14ac:dyDescent="0.55000000000000004">
      <c r="A7" s="300" t="s">
        <v>851</v>
      </c>
      <c r="B7" s="294"/>
      <c r="C7" s="294"/>
      <c r="D7" s="294"/>
      <c r="E7" s="294"/>
      <c r="F7" s="294"/>
      <c r="G7" s="294"/>
      <c r="H7" s="294"/>
      <c r="I7" s="294"/>
      <c r="J7" s="294"/>
      <c r="K7" s="294"/>
      <c r="L7" s="294"/>
      <c r="M7" s="294"/>
      <c r="N7" s="294"/>
      <c r="O7" s="294"/>
      <c r="P7" s="294"/>
      <c r="Q7" s="294"/>
      <c r="R7" s="294"/>
      <c r="S7" s="294"/>
    </row>
    <row r="8" spans="1:19" ht="46" customHeight="1" x14ac:dyDescent="0.55000000000000004">
      <c r="A8" s="35" t="s">
        <v>852</v>
      </c>
      <c r="B8" s="303" t="s">
        <v>853</v>
      </c>
      <c r="C8" s="291"/>
      <c r="D8" s="291"/>
      <c r="E8" s="291"/>
      <c r="F8" s="291"/>
      <c r="G8" s="291"/>
      <c r="H8" s="291"/>
      <c r="I8" s="291"/>
      <c r="J8" s="292"/>
      <c r="K8" s="303" t="s">
        <v>854</v>
      </c>
      <c r="L8" s="291"/>
      <c r="M8" s="291"/>
      <c r="N8" s="291"/>
      <c r="O8" s="291"/>
      <c r="P8" s="291"/>
      <c r="Q8" s="291"/>
      <c r="R8" s="291"/>
      <c r="S8" s="292"/>
    </row>
    <row r="9" spans="1:19" ht="15" customHeight="1" x14ac:dyDescent="0.55000000000000004">
      <c r="B9" s="293" t="s">
        <v>850</v>
      </c>
      <c r="C9" s="294"/>
      <c r="D9" s="294"/>
      <c r="E9" s="294"/>
      <c r="F9" s="294"/>
      <c r="G9" s="294"/>
      <c r="H9" s="294"/>
      <c r="I9" s="294"/>
      <c r="J9" s="294"/>
      <c r="K9" s="294"/>
      <c r="L9" s="294"/>
      <c r="M9" s="294"/>
      <c r="N9" s="294"/>
      <c r="O9" s="294"/>
      <c r="P9" s="294"/>
      <c r="Q9" s="294"/>
      <c r="R9" s="294"/>
      <c r="S9" s="294"/>
    </row>
    <row r="10" spans="1:19" ht="20.05" customHeight="1" x14ac:dyDescent="0.55000000000000004">
      <c r="A10" s="300" t="s">
        <v>855</v>
      </c>
      <c r="B10" s="294"/>
      <c r="C10" s="294"/>
      <c r="D10" s="294"/>
      <c r="E10" s="294"/>
      <c r="F10" s="294"/>
      <c r="G10" s="294"/>
      <c r="H10" s="294"/>
      <c r="I10" s="294"/>
      <c r="J10" s="294"/>
      <c r="K10" s="294"/>
      <c r="L10" s="294"/>
      <c r="M10" s="294"/>
      <c r="N10" s="294"/>
      <c r="O10" s="294"/>
      <c r="P10" s="294"/>
      <c r="Q10" s="294"/>
      <c r="R10" s="294"/>
      <c r="S10" s="294"/>
    </row>
    <row r="11" spans="1:19" ht="54" customHeight="1" x14ac:dyDescent="0.55000000000000004">
      <c r="A11" s="35" t="s">
        <v>856</v>
      </c>
      <c r="B11" s="290" t="s">
        <v>857</v>
      </c>
      <c r="C11" s="291"/>
      <c r="D11" s="292"/>
      <c r="E11" s="290" t="s">
        <v>858</v>
      </c>
      <c r="F11" s="291"/>
      <c r="G11" s="292"/>
      <c r="H11" s="290" t="s">
        <v>859</v>
      </c>
      <c r="I11" s="291"/>
      <c r="J11" s="292"/>
      <c r="K11" s="295" t="s">
        <v>860</v>
      </c>
      <c r="L11" s="291"/>
      <c r="M11" s="292"/>
      <c r="N11" s="290" t="s">
        <v>861</v>
      </c>
      <c r="O11" s="291"/>
      <c r="P11" s="292"/>
      <c r="Q11" s="290" t="s">
        <v>862</v>
      </c>
      <c r="R11" s="291"/>
      <c r="S11" s="292"/>
    </row>
    <row r="12" spans="1:19" ht="15" customHeight="1" x14ac:dyDescent="0.55000000000000004">
      <c r="B12" s="293" t="s">
        <v>850</v>
      </c>
      <c r="C12" s="294"/>
      <c r="D12" s="294"/>
      <c r="E12" s="294"/>
      <c r="F12" s="294"/>
      <c r="G12" s="294"/>
      <c r="H12" s="294"/>
      <c r="I12" s="294"/>
      <c r="J12" s="294"/>
      <c r="K12" s="294"/>
      <c r="L12" s="294"/>
      <c r="M12" s="294"/>
      <c r="N12" s="294"/>
      <c r="O12" s="294"/>
      <c r="P12" s="294"/>
      <c r="Q12" s="294"/>
      <c r="R12" s="294"/>
      <c r="S12" s="294"/>
    </row>
    <row r="13" spans="1:19" ht="20.05" customHeight="1" x14ac:dyDescent="0.55000000000000004">
      <c r="A13" s="300" t="s">
        <v>863</v>
      </c>
      <c r="B13" s="294"/>
      <c r="C13" s="294"/>
      <c r="D13" s="294"/>
      <c r="E13" s="294"/>
      <c r="F13" s="294"/>
      <c r="G13" s="294"/>
      <c r="H13" s="294"/>
      <c r="I13" s="294"/>
      <c r="J13" s="294"/>
      <c r="K13" s="294"/>
      <c r="L13" s="294"/>
      <c r="M13" s="294"/>
      <c r="N13" s="294"/>
      <c r="O13" s="294"/>
      <c r="P13" s="294"/>
      <c r="Q13" s="294"/>
      <c r="R13" s="294"/>
      <c r="S13" s="294"/>
    </row>
    <row r="14" spans="1:19" ht="52" customHeight="1" x14ac:dyDescent="0.55000000000000004">
      <c r="A14" s="35" t="s">
        <v>864</v>
      </c>
      <c r="B14" s="298" t="s">
        <v>865</v>
      </c>
      <c r="C14" s="291"/>
      <c r="D14" s="291"/>
      <c r="E14" s="291"/>
      <c r="F14" s="291"/>
      <c r="G14" s="292"/>
      <c r="H14" s="298" t="s">
        <v>866</v>
      </c>
      <c r="I14" s="291"/>
      <c r="J14" s="291"/>
      <c r="K14" s="291"/>
      <c r="L14" s="291"/>
      <c r="M14" s="292"/>
      <c r="N14" s="298" t="s">
        <v>867</v>
      </c>
      <c r="O14" s="291"/>
      <c r="P14" s="292"/>
      <c r="Q14" s="295" t="s">
        <v>868</v>
      </c>
      <c r="R14" s="291"/>
      <c r="S14" s="292"/>
    </row>
    <row r="15" spans="1:19" ht="15" customHeight="1" x14ac:dyDescent="0.55000000000000004">
      <c r="B15" s="293" t="s">
        <v>869</v>
      </c>
      <c r="C15" s="294"/>
      <c r="D15" s="294"/>
      <c r="E15" s="294"/>
      <c r="F15" s="294"/>
      <c r="G15" s="294"/>
      <c r="H15" s="294"/>
      <c r="I15" s="294"/>
      <c r="J15" s="294"/>
      <c r="K15" s="294"/>
      <c r="L15" s="294"/>
      <c r="M15" s="294"/>
      <c r="N15" s="294"/>
      <c r="O15" s="294"/>
      <c r="P15" s="294"/>
      <c r="Q15" s="294"/>
      <c r="R15" s="294"/>
      <c r="S15" s="294"/>
    </row>
    <row r="16" spans="1:19" ht="20.05" customHeight="1" x14ac:dyDescent="0.55000000000000004">
      <c r="A16" s="300" t="s">
        <v>870</v>
      </c>
      <c r="B16" s="294"/>
      <c r="C16" s="294"/>
      <c r="D16" s="294"/>
      <c r="E16" s="294"/>
      <c r="F16" s="294"/>
      <c r="G16" s="294"/>
      <c r="H16" s="294"/>
      <c r="I16" s="294"/>
      <c r="J16" s="294"/>
      <c r="K16" s="294"/>
      <c r="L16" s="294"/>
      <c r="M16" s="294"/>
      <c r="N16" s="294"/>
      <c r="O16" s="294"/>
      <c r="P16" s="294"/>
      <c r="Q16" s="294"/>
      <c r="R16" s="294"/>
      <c r="S16" s="294"/>
    </row>
    <row r="17" spans="1:19" ht="54" customHeight="1" x14ac:dyDescent="0.55000000000000004">
      <c r="A17" s="35" t="s">
        <v>871</v>
      </c>
      <c r="B17" s="299" t="s">
        <v>872</v>
      </c>
      <c r="C17" s="291"/>
      <c r="D17" s="291"/>
      <c r="E17" s="291"/>
      <c r="F17" s="291"/>
      <c r="G17" s="292"/>
      <c r="H17" s="299" t="s">
        <v>873</v>
      </c>
      <c r="I17" s="291"/>
      <c r="J17" s="292"/>
      <c r="K17" s="299" t="s">
        <v>874</v>
      </c>
      <c r="L17" s="291"/>
      <c r="M17" s="292"/>
      <c r="N17" s="299" t="s">
        <v>875</v>
      </c>
      <c r="O17" s="291"/>
      <c r="P17" s="292"/>
      <c r="Q17" s="299" t="s">
        <v>876</v>
      </c>
      <c r="R17" s="291"/>
      <c r="S17" s="292"/>
    </row>
    <row r="18" spans="1:19" ht="15" customHeight="1" x14ac:dyDescent="0.55000000000000004">
      <c r="B18" s="293" t="s">
        <v>850</v>
      </c>
      <c r="C18" s="294"/>
      <c r="D18" s="294"/>
      <c r="E18" s="294"/>
      <c r="F18" s="294"/>
      <c r="G18" s="294"/>
      <c r="H18" s="294"/>
      <c r="I18" s="294"/>
      <c r="J18" s="294"/>
      <c r="K18" s="294"/>
      <c r="L18" s="294"/>
      <c r="M18" s="294"/>
      <c r="N18" s="294"/>
      <c r="O18" s="294"/>
      <c r="P18" s="294"/>
      <c r="Q18" s="294"/>
      <c r="R18" s="294"/>
      <c r="S18" s="294"/>
    </row>
    <row r="19" spans="1:19" ht="20.05" customHeight="1" x14ac:dyDescent="0.55000000000000004">
      <c r="A19" s="300" t="s">
        <v>877</v>
      </c>
      <c r="B19" s="294"/>
      <c r="C19" s="294"/>
      <c r="D19" s="294"/>
      <c r="E19" s="294"/>
      <c r="F19" s="294"/>
      <c r="G19" s="294"/>
      <c r="H19" s="294"/>
      <c r="I19" s="294"/>
      <c r="J19" s="294"/>
      <c r="K19" s="294"/>
      <c r="L19" s="294"/>
      <c r="M19" s="294"/>
      <c r="N19" s="294"/>
      <c r="O19" s="294"/>
      <c r="P19" s="294"/>
      <c r="Q19" s="294"/>
      <c r="R19" s="294"/>
      <c r="S19" s="294"/>
    </row>
    <row r="20" spans="1:19" ht="46" customHeight="1" x14ac:dyDescent="0.55000000000000004">
      <c r="A20" s="35" t="s">
        <v>878</v>
      </c>
      <c r="B20" s="301" t="s">
        <v>879</v>
      </c>
      <c r="C20" s="291"/>
      <c r="D20" s="291"/>
      <c r="E20" s="291"/>
      <c r="F20" s="291"/>
      <c r="G20" s="292"/>
      <c r="H20" s="301" t="s">
        <v>880</v>
      </c>
      <c r="I20" s="291"/>
      <c r="J20" s="291"/>
      <c r="K20" s="291"/>
      <c r="L20" s="291"/>
      <c r="M20" s="292"/>
      <c r="N20" s="301" t="s">
        <v>881</v>
      </c>
      <c r="O20" s="291"/>
      <c r="P20" s="291"/>
      <c r="Q20" s="291"/>
      <c r="R20" s="291"/>
      <c r="S20" s="292"/>
    </row>
    <row r="21" spans="1:19" ht="15" customHeight="1" x14ac:dyDescent="0.55000000000000004">
      <c r="B21" s="293" t="s">
        <v>850</v>
      </c>
      <c r="C21" s="294"/>
      <c r="D21" s="294"/>
      <c r="E21" s="294"/>
      <c r="F21" s="294"/>
      <c r="G21" s="294"/>
      <c r="H21" s="294"/>
      <c r="I21" s="294"/>
      <c r="J21" s="294"/>
      <c r="K21" s="294"/>
      <c r="L21" s="294"/>
      <c r="M21" s="294"/>
      <c r="N21" s="294"/>
      <c r="O21" s="294"/>
      <c r="P21" s="294"/>
      <c r="Q21" s="294"/>
      <c r="R21" s="294"/>
      <c r="S21" s="294"/>
    </row>
    <row r="22" spans="1:19" ht="20.05" customHeight="1" x14ac:dyDescent="0.55000000000000004">
      <c r="A22" s="300" t="s">
        <v>882</v>
      </c>
      <c r="B22" s="294"/>
      <c r="C22" s="294"/>
      <c r="D22" s="294"/>
      <c r="E22" s="294"/>
      <c r="F22" s="294"/>
      <c r="G22" s="294"/>
      <c r="H22" s="294"/>
      <c r="I22" s="294"/>
      <c r="J22" s="294"/>
      <c r="K22" s="294"/>
      <c r="L22" s="294"/>
      <c r="M22" s="294"/>
      <c r="N22" s="294"/>
      <c r="O22" s="294"/>
      <c r="P22" s="294"/>
      <c r="Q22" s="294"/>
      <c r="R22" s="294"/>
      <c r="S22" s="294"/>
    </row>
    <row r="23" spans="1:19" ht="52" customHeight="1" x14ac:dyDescent="0.55000000000000004">
      <c r="A23" s="35" t="s">
        <v>883</v>
      </c>
      <c r="B23" s="301" t="s">
        <v>884</v>
      </c>
      <c r="C23" s="291"/>
      <c r="D23" s="291"/>
      <c r="E23" s="291"/>
      <c r="F23" s="291"/>
      <c r="G23" s="292"/>
      <c r="H23" s="301" t="s">
        <v>885</v>
      </c>
      <c r="I23" s="291"/>
      <c r="J23" s="292"/>
      <c r="K23" s="301" t="s">
        <v>886</v>
      </c>
      <c r="L23" s="291"/>
      <c r="M23" s="292"/>
      <c r="N23" s="301" t="s">
        <v>887</v>
      </c>
      <c r="O23" s="291"/>
      <c r="P23" s="292"/>
      <c r="Q23" s="297" t="s">
        <v>888</v>
      </c>
      <c r="R23" s="291"/>
      <c r="S23" s="292"/>
    </row>
    <row r="26" spans="1:19" ht="20.05" customHeight="1" x14ac:dyDescent="0.55000000000000004">
      <c r="A26" s="306" t="s">
        <v>889</v>
      </c>
      <c r="B26" s="294"/>
      <c r="C26" s="294"/>
      <c r="D26" s="294"/>
      <c r="E26" s="294"/>
      <c r="F26" s="294"/>
      <c r="G26" s="294"/>
      <c r="H26" s="294"/>
      <c r="I26" s="294"/>
      <c r="J26" s="294"/>
      <c r="K26" s="294"/>
      <c r="L26" s="294"/>
      <c r="M26" s="294"/>
      <c r="N26" s="294"/>
      <c r="O26" s="294"/>
      <c r="P26" s="294"/>
      <c r="Q26" s="294"/>
      <c r="R26" s="294"/>
      <c r="S26" s="294"/>
    </row>
    <row r="27" spans="1:19" ht="52" customHeight="1" x14ac:dyDescent="0.55000000000000004">
      <c r="A27" s="35" t="s">
        <v>890</v>
      </c>
      <c r="B27" s="290" t="s">
        <v>891</v>
      </c>
      <c r="C27" s="291"/>
      <c r="D27" s="292"/>
      <c r="E27" s="290" t="s">
        <v>892</v>
      </c>
      <c r="F27" s="291"/>
      <c r="G27" s="292"/>
      <c r="H27" s="298" t="s">
        <v>893</v>
      </c>
      <c r="I27" s="291"/>
      <c r="J27" s="292"/>
      <c r="K27" s="299" t="s">
        <v>894</v>
      </c>
      <c r="L27" s="291"/>
      <c r="M27" s="292"/>
      <c r="N27" s="299" t="s">
        <v>895</v>
      </c>
      <c r="O27" s="291"/>
      <c r="P27" s="292"/>
      <c r="Q27" s="298" t="s">
        <v>896</v>
      </c>
      <c r="R27" s="291"/>
      <c r="S27" s="292"/>
    </row>
    <row r="30" spans="1:19" ht="20.05" customHeight="1" x14ac:dyDescent="0.55000000000000004">
      <c r="A30" s="300" t="s">
        <v>897</v>
      </c>
      <c r="B30" s="294"/>
      <c r="C30" s="294"/>
      <c r="D30" s="294"/>
      <c r="E30" s="294"/>
      <c r="F30" s="294"/>
      <c r="G30" s="294"/>
      <c r="H30" s="294"/>
      <c r="I30" s="294"/>
      <c r="J30" s="294"/>
      <c r="K30" s="294"/>
      <c r="L30" s="294"/>
      <c r="M30" s="294"/>
      <c r="N30" s="294"/>
      <c r="O30" s="294"/>
      <c r="P30" s="294"/>
      <c r="Q30" s="294"/>
      <c r="R30" s="294"/>
      <c r="S30" s="294"/>
    </row>
    <row r="31" spans="1:19" ht="16" customHeight="1" x14ac:dyDescent="0.55000000000000004">
      <c r="A31" s="296" t="s">
        <v>898</v>
      </c>
      <c r="B31" s="294"/>
      <c r="C31" s="294"/>
      <c r="D31" s="294"/>
      <c r="E31" s="294"/>
      <c r="F31" s="294"/>
      <c r="G31" s="294"/>
      <c r="H31" s="294"/>
      <c r="I31" s="294"/>
      <c r="J31" s="294"/>
      <c r="K31" s="294"/>
      <c r="L31" s="294"/>
      <c r="M31" s="294"/>
      <c r="N31" s="294"/>
      <c r="O31" s="294"/>
      <c r="P31" s="294"/>
      <c r="Q31" s="294"/>
      <c r="R31" s="294"/>
      <c r="S31" s="294"/>
    </row>
    <row r="32" spans="1:19" ht="16" customHeight="1" x14ac:dyDescent="0.55000000000000004">
      <c r="A32" s="296" t="s">
        <v>899</v>
      </c>
      <c r="B32" s="294"/>
      <c r="C32" s="294"/>
      <c r="D32" s="294"/>
      <c r="E32" s="294"/>
      <c r="F32" s="294"/>
      <c r="G32" s="294"/>
      <c r="H32" s="294"/>
      <c r="I32" s="294"/>
      <c r="J32" s="294"/>
      <c r="K32" s="294"/>
      <c r="L32" s="294"/>
      <c r="M32" s="294"/>
      <c r="N32" s="294"/>
      <c r="O32" s="294"/>
      <c r="P32" s="294"/>
      <c r="Q32" s="294"/>
      <c r="R32" s="294"/>
      <c r="S32" s="294"/>
    </row>
    <row r="33" spans="1:19" ht="16" customHeight="1" x14ac:dyDescent="0.55000000000000004">
      <c r="A33" s="296" t="s">
        <v>900</v>
      </c>
      <c r="B33" s="294"/>
      <c r="C33" s="294"/>
      <c r="D33" s="294"/>
      <c r="E33" s="294"/>
      <c r="F33" s="294"/>
      <c r="G33" s="294"/>
      <c r="H33" s="294"/>
      <c r="I33" s="294"/>
      <c r="J33" s="294"/>
      <c r="K33" s="294"/>
      <c r="L33" s="294"/>
      <c r="M33" s="294"/>
      <c r="N33" s="294"/>
      <c r="O33" s="294"/>
      <c r="P33" s="294"/>
      <c r="Q33" s="294"/>
      <c r="R33" s="294"/>
      <c r="S33" s="294"/>
    </row>
    <row r="34" spans="1:19" ht="16" customHeight="1" x14ac:dyDescent="0.55000000000000004">
      <c r="A34" s="296" t="s">
        <v>901</v>
      </c>
      <c r="B34" s="294"/>
      <c r="C34" s="294"/>
      <c r="D34" s="294"/>
      <c r="E34" s="294"/>
      <c r="F34" s="294"/>
      <c r="G34" s="294"/>
      <c r="H34" s="294"/>
      <c r="I34" s="294"/>
      <c r="J34" s="294"/>
      <c r="K34" s="294"/>
      <c r="L34" s="294"/>
      <c r="M34" s="294"/>
      <c r="N34" s="294"/>
      <c r="O34" s="294"/>
      <c r="P34" s="294"/>
      <c r="Q34" s="294"/>
      <c r="R34" s="294"/>
      <c r="S34" s="294"/>
    </row>
    <row r="35" spans="1:19" ht="16" customHeight="1" x14ac:dyDescent="0.55000000000000004">
      <c r="A35" s="296" t="s">
        <v>902</v>
      </c>
      <c r="B35" s="294"/>
      <c r="C35" s="294"/>
      <c r="D35" s="294"/>
      <c r="E35" s="294"/>
      <c r="F35" s="294"/>
      <c r="G35" s="294"/>
      <c r="H35" s="294"/>
      <c r="I35" s="294"/>
      <c r="J35" s="294"/>
      <c r="K35" s="294"/>
      <c r="L35" s="294"/>
      <c r="M35" s="294"/>
      <c r="N35" s="294"/>
      <c r="O35" s="294"/>
      <c r="P35" s="294"/>
      <c r="Q35" s="294"/>
      <c r="R35" s="294"/>
      <c r="S35" s="294"/>
    </row>
    <row r="36" spans="1:19" ht="16" customHeight="1" x14ac:dyDescent="0.55000000000000004">
      <c r="A36" s="296" t="s">
        <v>903</v>
      </c>
      <c r="B36" s="294"/>
      <c r="C36" s="294"/>
      <c r="D36" s="294"/>
      <c r="E36" s="294"/>
      <c r="F36" s="294"/>
      <c r="G36" s="294"/>
      <c r="H36" s="294"/>
      <c r="I36" s="294"/>
      <c r="J36" s="294"/>
      <c r="K36" s="294"/>
      <c r="L36" s="294"/>
      <c r="M36" s="294"/>
      <c r="N36" s="294"/>
      <c r="O36" s="294"/>
      <c r="P36" s="294"/>
      <c r="Q36" s="294"/>
      <c r="R36" s="294"/>
      <c r="S36" s="294"/>
    </row>
    <row r="37" spans="1:19" ht="16" customHeight="1" x14ac:dyDescent="0.55000000000000004">
      <c r="A37" s="307" t="s">
        <v>904</v>
      </c>
      <c r="B37" s="294"/>
      <c r="C37" s="294"/>
      <c r="D37" s="294"/>
      <c r="E37" s="294"/>
      <c r="F37" s="294"/>
      <c r="G37" s="294"/>
      <c r="H37" s="294"/>
      <c r="I37" s="294"/>
      <c r="J37" s="294"/>
      <c r="K37" s="294"/>
      <c r="L37" s="294"/>
      <c r="M37" s="294"/>
      <c r="N37" s="294"/>
      <c r="O37" s="294"/>
      <c r="P37" s="294"/>
      <c r="Q37" s="294"/>
      <c r="R37" s="294"/>
      <c r="S37" s="294"/>
    </row>
    <row r="39" spans="1:19" ht="18" customHeight="1" x14ac:dyDescent="0.55000000000000004">
      <c r="A39" s="36" t="s">
        <v>838</v>
      </c>
      <c r="B39" s="310" t="s">
        <v>905</v>
      </c>
      <c r="C39" s="294"/>
      <c r="D39" s="294"/>
      <c r="E39" s="308" t="s">
        <v>906</v>
      </c>
      <c r="F39" s="294"/>
      <c r="G39" s="294"/>
      <c r="H39" s="311" t="s">
        <v>907</v>
      </c>
      <c r="I39" s="294"/>
      <c r="J39" s="294"/>
      <c r="K39" s="304" t="s">
        <v>908</v>
      </c>
      <c r="L39" s="294"/>
      <c r="M39" s="294"/>
      <c r="N39" s="302" t="s">
        <v>280</v>
      </c>
      <c r="O39" s="294"/>
      <c r="P39" s="294"/>
      <c r="Q39" s="309" t="s">
        <v>909</v>
      </c>
      <c r="R39" s="294"/>
      <c r="S39" s="294"/>
    </row>
    <row r="41" spans="1:19" x14ac:dyDescent="0.55000000000000004">
      <c r="A41" s="274" t="s">
        <v>910</v>
      </c>
    </row>
    <row r="42" spans="1:19" ht="77.7" customHeight="1" x14ac:dyDescent="0.55000000000000004">
      <c r="A42" s="35" t="s">
        <v>911</v>
      </c>
      <c r="B42" s="275" t="s">
        <v>912</v>
      </c>
      <c r="H42" s="275" t="s">
        <v>913</v>
      </c>
      <c r="K42" s="275" t="s">
        <v>914</v>
      </c>
      <c r="N42" s="275" t="s">
        <v>915</v>
      </c>
      <c r="Q42" s="275" t="s">
        <v>916</v>
      </c>
    </row>
    <row r="43" spans="1:19" x14ac:dyDescent="0.55000000000000004">
      <c r="A43" s="276" t="s">
        <v>917</v>
      </c>
    </row>
  </sheetData>
  <mergeCells count="67">
    <mergeCell ref="A1:S1"/>
    <mergeCell ref="H23:J23"/>
    <mergeCell ref="N27:P27"/>
    <mergeCell ref="A26:S26"/>
    <mergeCell ref="A16:S16"/>
    <mergeCell ref="H20:M20"/>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85" t="s">
        <v>918</v>
      </c>
      <c r="B1" s="286"/>
      <c r="C1" s="286"/>
      <c r="D1" s="286"/>
      <c r="E1" s="286"/>
      <c r="F1" s="287"/>
    </row>
    <row r="3" spans="1:6" x14ac:dyDescent="0.55000000000000004">
      <c r="A3" s="1" t="s">
        <v>238</v>
      </c>
      <c r="B3" s="1" t="s">
        <v>919</v>
      </c>
      <c r="C3" s="1" t="s">
        <v>257</v>
      </c>
      <c r="D3" s="1" t="s">
        <v>920</v>
      </c>
      <c r="E3" s="1" t="s">
        <v>378</v>
      </c>
      <c r="F3" s="1" t="s">
        <v>921</v>
      </c>
    </row>
    <row r="4" spans="1:6" x14ac:dyDescent="0.55000000000000004">
      <c r="A4" s="23" t="s">
        <v>255</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266</v>
      </c>
      <c r="B5" s="24">
        <f t="shared" si="0"/>
        <v>14</v>
      </c>
      <c r="C5" s="24">
        <f>COUNTIFS('Delivery Board'!$R$5:$R$500,$A5,'Delivery Board'!$C$5:$C$500,"Done")</f>
        <v>12</v>
      </c>
      <c r="D5" s="24">
        <f>COUNTIFS('Delivery Board'!$R$5:$R$500,$A5,'Delivery Board'!$C$5:$C$500,"Planned")+COUNTIFS('Delivery Board'!$R$5:$R$500,$A5,'Delivery Board'!$C$5:$C$500,"In progress")+COUNTIFS('Delivery Board'!$R$5:$R$500,$A5,'Delivery Board'!$C$5:$C$500,"Milestone")</f>
        <v>1</v>
      </c>
      <c r="E5" s="24">
        <f>COUNTIFS('Delivery Board'!$R$5:$R$500,$A5,'Delivery Board'!$C$5:$C$500,"Blocked")</f>
        <v>1</v>
      </c>
      <c r="F5" s="25">
        <f t="shared" si="1"/>
        <v>0.8571428571428571</v>
      </c>
    </row>
    <row r="6" spans="1:6" x14ac:dyDescent="0.55000000000000004">
      <c r="A6" s="23" t="s">
        <v>278</v>
      </c>
      <c r="B6" s="24">
        <f t="shared" si="0"/>
        <v>5</v>
      </c>
      <c r="C6" s="24">
        <f>COUNTIFS('Delivery Board'!$R$5:$R$500,$A6,'Delivery Board'!$C$5:$C$500,"Done")</f>
        <v>5</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286</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297</v>
      </c>
      <c r="B8" s="24">
        <f t="shared" si="0"/>
        <v>24</v>
      </c>
      <c r="C8" s="24">
        <f>COUNTIFS('Delivery Board'!$R$5:$R$500,$A8,'Delivery Board'!$C$5:$C$500,"Done")</f>
        <v>24</v>
      </c>
      <c r="D8" s="24">
        <f>COUNTIFS('Delivery Board'!$R$5:$R$500,$A8,'Delivery Board'!$C$5:$C$500,"Planned")+COUNTIFS('Delivery Board'!$R$5:$R$500,$A8,'Delivery Board'!$C$5:$C$500,"In progress")+COUNTIFS('Delivery Board'!$R$5:$R$500,$A8,'Delivery Board'!$C$5:$C$500,"Milestone")</f>
        <v>0</v>
      </c>
      <c r="E8" s="24">
        <f>COUNTIFS('Delivery Board'!$R$5:$R$500,$A8,'Delivery Board'!$C$5:$C$500,"Blocked")</f>
        <v>0</v>
      </c>
      <c r="F8" s="25">
        <f t="shared" si="1"/>
        <v>1</v>
      </c>
    </row>
    <row r="9" spans="1:6" x14ac:dyDescent="0.55000000000000004">
      <c r="A9" s="23" t="s">
        <v>308</v>
      </c>
      <c r="B9" s="24">
        <f t="shared" si="0"/>
        <v>17</v>
      </c>
      <c r="C9" s="24">
        <f>COUNTIFS('Delivery Board'!$R$5:$R$500,$A9,'Delivery Board'!$C$5:$C$500,"Done")</f>
        <v>16</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0.94117647058823528</v>
      </c>
    </row>
    <row r="10" spans="1:6" x14ac:dyDescent="0.55000000000000004">
      <c r="A10" s="23" t="s">
        <v>318</v>
      </c>
      <c r="B10" s="24">
        <f t="shared" si="0"/>
        <v>32</v>
      </c>
      <c r="C10" s="24">
        <f>COUNTIFS('Delivery Board'!$R$5:$R$500,$A10,'Delivery Board'!$C$5:$C$500,"Done")</f>
        <v>28</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0.875</v>
      </c>
    </row>
    <row r="11" spans="1:6" x14ac:dyDescent="0.55000000000000004">
      <c r="A11" s="23" t="s">
        <v>334</v>
      </c>
      <c r="B11" s="24">
        <f t="shared" si="0"/>
        <v>65</v>
      </c>
      <c r="C11" s="24">
        <f>COUNTIFS('Delivery Board'!$R$5:$R$500,$A11,'Delivery Board'!$C$5:$C$500,"Done")</f>
        <v>61</v>
      </c>
      <c r="D11" s="24">
        <f>COUNTIFS('Delivery Board'!$R$5:$R$500,$A11,'Delivery Board'!$C$5:$C$500,"Planned")+COUNTIFS('Delivery Board'!$R$5:$R$500,$A11,'Delivery Board'!$C$5:$C$500,"In progress")+COUNTIFS('Delivery Board'!$R$5:$R$500,$A11,'Delivery Board'!$C$5:$C$500,"Milestone")</f>
        <v>4</v>
      </c>
      <c r="E11" s="24">
        <f>COUNTIFS('Delivery Board'!$R$5:$R$500,$A11,'Delivery Board'!$C$5:$C$500,"Blocked")</f>
        <v>0</v>
      </c>
      <c r="F11" s="25">
        <f t="shared" si="1"/>
        <v>0.93846153846153846</v>
      </c>
    </row>
    <row r="12" spans="1:6" x14ac:dyDescent="0.55000000000000004">
      <c r="A12" s="23" t="s">
        <v>364</v>
      </c>
      <c r="B12" s="24">
        <f t="shared" si="0"/>
        <v>47</v>
      </c>
      <c r="C12" s="24">
        <f>COUNTIFS('Delivery Board'!$R$5:$R$500,$A12,'Delivery Board'!$C$5:$C$500,"Done")</f>
        <v>37</v>
      </c>
      <c r="D12" s="24">
        <f>COUNTIFS('Delivery Board'!$R$5:$R$500,$A12,'Delivery Board'!$C$5:$C$500,"Planned")+COUNTIFS('Delivery Board'!$R$5:$R$500,$A12,'Delivery Board'!$C$5:$C$500,"In progress")+COUNTIFS('Delivery Board'!$R$5:$R$500,$A12,'Delivery Board'!$C$5:$C$500,"Milestone")</f>
        <v>9</v>
      </c>
      <c r="E12" s="24">
        <f>COUNTIFS('Delivery Board'!$R$5:$R$500,$A12,'Delivery Board'!$C$5:$C$500,"Blocked")</f>
        <v>1</v>
      </c>
      <c r="F12" s="25">
        <f t="shared" si="1"/>
        <v>0.78723404255319152</v>
      </c>
    </row>
    <row r="13" spans="1:6" x14ac:dyDescent="0.55000000000000004">
      <c r="A13" s="23" t="s">
        <v>395</v>
      </c>
      <c r="B13" s="24">
        <f t="shared" si="0"/>
        <v>36</v>
      </c>
      <c r="C13" s="24">
        <f>COUNTIFS('Delivery Board'!$R$5:$R$500,$A13,'Delivery Board'!$C$5:$C$500,"Done")</f>
        <v>33</v>
      </c>
      <c r="D13" s="24">
        <f>COUNTIFS('Delivery Board'!$R$5:$R$500,$A13,'Delivery Board'!$C$5:$C$500,"Planned")+COUNTIFS('Delivery Board'!$R$5:$R$500,$A13,'Delivery Board'!$C$5:$C$500,"In progress")+COUNTIFS('Delivery Board'!$R$5:$R$500,$A13,'Delivery Board'!$C$5:$C$500,"Milestone")</f>
        <v>3</v>
      </c>
      <c r="E13" s="24">
        <f>COUNTIFS('Delivery Board'!$R$5:$R$500,$A13,'Delivery Board'!$C$5:$C$500,"Blocked")</f>
        <v>0</v>
      </c>
      <c r="F13" s="25">
        <f t="shared" si="1"/>
        <v>0.91666666666666663</v>
      </c>
    </row>
    <row r="14" spans="1:6" x14ac:dyDescent="0.55000000000000004">
      <c r="A14" s="23" t="s">
        <v>424</v>
      </c>
      <c r="B14" s="24">
        <f t="shared" si="0"/>
        <v>28</v>
      </c>
      <c r="C14" s="24">
        <f>COUNTIFS('Delivery Board'!$R$5:$R$500,$A14,'Delivery Board'!$C$5:$C$500,"Done")</f>
        <v>25</v>
      </c>
      <c r="D14" s="24">
        <f>COUNTIFS('Delivery Board'!$R$5:$R$500,$A14,'Delivery Board'!$C$5:$C$500,"Planned")+COUNTIFS('Delivery Board'!$R$5:$R$500,$A14,'Delivery Board'!$C$5:$C$500,"In progress")+COUNTIFS('Delivery Board'!$R$5:$R$500,$A14,'Delivery Board'!$C$5:$C$500,"Milestone")</f>
        <v>3</v>
      </c>
      <c r="E14" s="24">
        <f>COUNTIFS('Delivery Board'!$R$5:$R$500,$A14,'Delivery Board'!$C$5:$C$500,"Blocked")</f>
        <v>0</v>
      </c>
      <c r="F14" s="25">
        <f t="shared" si="1"/>
        <v>0.8928571428571429</v>
      </c>
    </row>
    <row r="16" spans="1:6" x14ac:dyDescent="0.55000000000000004">
      <c r="A16" s="26" t="s">
        <v>922</v>
      </c>
      <c r="B16" s="27">
        <f>SUM(B4:B14)</f>
        <v>282</v>
      </c>
      <c r="C16" s="27">
        <f>SUM(C4:C14)</f>
        <v>254</v>
      </c>
      <c r="D16">
        <f>SUM(D4:D14)</f>
        <v>26</v>
      </c>
      <c r="E16">
        <f>SUM(E4:E14)</f>
        <v>2</v>
      </c>
      <c r="F16" s="28">
        <f>IF(B16=0,0,C16/B16)</f>
        <v>0.900709219858156</v>
      </c>
    </row>
    <row r="18" spans="1:2" x14ac:dyDescent="0.55000000000000004">
      <c r="A18" s="41" t="s">
        <v>923</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924</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9"/>
  <sheetViews>
    <sheetView tabSelected="1" workbookViewId="0">
      <pane ySplit="3" topLeftCell="A55" activePane="bottomLeft" state="frozen"/>
      <selection pane="bottomLeft" activeCell="E54" sqref="E54"/>
    </sheetView>
  </sheetViews>
  <sheetFormatPr defaultRowHeight="14.4" x14ac:dyDescent="0.55000000000000004"/>
  <cols>
    <col min="1" max="1" width="34" customWidth="1"/>
    <col min="2" max="2" width="13" customWidth="1"/>
    <col min="3" max="3" width="11" customWidth="1"/>
    <col min="4" max="4" width="12" customWidth="1"/>
    <col min="5" max="5" width="95.578125" style="277" customWidth="1"/>
  </cols>
  <sheetData>
    <row r="1" spans="1:5" ht="26.05" customHeight="1" x14ac:dyDescent="0.55000000000000004">
      <c r="A1" s="285" t="s">
        <v>0</v>
      </c>
      <c r="B1" s="286"/>
      <c r="C1" s="286"/>
      <c r="D1" s="286"/>
      <c r="E1" s="287"/>
    </row>
    <row r="3" spans="1:5" x14ac:dyDescent="0.55000000000000004">
      <c r="A3" s="29" t="s">
        <v>1</v>
      </c>
      <c r="B3" s="29" t="s">
        <v>2</v>
      </c>
      <c r="C3" s="29" t="s">
        <v>3</v>
      </c>
      <c r="D3" s="29" t="s">
        <v>4</v>
      </c>
      <c r="E3" s="1" t="s">
        <v>5</v>
      </c>
    </row>
    <row r="4" spans="1:5" ht="28" customHeight="1" x14ac:dyDescent="0.55000000000000004">
      <c r="A4" s="30" t="s">
        <v>6</v>
      </c>
      <c r="B4" s="11" t="s">
        <v>7</v>
      </c>
      <c r="C4" s="21" t="s">
        <v>8</v>
      </c>
      <c r="D4" s="11" t="s">
        <v>9</v>
      </c>
      <c r="E4" s="31" t="s">
        <v>10</v>
      </c>
    </row>
    <row r="5" spans="1:5" ht="28" customHeight="1" x14ac:dyDescent="0.55000000000000004">
      <c r="A5" s="32" t="s">
        <v>11</v>
      </c>
      <c r="B5" s="6" t="s">
        <v>7</v>
      </c>
      <c r="C5" s="19" t="s">
        <v>12</v>
      </c>
      <c r="D5" s="6" t="s">
        <v>9</v>
      </c>
      <c r="E5" s="33" t="s">
        <v>13</v>
      </c>
    </row>
    <row r="6" spans="1:5" ht="28" customHeight="1" x14ac:dyDescent="0.55000000000000004">
      <c r="A6" s="30" t="s">
        <v>14</v>
      </c>
      <c r="B6" s="11" t="s">
        <v>15</v>
      </c>
      <c r="C6" s="21" t="s">
        <v>8</v>
      </c>
      <c r="D6" s="11" t="s">
        <v>16</v>
      </c>
      <c r="E6" s="31" t="s">
        <v>17</v>
      </c>
    </row>
    <row r="7" spans="1:5" ht="28" customHeight="1" x14ac:dyDescent="0.55000000000000004">
      <c r="A7" s="32" t="s">
        <v>18</v>
      </c>
      <c r="B7" s="6" t="s">
        <v>7</v>
      </c>
      <c r="C7" s="19" t="s">
        <v>12</v>
      </c>
      <c r="D7" s="6" t="s">
        <v>16</v>
      </c>
      <c r="E7" s="33" t="s">
        <v>19</v>
      </c>
    </row>
    <row r="8" spans="1:5" ht="28" customHeight="1" x14ac:dyDescent="0.55000000000000004">
      <c r="A8" s="30" t="s">
        <v>20</v>
      </c>
      <c r="B8" s="11" t="s">
        <v>15</v>
      </c>
      <c r="C8" s="17" t="s">
        <v>21</v>
      </c>
      <c r="D8" s="11" t="s">
        <v>22</v>
      </c>
      <c r="E8" s="31" t="s">
        <v>23</v>
      </c>
    </row>
    <row r="9" spans="1:5" ht="28" customHeight="1" x14ac:dyDescent="0.55000000000000004">
      <c r="A9" s="32" t="s">
        <v>24</v>
      </c>
      <c r="B9" s="6" t="s">
        <v>7</v>
      </c>
      <c r="C9" s="19" t="s">
        <v>12</v>
      </c>
      <c r="D9" s="6" t="s">
        <v>25</v>
      </c>
      <c r="E9" s="33" t="s">
        <v>26</v>
      </c>
    </row>
    <row r="10" spans="1:5" ht="28" customHeight="1" x14ac:dyDescent="0.55000000000000004">
      <c r="A10" s="30" t="s">
        <v>27</v>
      </c>
      <c r="B10" s="11" t="s">
        <v>28</v>
      </c>
      <c r="C10" s="17" t="s">
        <v>21</v>
      </c>
      <c r="D10" s="11" t="s">
        <v>9</v>
      </c>
      <c r="E10" s="31" t="s">
        <v>29</v>
      </c>
    </row>
    <row r="11" spans="1:5" ht="28" customHeight="1" x14ac:dyDescent="0.55000000000000004">
      <c r="A11" s="32" t="s">
        <v>30</v>
      </c>
      <c r="B11" s="6" t="s">
        <v>15</v>
      </c>
      <c r="C11" s="19" t="s">
        <v>12</v>
      </c>
      <c r="D11" s="6" t="s">
        <v>16</v>
      </c>
      <c r="E11" s="33" t="s">
        <v>31</v>
      </c>
    </row>
    <row r="12" spans="1:5" ht="28" customHeight="1" x14ac:dyDescent="0.55000000000000004">
      <c r="A12" s="30" t="s">
        <v>32</v>
      </c>
      <c r="B12" s="11" t="s">
        <v>15</v>
      </c>
      <c r="C12" s="34" t="s">
        <v>33</v>
      </c>
      <c r="D12" s="11" t="s">
        <v>34</v>
      </c>
      <c r="E12" s="31" t="s">
        <v>35</v>
      </c>
    </row>
    <row r="13" spans="1:5" ht="28" customHeight="1" x14ac:dyDescent="0.55000000000000004">
      <c r="A13" s="32" t="s">
        <v>36</v>
      </c>
      <c r="B13" s="6" t="s">
        <v>15</v>
      </c>
      <c r="C13" s="17" t="s">
        <v>21</v>
      </c>
      <c r="D13" s="6" t="s">
        <v>34</v>
      </c>
      <c r="E13" s="33" t="s">
        <v>37</v>
      </c>
    </row>
    <row r="14" spans="1:5" ht="28" customHeight="1" x14ac:dyDescent="0.55000000000000004">
      <c r="A14" s="30" t="s">
        <v>38</v>
      </c>
      <c r="B14" s="11" t="s">
        <v>7</v>
      </c>
      <c r="C14" s="17" t="s">
        <v>21</v>
      </c>
      <c r="D14" s="11" t="s">
        <v>16</v>
      </c>
      <c r="E14" s="31" t="s">
        <v>39</v>
      </c>
    </row>
    <row r="15" spans="1:5" ht="28" customHeight="1" x14ac:dyDescent="0.55000000000000004">
      <c r="A15" s="32" t="s">
        <v>40</v>
      </c>
      <c r="B15" s="6" t="s">
        <v>7</v>
      </c>
      <c r="C15" s="17" t="s">
        <v>21</v>
      </c>
      <c r="D15" s="6" t="s">
        <v>9</v>
      </c>
      <c r="E15" s="33" t="s">
        <v>41</v>
      </c>
    </row>
    <row r="16" spans="1:5" ht="30" customHeight="1" x14ac:dyDescent="0.55000000000000004">
      <c r="A16" s="30" t="s">
        <v>42</v>
      </c>
      <c r="B16" s="11" t="s">
        <v>7</v>
      </c>
      <c r="C16" s="19" t="s">
        <v>12</v>
      </c>
      <c r="D16" s="11" t="s">
        <v>43</v>
      </c>
      <c r="E16" s="31" t="s">
        <v>44</v>
      </c>
    </row>
    <row r="17" spans="1:5" ht="30" customHeight="1" x14ac:dyDescent="0.55000000000000004">
      <c r="A17" s="32" t="s">
        <v>45</v>
      </c>
      <c r="B17" s="6" t="s">
        <v>7</v>
      </c>
      <c r="C17" s="21" t="s">
        <v>8</v>
      </c>
      <c r="D17" s="6" t="s">
        <v>9</v>
      </c>
      <c r="E17" s="33" t="s">
        <v>46</v>
      </c>
    </row>
    <row r="18" spans="1:5" ht="30" customHeight="1" x14ac:dyDescent="0.55000000000000004">
      <c r="A18" s="30" t="s">
        <v>47</v>
      </c>
      <c r="B18" s="11" t="s">
        <v>15</v>
      </c>
      <c r="C18" s="17" t="s">
        <v>21</v>
      </c>
      <c r="D18" s="11" t="s">
        <v>22</v>
      </c>
      <c r="E18" s="31" t="s">
        <v>48</v>
      </c>
    </row>
    <row r="19" spans="1:5" ht="30" customHeight="1" x14ac:dyDescent="0.55000000000000004">
      <c r="A19" s="32" t="s">
        <v>49</v>
      </c>
      <c r="B19" s="6" t="s">
        <v>7</v>
      </c>
      <c r="C19" s="17" t="s">
        <v>21</v>
      </c>
      <c r="D19" s="6" t="s">
        <v>9</v>
      </c>
      <c r="E19" s="33" t="s">
        <v>50</v>
      </c>
    </row>
    <row r="20" spans="1:5" ht="32.049999999999997" customHeight="1" x14ac:dyDescent="0.55000000000000004">
      <c r="A20" s="30" t="s">
        <v>51</v>
      </c>
      <c r="B20" s="11" t="s">
        <v>52</v>
      </c>
      <c r="C20" s="21" t="s">
        <v>8</v>
      </c>
      <c r="D20" s="11" t="s">
        <v>53</v>
      </c>
      <c r="E20" s="31" t="s">
        <v>54</v>
      </c>
    </row>
    <row r="21" spans="1:5" ht="32.049999999999997" customHeight="1" x14ac:dyDescent="0.55000000000000004">
      <c r="A21" s="32" t="s">
        <v>55</v>
      </c>
      <c r="B21" s="6" t="s">
        <v>7</v>
      </c>
      <c r="C21" s="19" t="s">
        <v>12</v>
      </c>
      <c r="D21" s="6" t="s">
        <v>43</v>
      </c>
      <c r="E21" s="33" t="s">
        <v>56</v>
      </c>
    </row>
    <row r="22" spans="1:5" ht="32.049999999999997" customHeight="1" x14ac:dyDescent="0.55000000000000004">
      <c r="A22" s="30" t="s">
        <v>57</v>
      </c>
      <c r="B22" s="11" t="s">
        <v>58</v>
      </c>
      <c r="C22" s="17" t="s">
        <v>21</v>
      </c>
      <c r="D22" s="11" t="s">
        <v>9</v>
      </c>
      <c r="E22" s="31" t="s">
        <v>59</v>
      </c>
    </row>
    <row r="23" spans="1:5" ht="32.049999999999997" customHeight="1" x14ac:dyDescent="0.55000000000000004">
      <c r="A23" s="32" t="s">
        <v>60</v>
      </c>
      <c r="B23" s="6" t="s">
        <v>58</v>
      </c>
      <c r="C23" s="17" t="s">
        <v>21</v>
      </c>
      <c r="D23" s="6" t="s">
        <v>9</v>
      </c>
      <c r="E23" s="33" t="s">
        <v>61</v>
      </c>
    </row>
    <row r="24" spans="1:5" ht="32.049999999999997" customHeight="1" x14ac:dyDescent="0.55000000000000004">
      <c r="A24" s="30" t="s">
        <v>62</v>
      </c>
      <c r="B24" s="11" t="s">
        <v>58</v>
      </c>
      <c r="C24" s="17" t="s">
        <v>21</v>
      </c>
      <c r="D24" s="11" t="s">
        <v>9</v>
      </c>
      <c r="E24" s="31" t="s">
        <v>63</v>
      </c>
    </row>
    <row r="25" spans="1:5" ht="32.049999999999997" customHeight="1" x14ac:dyDescent="0.55000000000000004">
      <c r="A25" s="53" t="s">
        <v>64</v>
      </c>
      <c r="B25" s="51" t="s">
        <v>22</v>
      </c>
      <c r="C25" s="54" t="s">
        <v>21</v>
      </c>
      <c r="D25" s="51" t="s">
        <v>9</v>
      </c>
      <c r="E25" s="55" t="s">
        <v>65</v>
      </c>
    </row>
    <row r="26" spans="1:5" ht="32.049999999999997" customHeight="1" x14ac:dyDescent="0.55000000000000004">
      <c r="A26" s="56" t="s">
        <v>66</v>
      </c>
      <c r="B26" s="46" t="s">
        <v>58</v>
      </c>
      <c r="C26" s="54" t="s">
        <v>33</v>
      </c>
      <c r="D26" s="46" t="s">
        <v>53</v>
      </c>
      <c r="E26" s="57" t="s">
        <v>67</v>
      </c>
    </row>
    <row r="27" spans="1:5" ht="32.049999999999997" customHeight="1" x14ac:dyDescent="0.55000000000000004">
      <c r="A27" s="53" t="s">
        <v>68</v>
      </c>
      <c r="B27" s="51" t="s">
        <v>22</v>
      </c>
      <c r="C27" s="54" t="s">
        <v>33</v>
      </c>
      <c r="D27" s="51" t="s">
        <v>9</v>
      </c>
      <c r="E27" s="55" t="s">
        <v>69</v>
      </c>
    </row>
    <row r="28" spans="1:5" ht="46" customHeight="1" x14ac:dyDescent="0.55000000000000004">
      <c r="A28" s="71" t="s">
        <v>70</v>
      </c>
      <c r="B28" s="60" t="s">
        <v>22</v>
      </c>
      <c r="C28" s="67" t="s">
        <v>12</v>
      </c>
      <c r="D28" s="94" t="s">
        <v>53</v>
      </c>
      <c r="E28" s="94" t="s">
        <v>71</v>
      </c>
    </row>
    <row r="29" spans="1:5" ht="46" customHeight="1" x14ac:dyDescent="0.55000000000000004">
      <c r="A29" s="72" t="s">
        <v>72</v>
      </c>
      <c r="B29" s="65" t="s">
        <v>7</v>
      </c>
      <c r="C29" s="69" t="s">
        <v>21</v>
      </c>
      <c r="D29" s="93" t="s">
        <v>53</v>
      </c>
      <c r="E29" s="93" t="s">
        <v>73</v>
      </c>
    </row>
    <row r="30" spans="1:5" ht="32.049999999999997" customHeight="1" x14ac:dyDescent="0.55000000000000004">
      <c r="A30" s="78" t="s">
        <v>74</v>
      </c>
      <c r="B30" s="75" t="s">
        <v>7</v>
      </c>
      <c r="C30" s="79" t="s">
        <v>21</v>
      </c>
      <c r="D30" s="75" t="s">
        <v>9</v>
      </c>
      <c r="E30" s="80" t="s">
        <v>75</v>
      </c>
    </row>
    <row r="31" spans="1:5" ht="32.049999999999997" customHeight="1" x14ac:dyDescent="0.55000000000000004">
      <c r="A31" s="92" t="s">
        <v>76</v>
      </c>
      <c r="B31" s="83" t="s">
        <v>58</v>
      </c>
      <c r="C31" s="90" t="s">
        <v>21</v>
      </c>
      <c r="D31" s="83" t="s">
        <v>77</v>
      </c>
      <c r="E31" s="93" t="s">
        <v>78</v>
      </c>
    </row>
    <row r="32" spans="1:5" ht="32.049999999999997" customHeight="1" x14ac:dyDescent="0.55000000000000004">
      <c r="A32" s="106" t="s">
        <v>79</v>
      </c>
      <c r="B32" s="102" t="s">
        <v>22</v>
      </c>
      <c r="C32" s="104" t="s">
        <v>21</v>
      </c>
      <c r="D32" s="102" t="s">
        <v>53</v>
      </c>
      <c r="E32" s="107" t="s">
        <v>80</v>
      </c>
    </row>
    <row r="33" spans="1:5" ht="32.049999999999997" customHeight="1" x14ac:dyDescent="0.55000000000000004">
      <c r="A33" s="108" t="s">
        <v>81</v>
      </c>
      <c r="B33" s="97" t="s">
        <v>7</v>
      </c>
      <c r="C33" s="104" t="s">
        <v>21</v>
      </c>
      <c r="D33" s="97" t="s">
        <v>43</v>
      </c>
      <c r="E33" s="109" t="s">
        <v>82</v>
      </c>
    </row>
    <row r="34" spans="1:5" ht="32.049999999999997" customHeight="1" x14ac:dyDescent="0.55000000000000004">
      <c r="A34" s="133" t="s">
        <v>83</v>
      </c>
      <c r="B34" s="128" t="s">
        <v>58</v>
      </c>
      <c r="C34" s="122" t="s">
        <v>12</v>
      </c>
      <c r="D34" s="128" t="s">
        <v>9</v>
      </c>
      <c r="E34" s="134" t="s">
        <v>84</v>
      </c>
    </row>
    <row r="35" spans="1:5" ht="32.049999999999997" customHeight="1" x14ac:dyDescent="0.55000000000000004">
      <c r="A35" s="135" t="s">
        <v>85</v>
      </c>
      <c r="B35" s="123" t="s">
        <v>7</v>
      </c>
      <c r="C35" s="131" t="s">
        <v>21</v>
      </c>
      <c r="D35" s="123" t="s">
        <v>9</v>
      </c>
      <c r="E35" s="136" t="s">
        <v>86</v>
      </c>
    </row>
    <row r="36" spans="1:5" ht="74.05" customHeight="1" x14ac:dyDescent="0.55000000000000004">
      <c r="A36" s="146" t="s">
        <v>20</v>
      </c>
      <c r="B36" s="144" t="s">
        <v>7</v>
      </c>
      <c r="C36" s="147" t="s">
        <v>8</v>
      </c>
      <c r="D36" s="152" t="s">
        <v>87</v>
      </c>
      <c r="E36" s="152" t="s">
        <v>88</v>
      </c>
    </row>
    <row r="37" spans="1:5" ht="32.049999999999997" customHeight="1" x14ac:dyDescent="0.55000000000000004">
      <c r="A37" s="149" t="s">
        <v>89</v>
      </c>
      <c r="B37" s="139" t="s">
        <v>58</v>
      </c>
      <c r="C37" s="150" t="s">
        <v>21</v>
      </c>
      <c r="D37" s="139" t="s">
        <v>9</v>
      </c>
      <c r="E37" s="151" t="s">
        <v>90</v>
      </c>
    </row>
    <row r="38" spans="1:5" ht="32.049999999999997" customHeight="1" x14ac:dyDescent="0.55000000000000004">
      <c r="A38" s="146" t="s">
        <v>91</v>
      </c>
      <c r="B38" s="144" t="s">
        <v>58</v>
      </c>
      <c r="C38" s="150" t="s">
        <v>33</v>
      </c>
      <c r="D38" s="144" t="s">
        <v>9</v>
      </c>
      <c r="E38" s="148" t="s">
        <v>92</v>
      </c>
    </row>
    <row r="39" spans="1:5" ht="32.049999999999997" customHeight="1" x14ac:dyDescent="0.55000000000000004">
      <c r="A39" s="159" t="s">
        <v>93</v>
      </c>
      <c r="B39" s="156" t="s">
        <v>7</v>
      </c>
      <c r="C39" s="160" t="s">
        <v>12</v>
      </c>
      <c r="D39" s="156" t="s">
        <v>9</v>
      </c>
      <c r="E39" s="161" t="s">
        <v>94</v>
      </c>
    </row>
    <row r="40" spans="1:5" ht="32.049999999999997" customHeight="1" x14ac:dyDescent="0.55000000000000004">
      <c r="A40" s="167" t="s">
        <v>95</v>
      </c>
      <c r="B40" s="164" t="s">
        <v>58</v>
      </c>
      <c r="C40" s="168" t="s">
        <v>12</v>
      </c>
      <c r="D40" s="164" t="s">
        <v>9</v>
      </c>
      <c r="E40" s="169" t="s">
        <v>96</v>
      </c>
    </row>
    <row r="41" spans="1:5" ht="32.049999999999997" customHeight="1" x14ac:dyDescent="0.55000000000000004">
      <c r="A41" s="170" t="s">
        <v>97</v>
      </c>
      <c r="B41" s="171" t="s">
        <v>22</v>
      </c>
      <c r="C41" s="172" t="s">
        <v>21</v>
      </c>
      <c r="D41" s="171" t="s">
        <v>53</v>
      </c>
      <c r="E41" s="173" t="s">
        <v>98</v>
      </c>
    </row>
    <row r="42" spans="1:5" ht="32.049999999999997" customHeight="1" x14ac:dyDescent="0.55000000000000004">
      <c r="A42" s="187" t="s">
        <v>99</v>
      </c>
      <c r="B42" s="182" t="s">
        <v>58</v>
      </c>
      <c r="C42" s="176" t="s">
        <v>12</v>
      </c>
      <c r="D42" s="182" t="s">
        <v>9</v>
      </c>
      <c r="E42" s="188" t="s">
        <v>100</v>
      </c>
    </row>
    <row r="43" spans="1:5" ht="32.049999999999997" customHeight="1" x14ac:dyDescent="0.55000000000000004">
      <c r="A43" s="189" t="s">
        <v>101</v>
      </c>
      <c r="B43" s="177" t="s">
        <v>7</v>
      </c>
      <c r="C43" s="185" t="s">
        <v>21</v>
      </c>
      <c r="D43" s="177" t="s">
        <v>43</v>
      </c>
      <c r="E43" s="190" t="s">
        <v>102</v>
      </c>
    </row>
    <row r="44" spans="1:5" ht="32.049999999999997" customHeight="1" x14ac:dyDescent="0.55000000000000004">
      <c r="A44" s="187" t="s">
        <v>103</v>
      </c>
      <c r="B44" s="182" t="s">
        <v>58</v>
      </c>
      <c r="C44" s="185" t="s">
        <v>21</v>
      </c>
      <c r="D44" s="182" t="s">
        <v>53</v>
      </c>
      <c r="E44" s="188" t="s">
        <v>104</v>
      </c>
    </row>
    <row r="45" spans="1:5" ht="32.049999999999997" customHeight="1" x14ac:dyDescent="0.55000000000000004">
      <c r="A45" s="189" t="s">
        <v>105</v>
      </c>
      <c r="B45" s="177" t="s">
        <v>22</v>
      </c>
      <c r="C45" s="185" t="s">
        <v>33</v>
      </c>
      <c r="D45" s="177" t="s">
        <v>9</v>
      </c>
      <c r="E45" s="190" t="s">
        <v>106</v>
      </c>
    </row>
    <row r="46" spans="1:5" ht="32.049999999999997" customHeight="1" x14ac:dyDescent="0.55000000000000004">
      <c r="A46" s="205" t="s">
        <v>107</v>
      </c>
      <c r="B46" s="193" t="s">
        <v>22</v>
      </c>
      <c r="C46" s="198" t="s">
        <v>12</v>
      </c>
      <c r="D46" s="193" t="s">
        <v>9</v>
      </c>
      <c r="E46" s="206" t="s">
        <v>108</v>
      </c>
    </row>
    <row r="47" spans="1:5" ht="56.7" customHeight="1" x14ac:dyDescent="0.55000000000000004">
      <c r="A47" s="207" t="s">
        <v>109</v>
      </c>
      <c r="B47" s="199" t="s">
        <v>7</v>
      </c>
      <c r="C47" s="202" t="s">
        <v>21</v>
      </c>
      <c r="D47" s="199" t="s">
        <v>9</v>
      </c>
      <c r="E47" s="208" t="s">
        <v>110</v>
      </c>
    </row>
    <row r="48" spans="1:5" ht="39.299999999999997" customHeight="1" x14ac:dyDescent="0.55000000000000004">
      <c r="A48" s="205" t="s">
        <v>111</v>
      </c>
      <c r="B48" s="193" t="s">
        <v>22</v>
      </c>
      <c r="C48" s="202" t="s">
        <v>21</v>
      </c>
      <c r="D48" s="193" t="s">
        <v>9</v>
      </c>
      <c r="E48" s="206" t="s">
        <v>112</v>
      </c>
    </row>
    <row r="49" spans="1:5" ht="28.8" customHeight="1" x14ac:dyDescent="0.55000000000000004">
      <c r="A49" t="s">
        <v>113</v>
      </c>
      <c r="B49" t="s">
        <v>7</v>
      </c>
      <c r="C49" t="s">
        <v>21</v>
      </c>
      <c r="D49" t="s">
        <v>9</v>
      </c>
      <c r="E49" s="277" t="s">
        <v>114</v>
      </c>
    </row>
    <row r="50" spans="1:5" ht="28.8" customHeight="1" x14ac:dyDescent="0.55000000000000004">
      <c r="A50" t="s">
        <v>115</v>
      </c>
      <c r="B50" t="s">
        <v>7</v>
      </c>
      <c r="C50" t="s">
        <v>21</v>
      </c>
      <c r="D50" t="s">
        <v>9</v>
      </c>
      <c r="E50" s="277" t="s">
        <v>116</v>
      </c>
    </row>
    <row r="51" spans="1:5" ht="28.8" customHeight="1" x14ac:dyDescent="0.55000000000000004">
      <c r="A51" t="s">
        <v>117</v>
      </c>
      <c r="B51" t="s">
        <v>7</v>
      </c>
      <c r="C51" t="s">
        <v>21</v>
      </c>
      <c r="D51" t="s">
        <v>9</v>
      </c>
      <c r="E51" s="277" t="s">
        <v>118</v>
      </c>
    </row>
    <row r="52" spans="1:5" ht="28.8" customHeight="1" x14ac:dyDescent="0.55000000000000004">
      <c r="A52" t="s">
        <v>119</v>
      </c>
      <c r="B52" t="s">
        <v>22</v>
      </c>
      <c r="C52" t="s">
        <v>120</v>
      </c>
      <c r="D52" t="s">
        <v>53</v>
      </c>
      <c r="E52" s="277" t="s">
        <v>121</v>
      </c>
    </row>
    <row r="53" spans="1:5" ht="28.8" customHeight="1" x14ac:dyDescent="0.55000000000000004">
      <c r="A53" t="s">
        <v>122</v>
      </c>
      <c r="B53" t="s">
        <v>22</v>
      </c>
      <c r="C53" t="s">
        <v>120</v>
      </c>
      <c r="D53" t="s">
        <v>53</v>
      </c>
      <c r="E53" s="277" t="s">
        <v>123</v>
      </c>
    </row>
    <row r="54" spans="1:5" ht="57.6" customHeight="1" x14ac:dyDescent="0.55000000000000004">
      <c r="A54" s="214" t="s">
        <v>124</v>
      </c>
      <c r="B54" s="214" t="s">
        <v>22</v>
      </c>
      <c r="C54" s="214" t="s">
        <v>120</v>
      </c>
      <c r="D54" s="214" t="s">
        <v>53</v>
      </c>
      <c r="E54" s="214" t="s">
        <v>125</v>
      </c>
    </row>
    <row r="55" spans="1:5" ht="72" customHeight="1" x14ac:dyDescent="0.55000000000000004">
      <c r="A55" s="214" t="s">
        <v>126</v>
      </c>
      <c r="B55" s="214" t="s">
        <v>7</v>
      </c>
      <c r="C55" s="214" t="s">
        <v>12</v>
      </c>
      <c r="D55" s="214" t="s">
        <v>53</v>
      </c>
      <c r="E55" s="214" t="s">
        <v>127</v>
      </c>
    </row>
    <row r="56" spans="1:5" ht="43.2" customHeight="1" x14ac:dyDescent="0.55000000000000004">
      <c r="A56" s="214" t="s">
        <v>128</v>
      </c>
      <c r="B56" s="214" t="s">
        <v>7</v>
      </c>
      <c r="C56" s="214" t="s">
        <v>21</v>
      </c>
      <c r="D56" s="214" t="s">
        <v>9</v>
      </c>
      <c r="E56" s="214" t="s">
        <v>129</v>
      </c>
    </row>
    <row r="57" spans="1:5" ht="43.2" customHeight="1" x14ac:dyDescent="0.55000000000000004">
      <c r="A57" s="214" t="s">
        <v>130</v>
      </c>
      <c r="B57" s="214" t="s">
        <v>7</v>
      </c>
      <c r="C57" s="214" t="s">
        <v>21</v>
      </c>
      <c r="D57" s="214" t="s">
        <v>53</v>
      </c>
      <c r="E57" s="214" t="s">
        <v>131</v>
      </c>
    </row>
    <row r="58" spans="1:5" ht="72" customHeight="1" x14ac:dyDescent="0.55000000000000004">
      <c r="A58" s="214" t="s">
        <v>132</v>
      </c>
      <c r="B58" s="214" t="s">
        <v>7</v>
      </c>
      <c r="C58" s="214" t="s">
        <v>21</v>
      </c>
      <c r="D58" s="214" t="s">
        <v>53</v>
      </c>
      <c r="E58" s="214" t="s">
        <v>133</v>
      </c>
    </row>
    <row r="59" spans="1:5" ht="100.8" customHeight="1" x14ac:dyDescent="0.55000000000000004">
      <c r="A59" s="214" t="s">
        <v>134</v>
      </c>
      <c r="B59" s="214" t="s">
        <v>7</v>
      </c>
      <c r="C59" s="214" t="s">
        <v>12</v>
      </c>
      <c r="D59" s="214" t="s">
        <v>9</v>
      </c>
      <c r="E59" s="214" t="s">
        <v>135</v>
      </c>
    </row>
    <row r="60" spans="1:5" ht="72" customHeight="1" x14ac:dyDescent="0.55000000000000004">
      <c r="A60" s="214" t="s">
        <v>136</v>
      </c>
      <c r="B60" s="214" t="s">
        <v>7</v>
      </c>
      <c r="C60" s="214" t="s">
        <v>12</v>
      </c>
      <c r="D60" s="214" t="s">
        <v>53</v>
      </c>
      <c r="E60" s="214" t="s">
        <v>137</v>
      </c>
    </row>
    <row r="61" spans="1:5" ht="72" customHeight="1" x14ac:dyDescent="0.55000000000000004">
      <c r="A61" s="214" t="s">
        <v>138</v>
      </c>
      <c r="B61" s="214" t="s">
        <v>7</v>
      </c>
      <c r="C61" s="214" t="s">
        <v>21</v>
      </c>
      <c r="D61" s="214" t="s">
        <v>9</v>
      </c>
      <c r="E61" s="214" t="s">
        <v>139</v>
      </c>
    </row>
    <row r="62" spans="1:5" ht="72" customHeight="1" x14ac:dyDescent="0.55000000000000004">
      <c r="A62" s="214" t="s">
        <v>140</v>
      </c>
      <c r="B62" s="214" t="s">
        <v>7</v>
      </c>
      <c r="C62" s="214" t="s">
        <v>21</v>
      </c>
      <c r="D62" s="214" t="s">
        <v>9</v>
      </c>
      <c r="E62" s="214" t="s">
        <v>141</v>
      </c>
    </row>
    <row r="63" spans="1:5" ht="57.6" customHeight="1" x14ac:dyDescent="0.55000000000000004">
      <c r="A63" s="214" t="s">
        <v>142</v>
      </c>
      <c r="B63" s="214" t="s">
        <v>7</v>
      </c>
      <c r="C63" s="214" t="s">
        <v>33</v>
      </c>
      <c r="D63" s="214" t="s">
        <v>9</v>
      </c>
      <c r="E63" s="214" t="s">
        <v>143</v>
      </c>
    </row>
    <row r="64" spans="1:5" ht="28.8" customHeight="1" x14ac:dyDescent="0.55000000000000004">
      <c r="A64" s="214" t="s">
        <v>144</v>
      </c>
      <c r="B64" s="214" t="s">
        <v>7</v>
      </c>
      <c r="C64" s="214" t="s">
        <v>33</v>
      </c>
      <c r="D64" s="214" t="s">
        <v>9</v>
      </c>
      <c r="E64" s="214" t="s">
        <v>145</v>
      </c>
    </row>
    <row r="65" spans="1:5" ht="129.6" customHeight="1" x14ac:dyDescent="0.55000000000000004">
      <c r="A65" s="214" t="s">
        <v>146</v>
      </c>
      <c r="B65" s="214" t="s">
        <v>7</v>
      </c>
      <c r="C65" s="214" t="s">
        <v>21</v>
      </c>
      <c r="D65" s="214" t="s">
        <v>9</v>
      </c>
      <c r="E65" s="214" t="s">
        <v>147</v>
      </c>
    </row>
    <row r="66" spans="1:5" ht="28.8" customHeight="1" x14ac:dyDescent="0.55000000000000004">
      <c r="A66" s="214" t="s">
        <v>148</v>
      </c>
      <c r="B66" t="s">
        <v>22</v>
      </c>
      <c r="C66" t="s">
        <v>21</v>
      </c>
      <c r="D66" t="s">
        <v>53</v>
      </c>
      <c r="E66" s="277" t="s">
        <v>149</v>
      </c>
    </row>
    <row r="67" spans="1:5" ht="28.8" customHeight="1" x14ac:dyDescent="0.55000000000000004">
      <c r="A67" s="214" t="s">
        <v>150</v>
      </c>
      <c r="B67" t="s">
        <v>7</v>
      </c>
      <c r="C67" t="s">
        <v>33</v>
      </c>
      <c r="D67" t="s">
        <v>9</v>
      </c>
      <c r="E67" s="277" t="s">
        <v>151</v>
      </c>
    </row>
    <row r="68" spans="1:5" ht="57.6" customHeight="1" x14ac:dyDescent="0.55000000000000004">
      <c r="A68" s="214" t="s">
        <v>152</v>
      </c>
      <c r="B68" t="s">
        <v>22</v>
      </c>
      <c r="C68" t="s">
        <v>33</v>
      </c>
      <c r="D68" t="s">
        <v>53</v>
      </c>
      <c r="E68" s="277" t="s">
        <v>153</v>
      </c>
    </row>
    <row r="69" spans="1:5" ht="43.2" customHeight="1" x14ac:dyDescent="0.55000000000000004">
      <c r="A69" s="214" t="s">
        <v>154</v>
      </c>
      <c r="B69" t="s">
        <v>7</v>
      </c>
      <c r="C69" t="s">
        <v>21</v>
      </c>
      <c r="D69" t="s">
        <v>9</v>
      </c>
      <c r="E69" s="277" t="s">
        <v>155</v>
      </c>
    </row>
    <row r="70" spans="1:5" ht="57.6" customHeight="1" x14ac:dyDescent="0.55000000000000004">
      <c r="A70" s="214" t="s">
        <v>156</v>
      </c>
      <c r="B70" t="s">
        <v>22</v>
      </c>
      <c r="C70" t="s">
        <v>12</v>
      </c>
      <c r="D70" t="s">
        <v>53</v>
      </c>
      <c r="E70" s="277" t="s">
        <v>157</v>
      </c>
    </row>
    <row r="71" spans="1:5" ht="28.8" customHeight="1" x14ac:dyDescent="0.55000000000000004">
      <c r="A71" s="214" t="s">
        <v>158</v>
      </c>
      <c r="B71" t="s">
        <v>7</v>
      </c>
      <c r="C71" t="s">
        <v>12</v>
      </c>
      <c r="D71" t="s">
        <v>9</v>
      </c>
      <c r="E71" s="277" t="s">
        <v>159</v>
      </c>
    </row>
    <row r="72" spans="1:5" ht="28.8" customHeight="1" x14ac:dyDescent="0.55000000000000004">
      <c r="A72" s="214" t="s">
        <v>160</v>
      </c>
      <c r="B72" t="s">
        <v>22</v>
      </c>
      <c r="C72" t="s">
        <v>21</v>
      </c>
      <c r="D72" t="s">
        <v>53</v>
      </c>
      <c r="E72" s="277" t="s">
        <v>161</v>
      </c>
    </row>
    <row r="73" spans="1:5" ht="28.8" customHeight="1" x14ac:dyDescent="0.55000000000000004">
      <c r="A73" s="214" t="s">
        <v>162</v>
      </c>
      <c r="B73" t="s">
        <v>7</v>
      </c>
      <c r="C73" t="s">
        <v>21</v>
      </c>
      <c r="D73" t="s">
        <v>9</v>
      </c>
      <c r="E73" s="277" t="s">
        <v>163</v>
      </c>
    </row>
    <row r="74" spans="1:5" ht="28.8" customHeight="1" x14ac:dyDescent="0.55000000000000004">
      <c r="A74" s="214" t="s">
        <v>164</v>
      </c>
      <c r="B74" t="s">
        <v>22</v>
      </c>
      <c r="C74" t="s">
        <v>21</v>
      </c>
      <c r="D74" t="s">
        <v>53</v>
      </c>
      <c r="E74" s="277" t="s">
        <v>165</v>
      </c>
    </row>
    <row r="75" spans="1:5" ht="28.8" customHeight="1" x14ac:dyDescent="0.55000000000000004">
      <c r="A75" s="214" t="s">
        <v>166</v>
      </c>
      <c r="B75" t="s">
        <v>22</v>
      </c>
      <c r="C75" t="s">
        <v>33</v>
      </c>
      <c r="D75" t="s">
        <v>53</v>
      </c>
      <c r="E75" s="277" t="s">
        <v>167</v>
      </c>
    </row>
    <row r="76" spans="1:5" ht="28.8" customHeight="1" x14ac:dyDescent="0.55000000000000004">
      <c r="A76" s="214" t="s">
        <v>168</v>
      </c>
      <c r="B76" t="s">
        <v>22</v>
      </c>
      <c r="C76" t="s">
        <v>21</v>
      </c>
      <c r="D76" t="s">
        <v>53</v>
      </c>
      <c r="E76" s="277" t="s">
        <v>169</v>
      </c>
    </row>
    <row r="77" spans="1:5" ht="28.8" customHeight="1" x14ac:dyDescent="0.55000000000000004">
      <c r="A77" s="214" t="s">
        <v>170</v>
      </c>
      <c r="B77" t="s">
        <v>7</v>
      </c>
      <c r="C77" t="s">
        <v>33</v>
      </c>
      <c r="D77" t="s">
        <v>9</v>
      </c>
      <c r="E77" s="277" t="s">
        <v>171</v>
      </c>
    </row>
    <row r="78" spans="1:5" ht="57.6" customHeight="1" x14ac:dyDescent="0.55000000000000004">
      <c r="A78" s="214" t="s">
        <v>172</v>
      </c>
      <c r="B78" t="s">
        <v>7</v>
      </c>
      <c r="C78" t="s">
        <v>21</v>
      </c>
      <c r="D78" t="s">
        <v>9</v>
      </c>
      <c r="E78" s="277" t="s">
        <v>173</v>
      </c>
    </row>
    <row r="79" spans="1:5" ht="28.8" customHeight="1" x14ac:dyDescent="0.55000000000000004">
      <c r="A79" s="214" t="s">
        <v>174</v>
      </c>
      <c r="B79" t="s">
        <v>22</v>
      </c>
      <c r="C79" t="s">
        <v>12</v>
      </c>
      <c r="D79" t="s">
        <v>53</v>
      </c>
      <c r="E79" s="277" t="s">
        <v>175</v>
      </c>
    </row>
    <row r="80" spans="1:5" ht="28.8" customHeight="1" x14ac:dyDescent="0.55000000000000004">
      <c r="A80" s="214" t="s">
        <v>176</v>
      </c>
      <c r="B80" t="s">
        <v>7</v>
      </c>
      <c r="C80" t="s">
        <v>21</v>
      </c>
      <c r="D80" t="s">
        <v>9</v>
      </c>
      <c r="E80" s="277" t="s">
        <v>177</v>
      </c>
    </row>
    <row r="81" spans="1:5" ht="57.6" customHeight="1" x14ac:dyDescent="0.55000000000000004">
      <c r="A81" s="214" t="s">
        <v>178</v>
      </c>
      <c r="B81" t="s">
        <v>7</v>
      </c>
      <c r="C81" t="s">
        <v>21</v>
      </c>
      <c r="D81" t="s">
        <v>9</v>
      </c>
      <c r="E81" s="277" t="s">
        <v>179</v>
      </c>
    </row>
    <row r="82" spans="1:5" ht="28.8" customHeight="1" x14ac:dyDescent="0.55000000000000004">
      <c r="A82" s="214" t="s">
        <v>180</v>
      </c>
      <c r="B82" t="s">
        <v>7</v>
      </c>
      <c r="C82" t="s">
        <v>21</v>
      </c>
      <c r="D82" t="s">
        <v>9</v>
      </c>
      <c r="E82" s="277" t="s">
        <v>181</v>
      </c>
    </row>
    <row r="83" spans="1:5" ht="28.8" customHeight="1" x14ac:dyDescent="0.55000000000000004">
      <c r="A83" s="214" t="s">
        <v>182</v>
      </c>
      <c r="B83" t="s">
        <v>22</v>
      </c>
      <c r="C83" t="s">
        <v>12</v>
      </c>
      <c r="D83" t="s">
        <v>53</v>
      </c>
      <c r="E83" s="277" t="s">
        <v>183</v>
      </c>
    </row>
    <row r="84" spans="1:5" ht="57.6" customHeight="1" x14ac:dyDescent="0.55000000000000004">
      <c r="A84" s="214" t="s">
        <v>184</v>
      </c>
      <c r="B84" t="s">
        <v>7</v>
      </c>
      <c r="C84" t="s">
        <v>21</v>
      </c>
      <c r="D84" t="s">
        <v>9</v>
      </c>
      <c r="E84" s="277" t="s">
        <v>185</v>
      </c>
    </row>
    <row r="85" spans="1:5" ht="28.8" customHeight="1" x14ac:dyDescent="0.55000000000000004">
      <c r="A85" s="214" t="s">
        <v>186</v>
      </c>
      <c r="B85" t="s">
        <v>7</v>
      </c>
      <c r="C85" t="s">
        <v>21</v>
      </c>
      <c r="D85" t="s">
        <v>9</v>
      </c>
      <c r="E85" s="277" t="s">
        <v>187</v>
      </c>
    </row>
    <row r="86" spans="1:5" ht="28.8" customHeight="1" x14ac:dyDescent="0.55000000000000004">
      <c r="A86" s="214" t="s">
        <v>188</v>
      </c>
      <c r="B86" t="s">
        <v>22</v>
      </c>
      <c r="C86" t="s">
        <v>33</v>
      </c>
      <c r="D86" t="s">
        <v>53</v>
      </c>
      <c r="E86" s="277" t="s">
        <v>189</v>
      </c>
    </row>
    <row r="87" spans="1:5" ht="28.8" customHeight="1" x14ac:dyDescent="0.55000000000000004">
      <c r="A87" s="214" t="s">
        <v>190</v>
      </c>
      <c r="B87" t="s">
        <v>22</v>
      </c>
      <c r="C87" t="s">
        <v>33</v>
      </c>
      <c r="D87" t="s">
        <v>53</v>
      </c>
      <c r="E87" s="277" t="s">
        <v>191</v>
      </c>
    </row>
    <row r="88" spans="1:5" ht="28.8" customHeight="1" x14ac:dyDescent="0.55000000000000004">
      <c r="A88" s="214" t="s">
        <v>192</v>
      </c>
      <c r="B88" t="s">
        <v>22</v>
      </c>
      <c r="C88" t="s">
        <v>21</v>
      </c>
      <c r="D88" t="s">
        <v>53</v>
      </c>
      <c r="E88" s="277" t="s">
        <v>193</v>
      </c>
    </row>
    <row r="89" spans="1:5" ht="28.8" customHeight="1" x14ac:dyDescent="0.55000000000000004">
      <c r="A89" s="214" t="s">
        <v>194</v>
      </c>
      <c r="B89" t="s">
        <v>22</v>
      </c>
      <c r="C89" t="s">
        <v>12</v>
      </c>
      <c r="D89" t="s">
        <v>53</v>
      </c>
      <c r="E89" s="277" t="s">
        <v>195</v>
      </c>
    </row>
    <row r="90" spans="1:5" ht="28.8" customHeight="1" x14ac:dyDescent="0.55000000000000004">
      <c r="A90" s="214" t="s">
        <v>196</v>
      </c>
      <c r="B90" t="s">
        <v>22</v>
      </c>
      <c r="C90" t="s">
        <v>33</v>
      </c>
      <c r="D90" t="s">
        <v>53</v>
      </c>
      <c r="E90" s="277" t="s">
        <v>197</v>
      </c>
    </row>
    <row r="91" spans="1:5" ht="28.8" customHeight="1" x14ac:dyDescent="0.55000000000000004">
      <c r="A91" s="214" t="s">
        <v>198</v>
      </c>
      <c r="B91" t="s">
        <v>22</v>
      </c>
      <c r="C91" t="s">
        <v>12</v>
      </c>
      <c r="D91" t="s">
        <v>53</v>
      </c>
      <c r="E91" s="277" t="s">
        <v>199</v>
      </c>
    </row>
    <row r="92" spans="1:5" ht="100.8" customHeight="1" x14ac:dyDescent="0.55000000000000004">
      <c r="A92" s="214" t="s">
        <v>200</v>
      </c>
      <c r="B92" t="s">
        <v>22</v>
      </c>
      <c r="C92" t="s">
        <v>33</v>
      </c>
      <c r="D92" t="s">
        <v>53</v>
      </c>
      <c r="E92" s="277" t="s">
        <v>201</v>
      </c>
    </row>
    <row r="93" spans="1:5" ht="86.4" customHeight="1" x14ac:dyDescent="0.55000000000000004">
      <c r="A93" s="214" t="s">
        <v>202</v>
      </c>
      <c r="B93" t="s">
        <v>7</v>
      </c>
      <c r="C93" t="s">
        <v>33</v>
      </c>
      <c r="D93" t="s">
        <v>9</v>
      </c>
      <c r="E93" s="277" t="s">
        <v>203</v>
      </c>
    </row>
    <row r="94" spans="1:5" ht="72" customHeight="1" x14ac:dyDescent="0.55000000000000004">
      <c r="A94" s="214" t="s">
        <v>204</v>
      </c>
      <c r="B94" t="s">
        <v>22</v>
      </c>
      <c r="C94" t="s">
        <v>21</v>
      </c>
      <c r="D94" t="s">
        <v>53</v>
      </c>
      <c r="E94" s="277" t="s">
        <v>205</v>
      </c>
    </row>
    <row r="95" spans="1:5" ht="28.8" customHeight="1" x14ac:dyDescent="0.55000000000000004">
      <c r="A95" s="214" t="s">
        <v>206</v>
      </c>
      <c r="B95" t="s">
        <v>22</v>
      </c>
      <c r="C95" t="s">
        <v>12</v>
      </c>
      <c r="D95" t="s">
        <v>53</v>
      </c>
      <c r="E95" t="s">
        <v>207</v>
      </c>
    </row>
    <row r="96" spans="1:5" ht="28.8" customHeight="1" x14ac:dyDescent="0.55000000000000004">
      <c r="A96" s="214" t="s">
        <v>208</v>
      </c>
      <c r="B96" t="s">
        <v>22</v>
      </c>
      <c r="C96" t="s">
        <v>33</v>
      </c>
      <c r="D96" t="s">
        <v>53</v>
      </c>
      <c r="E96" t="s">
        <v>209</v>
      </c>
    </row>
    <row r="97" spans="1:5" ht="28.8" customHeight="1" x14ac:dyDescent="0.55000000000000004">
      <c r="A97" s="214" t="s">
        <v>210</v>
      </c>
      <c r="B97" t="s">
        <v>58</v>
      </c>
      <c r="C97" t="s">
        <v>21</v>
      </c>
      <c r="D97" t="s">
        <v>53</v>
      </c>
      <c r="E97" t="s">
        <v>211</v>
      </c>
    </row>
    <row r="98" spans="1:5" ht="28.8" customHeight="1" x14ac:dyDescent="0.55000000000000004">
      <c r="A98" s="214" t="s">
        <v>212</v>
      </c>
      <c r="B98" t="s">
        <v>22</v>
      </c>
      <c r="C98" t="s">
        <v>21</v>
      </c>
      <c r="D98" t="s">
        <v>9</v>
      </c>
      <c r="E98" t="s">
        <v>213</v>
      </c>
    </row>
    <row r="99" spans="1:5" ht="28.8" customHeight="1" x14ac:dyDescent="0.55000000000000004">
      <c r="A99" s="214" t="s">
        <v>214</v>
      </c>
      <c r="B99" t="s">
        <v>58</v>
      </c>
      <c r="C99" t="s">
        <v>21</v>
      </c>
      <c r="D99" t="s">
        <v>77</v>
      </c>
      <c r="E99" t="s">
        <v>215</v>
      </c>
    </row>
    <row r="100" spans="1:5" ht="28.8" customHeight="1" x14ac:dyDescent="0.55000000000000004">
      <c r="A100" s="214" t="s">
        <v>216</v>
      </c>
      <c r="B100" t="s">
        <v>22</v>
      </c>
      <c r="C100" t="s">
        <v>21</v>
      </c>
      <c r="D100" t="s">
        <v>77</v>
      </c>
      <c r="E100" t="s">
        <v>217</v>
      </c>
    </row>
    <row r="101" spans="1:5" ht="28.8" customHeight="1" x14ac:dyDescent="0.55000000000000004">
      <c r="A101" s="214" t="s">
        <v>218</v>
      </c>
      <c r="B101" t="s">
        <v>58</v>
      </c>
      <c r="C101" t="s">
        <v>21</v>
      </c>
      <c r="D101" t="s">
        <v>77</v>
      </c>
      <c r="E101" t="s">
        <v>219</v>
      </c>
    </row>
    <row r="102" spans="1:5" ht="43.2" customHeight="1" x14ac:dyDescent="0.55000000000000004">
      <c r="A102" s="214" t="s">
        <v>220</v>
      </c>
      <c r="B102" t="s">
        <v>58</v>
      </c>
      <c r="C102" t="s">
        <v>33</v>
      </c>
      <c r="D102" t="s">
        <v>9</v>
      </c>
      <c r="E102" t="s">
        <v>221</v>
      </c>
    </row>
    <row r="103" spans="1:5" ht="28.8" customHeight="1" x14ac:dyDescent="0.55000000000000004">
      <c r="A103" s="214" t="s">
        <v>222</v>
      </c>
      <c r="B103" t="s">
        <v>7</v>
      </c>
      <c r="C103" t="s">
        <v>33</v>
      </c>
      <c r="D103" t="s">
        <v>9</v>
      </c>
      <c r="E103" t="s">
        <v>223</v>
      </c>
    </row>
    <row r="104" spans="1:5" ht="28.8" customHeight="1" x14ac:dyDescent="0.55000000000000004">
      <c r="A104" s="214" t="s">
        <v>224</v>
      </c>
      <c r="B104" t="s">
        <v>58</v>
      </c>
      <c r="C104" t="s">
        <v>12</v>
      </c>
      <c r="D104" t="s">
        <v>53</v>
      </c>
      <c r="E104" t="s">
        <v>225</v>
      </c>
    </row>
    <row r="105" spans="1:5" ht="28.8" customHeight="1" x14ac:dyDescent="0.55000000000000004">
      <c r="A105" s="214" t="s">
        <v>226</v>
      </c>
      <c r="B105" t="s">
        <v>7</v>
      </c>
      <c r="C105" t="s">
        <v>21</v>
      </c>
      <c r="D105" t="s">
        <v>9</v>
      </c>
      <c r="E105" t="s">
        <v>227</v>
      </c>
    </row>
    <row r="106" spans="1:5" ht="28.8" customHeight="1" x14ac:dyDescent="0.55000000000000004">
      <c r="A106" s="214" t="s">
        <v>228</v>
      </c>
      <c r="B106" t="s">
        <v>7</v>
      </c>
      <c r="C106" t="s">
        <v>21</v>
      </c>
      <c r="D106" t="s">
        <v>9</v>
      </c>
      <c r="E106" t="s">
        <v>229</v>
      </c>
    </row>
    <row r="107" spans="1:5" ht="28.8" customHeight="1" x14ac:dyDescent="0.55000000000000004">
      <c r="A107" s="214" t="s">
        <v>230</v>
      </c>
      <c r="B107" t="s">
        <v>7</v>
      </c>
      <c r="C107" t="s">
        <v>21</v>
      </c>
      <c r="D107" t="s">
        <v>9</v>
      </c>
      <c r="E107" t="s">
        <v>231</v>
      </c>
    </row>
    <row r="108" spans="1:5" ht="28.8" x14ac:dyDescent="0.55000000000000004">
      <c r="A108" s="214" t="s">
        <v>232</v>
      </c>
      <c r="B108" t="s">
        <v>58</v>
      </c>
      <c r="C108" t="s">
        <v>12</v>
      </c>
      <c r="D108" t="s">
        <v>53</v>
      </c>
      <c r="E108" t="s">
        <v>233</v>
      </c>
    </row>
    <row r="109" spans="1:5" ht="43.2" x14ac:dyDescent="0.55000000000000004">
      <c r="A109" s="214" t="s">
        <v>234</v>
      </c>
      <c r="B109" t="s">
        <v>22</v>
      </c>
      <c r="C109" t="s">
        <v>21</v>
      </c>
      <c r="D109" t="s">
        <v>77</v>
      </c>
      <c r="E109" t="s">
        <v>235</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87"/>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8" t="s">
        <v>925</v>
      </c>
    </row>
    <row r="2" spans="1:5" ht="46" customHeight="1" x14ac:dyDescent="0.55000000000000004">
      <c r="A2" s="313" t="s">
        <v>926</v>
      </c>
      <c r="B2" s="294"/>
      <c r="C2" s="294"/>
      <c r="D2" s="294"/>
      <c r="E2" s="294"/>
    </row>
    <row r="4" spans="1:5" x14ac:dyDescent="0.55000000000000004">
      <c r="A4" s="219" t="s">
        <v>927</v>
      </c>
      <c r="B4" s="219" t="s">
        <v>1</v>
      </c>
      <c r="C4" s="219" t="s">
        <v>4</v>
      </c>
      <c r="D4" s="219" t="s">
        <v>928</v>
      </c>
      <c r="E4" s="219" t="s">
        <v>929</v>
      </c>
    </row>
    <row r="5" spans="1:5" ht="44.05" customHeight="1" x14ac:dyDescent="0.55000000000000004">
      <c r="A5" s="220" t="s">
        <v>930</v>
      </c>
      <c r="B5" s="214" t="s">
        <v>931</v>
      </c>
      <c r="C5" s="227" t="s">
        <v>257</v>
      </c>
      <c r="D5" s="214" t="s">
        <v>932</v>
      </c>
      <c r="E5" s="214" t="s">
        <v>933</v>
      </c>
    </row>
    <row r="6" spans="1:5" ht="44.05" customHeight="1" x14ac:dyDescent="0.55000000000000004">
      <c r="A6" s="220" t="s">
        <v>930</v>
      </c>
      <c r="B6" s="214" t="s">
        <v>934</v>
      </c>
      <c r="C6" s="227" t="s">
        <v>257</v>
      </c>
      <c r="D6" s="214" t="s">
        <v>932</v>
      </c>
      <c r="E6" s="214" t="s">
        <v>935</v>
      </c>
    </row>
    <row r="7" spans="1:5" ht="44.05" customHeight="1" x14ac:dyDescent="0.55000000000000004">
      <c r="A7" s="230" t="s">
        <v>936</v>
      </c>
      <c r="B7" s="214" t="s">
        <v>937</v>
      </c>
      <c r="C7" s="231" t="s">
        <v>257</v>
      </c>
      <c r="D7" s="214" t="s">
        <v>930</v>
      </c>
      <c r="E7" s="214" t="s">
        <v>938</v>
      </c>
    </row>
    <row r="8" spans="1:5" ht="44.05" customHeight="1" x14ac:dyDescent="0.55000000000000004">
      <c r="A8" s="222" t="s">
        <v>936</v>
      </c>
      <c r="B8" s="214" t="s">
        <v>939</v>
      </c>
      <c r="C8" s="233" t="s">
        <v>257</v>
      </c>
      <c r="D8" s="214" t="s">
        <v>940</v>
      </c>
      <c r="E8" s="214" t="s">
        <v>941</v>
      </c>
    </row>
    <row r="9" spans="1:5" ht="44.05" customHeight="1" x14ac:dyDescent="0.55000000000000004">
      <c r="A9" s="222" t="s">
        <v>936</v>
      </c>
      <c r="B9" s="214" t="s">
        <v>942</v>
      </c>
      <c r="C9" s="232" t="s">
        <v>257</v>
      </c>
      <c r="D9" s="214" t="s">
        <v>930</v>
      </c>
      <c r="E9" s="214" t="s">
        <v>943</v>
      </c>
    </row>
    <row r="10" spans="1:5" ht="44.05" customHeight="1" x14ac:dyDescent="0.55000000000000004">
      <c r="A10" s="223" t="s">
        <v>944</v>
      </c>
      <c r="B10" s="214" t="s">
        <v>945</v>
      </c>
      <c r="C10" s="221" t="s">
        <v>257</v>
      </c>
      <c r="D10" s="214" t="s">
        <v>946</v>
      </c>
      <c r="E10" s="214" t="s">
        <v>947</v>
      </c>
    </row>
    <row r="11" spans="1:5" ht="44.05" customHeight="1" x14ac:dyDescent="0.55000000000000004">
      <c r="A11" t="s">
        <v>944</v>
      </c>
      <c r="B11" s="214" t="s">
        <v>948</v>
      </c>
      <c r="C11" t="s">
        <v>257</v>
      </c>
      <c r="D11" t="s">
        <v>949</v>
      </c>
    </row>
    <row r="12" spans="1:5" ht="44.05" customHeight="1" x14ac:dyDescent="0.55000000000000004">
      <c r="A12" t="s">
        <v>944</v>
      </c>
      <c r="B12" s="214" t="s">
        <v>950</v>
      </c>
      <c r="C12" t="s">
        <v>257</v>
      </c>
      <c r="D12" t="s">
        <v>949</v>
      </c>
    </row>
    <row r="13" spans="1:5" ht="44.05" customHeight="1" x14ac:dyDescent="0.55000000000000004">
      <c r="A13" s="223" t="s">
        <v>944</v>
      </c>
      <c r="B13" s="214" t="s">
        <v>951</v>
      </c>
      <c r="C13" s="221" t="s">
        <v>257</v>
      </c>
      <c r="D13" s="214" t="s">
        <v>952</v>
      </c>
      <c r="E13" s="214" t="s">
        <v>953</v>
      </c>
    </row>
    <row r="14" spans="1:5" ht="44.05" customHeight="1" x14ac:dyDescent="0.55000000000000004">
      <c r="A14" s="234" t="s">
        <v>944</v>
      </c>
      <c r="B14" s="214" t="s">
        <v>954</v>
      </c>
      <c r="C14" s="235" t="s">
        <v>257</v>
      </c>
      <c r="D14" s="214" t="s">
        <v>955</v>
      </c>
      <c r="E14" s="214" t="s">
        <v>956</v>
      </c>
    </row>
    <row r="15" spans="1:5" ht="44.05" customHeight="1" x14ac:dyDescent="0.55000000000000004">
      <c r="A15" s="234" t="s">
        <v>944</v>
      </c>
      <c r="B15" s="214" t="s">
        <v>957</v>
      </c>
      <c r="C15" s="235" t="s">
        <v>257</v>
      </c>
      <c r="D15" s="214" t="s">
        <v>952</v>
      </c>
      <c r="E15" s="214" t="s">
        <v>958</v>
      </c>
    </row>
    <row r="16" spans="1:5" ht="44.05" customHeight="1" x14ac:dyDescent="0.55000000000000004">
      <c r="A16" s="234" t="s">
        <v>944</v>
      </c>
      <c r="B16" s="214" t="s">
        <v>959</v>
      </c>
      <c r="C16" s="235" t="s">
        <v>257</v>
      </c>
      <c r="D16" s="214" t="s">
        <v>952</v>
      </c>
      <c r="E16" s="214" t="s">
        <v>960</v>
      </c>
    </row>
    <row r="17" spans="1:5" ht="44.05" customHeight="1" x14ac:dyDescent="0.55000000000000004">
      <c r="A17" s="224" t="s">
        <v>961</v>
      </c>
      <c r="B17" s="214" t="s">
        <v>962</v>
      </c>
      <c r="C17" s="221" t="s">
        <v>257</v>
      </c>
      <c r="D17" s="214" t="s">
        <v>963</v>
      </c>
      <c r="E17" s="214" t="s">
        <v>964</v>
      </c>
    </row>
    <row r="18" spans="1:5" ht="44.05" customHeight="1" x14ac:dyDescent="0.55000000000000004">
      <c r="A18" s="224" t="s">
        <v>961</v>
      </c>
      <c r="B18" s="214" t="s">
        <v>965</v>
      </c>
      <c r="C18" s="222" t="s">
        <v>372</v>
      </c>
      <c r="D18" s="214" t="s">
        <v>963</v>
      </c>
      <c r="E18" s="214" t="s">
        <v>966</v>
      </c>
    </row>
    <row r="19" spans="1:5" ht="44.05" customHeight="1" x14ac:dyDescent="0.55000000000000004">
      <c r="A19" s="225" t="s">
        <v>967</v>
      </c>
      <c r="B19" s="214" t="s">
        <v>968</v>
      </c>
      <c r="C19" s="224" t="s">
        <v>969</v>
      </c>
      <c r="D19" s="214" t="s">
        <v>932</v>
      </c>
      <c r="E19" s="214" t="s">
        <v>970</v>
      </c>
    </row>
    <row r="20" spans="1:5" x14ac:dyDescent="0.55000000000000004">
      <c r="A20" s="225" t="s">
        <v>967</v>
      </c>
      <c r="B20" s="214" t="s">
        <v>971</v>
      </c>
      <c r="C20" s="224" t="s">
        <v>969</v>
      </c>
      <c r="D20" s="214" t="s">
        <v>932</v>
      </c>
      <c r="E20" s="214" t="s">
        <v>972</v>
      </c>
    </row>
    <row r="21" spans="1:5" ht="58" customHeight="1" x14ac:dyDescent="0.55000000000000004">
      <c r="A21" s="225" t="s">
        <v>967</v>
      </c>
      <c r="B21" s="214" t="s">
        <v>973</v>
      </c>
      <c r="C21" s="224" t="s">
        <v>969</v>
      </c>
      <c r="D21" s="214" t="s">
        <v>932</v>
      </c>
      <c r="E21" s="214" t="s">
        <v>974</v>
      </c>
    </row>
    <row r="22" spans="1:5" ht="58" customHeight="1" x14ac:dyDescent="0.55000000000000004"/>
    <row r="23" spans="1:5" ht="58" customHeight="1" x14ac:dyDescent="0.55000000000000004">
      <c r="A23" s="228" t="s">
        <v>930</v>
      </c>
      <c r="B23" s="214" t="s">
        <v>975</v>
      </c>
      <c r="C23" s="227" t="s">
        <v>257</v>
      </c>
      <c r="D23" s="214" t="s">
        <v>976</v>
      </c>
      <c r="E23" s="214" t="s">
        <v>977</v>
      </c>
    </row>
    <row r="24" spans="1:5" ht="58" customHeight="1" x14ac:dyDescent="0.55000000000000004">
      <c r="A24" s="229" t="s">
        <v>936</v>
      </c>
      <c r="B24" s="214" t="s">
        <v>978</v>
      </c>
      <c r="C24" s="233" t="s">
        <v>257</v>
      </c>
      <c r="D24" s="214" t="s">
        <v>979</v>
      </c>
      <c r="E24" s="214" t="s">
        <v>980</v>
      </c>
    </row>
    <row r="25" spans="1:5" ht="58" customHeight="1" x14ac:dyDescent="0.55000000000000004">
      <c r="A25" s="230" t="s">
        <v>936</v>
      </c>
      <c r="B25" s="214" t="s">
        <v>981</v>
      </c>
      <c r="C25" s="233" t="s">
        <v>257</v>
      </c>
      <c r="D25" s="214" t="s">
        <v>982</v>
      </c>
      <c r="E25" s="214" t="s">
        <v>983</v>
      </c>
    </row>
    <row r="26" spans="1:5" ht="43.2" customHeight="1" x14ac:dyDescent="0.55000000000000004">
      <c r="A26" s="230" t="s">
        <v>936</v>
      </c>
      <c r="B26" s="214" t="s">
        <v>984</v>
      </c>
      <c r="C26" s="232" t="s">
        <v>257</v>
      </c>
      <c r="D26" s="214" t="s">
        <v>979</v>
      </c>
      <c r="E26" s="214" t="s">
        <v>985</v>
      </c>
    </row>
    <row r="27" spans="1:5" ht="86.4" customHeight="1" x14ac:dyDescent="0.55000000000000004">
      <c r="A27" s="234" t="s">
        <v>944</v>
      </c>
      <c r="B27" s="214" t="s">
        <v>986</v>
      </c>
      <c r="C27" s="236" t="s">
        <v>257</v>
      </c>
      <c r="D27" s="214" t="s">
        <v>949</v>
      </c>
      <c r="E27" s="214" t="s">
        <v>987</v>
      </c>
    </row>
    <row r="28" spans="1:5" ht="72" customHeight="1" x14ac:dyDescent="0.55000000000000004">
      <c r="A28" s="226" t="s">
        <v>930</v>
      </c>
      <c r="B28" s="214" t="s">
        <v>988</v>
      </c>
      <c r="C28" t="s">
        <v>257</v>
      </c>
      <c r="D28" t="s">
        <v>989</v>
      </c>
    </row>
    <row r="29" spans="1:5" ht="57.6" customHeight="1" x14ac:dyDescent="0.55000000000000004">
      <c r="A29" t="s">
        <v>944</v>
      </c>
      <c r="B29" s="214" t="s">
        <v>990</v>
      </c>
      <c r="C29" t="s">
        <v>257</v>
      </c>
      <c r="D29" t="s">
        <v>949</v>
      </c>
    </row>
    <row r="30" spans="1:5" ht="72" customHeight="1" x14ac:dyDescent="0.55000000000000004">
      <c r="A30" t="s">
        <v>944</v>
      </c>
      <c r="B30" s="214" t="s">
        <v>991</v>
      </c>
      <c r="C30" t="s">
        <v>257</v>
      </c>
      <c r="D30" t="s">
        <v>992</v>
      </c>
    </row>
    <row r="31" spans="1:5" ht="72" customHeight="1" x14ac:dyDescent="0.55000000000000004">
      <c r="A31" t="s">
        <v>936</v>
      </c>
      <c r="B31" s="214" t="s">
        <v>993</v>
      </c>
      <c r="C31" t="s">
        <v>257</v>
      </c>
      <c r="D31" t="s">
        <v>994</v>
      </c>
    </row>
    <row r="32" spans="1:5" ht="57.6" customHeight="1" x14ac:dyDescent="0.55000000000000004">
      <c r="A32" t="s">
        <v>936</v>
      </c>
      <c r="B32" s="214" t="s">
        <v>995</v>
      </c>
      <c r="C32" t="s">
        <v>257</v>
      </c>
      <c r="D32" t="s">
        <v>996</v>
      </c>
    </row>
    <row r="33" spans="1:4" ht="72" customHeight="1" x14ac:dyDescent="0.55000000000000004">
      <c r="A33" t="s">
        <v>936</v>
      </c>
      <c r="B33" s="214" t="s">
        <v>997</v>
      </c>
      <c r="C33" t="s">
        <v>257</v>
      </c>
      <c r="D33" t="s">
        <v>994</v>
      </c>
    </row>
    <row r="34" spans="1:4" ht="72" customHeight="1" x14ac:dyDescent="0.55000000000000004">
      <c r="A34" t="s">
        <v>936</v>
      </c>
      <c r="B34" s="214" t="s">
        <v>998</v>
      </c>
      <c r="C34" t="s">
        <v>257</v>
      </c>
      <c r="D34" t="s">
        <v>999</v>
      </c>
    </row>
    <row r="35" spans="1:4" ht="72" customHeight="1" x14ac:dyDescent="0.55000000000000004">
      <c r="A35" t="s">
        <v>944</v>
      </c>
      <c r="B35" s="214" t="s">
        <v>1000</v>
      </c>
      <c r="C35" t="s">
        <v>257</v>
      </c>
      <c r="D35" t="s">
        <v>1001</v>
      </c>
    </row>
    <row r="36" spans="1:4" ht="86.4" customHeight="1" x14ac:dyDescent="0.55000000000000004">
      <c r="A36" t="s">
        <v>936</v>
      </c>
      <c r="B36" s="214" t="s">
        <v>1002</v>
      </c>
      <c r="C36" t="s">
        <v>257</v>
      </c>
      <c r="D36" t="s">
        <v>1003</v>
      </c>
    </row>
    <row r="37" spans="1:4" ht="72" customHeight="1" x14ac:dyDescent="0.55000000000000004">
      <c r="A37" t="s">
        <v>944</v>
      </c>
      <c r="B37" s="214" t="s">
        <v>1004</v>
      </c>
      <c r="C37" t="s">
        <v>257</v>
      </c>
      <c r="D37" t="s">
        <v>1003</v>
      </c>
    </row>
    <row r="38" spans="1:4" ht="57.6" customHeight="1" x14ac:dyDescent="0.55000000000000004">
      <c r="A38" t="s">
        <v>961</v>
      </c>
      <c r="B38" s="214" t="s">
        <v>1005</v>
      </c>
      <c r="C38" t="s">
        <v>257</v>
      </c>
      <c r="D38" t="s">
        <v>1003</v>
      </c>
    </row>
    <row r="39" spans="1:4" ht="86.4" customHeight="1" x14ac:dyDescent="0.55000000000000004">
      <c r="A39" t="s">
        <v>936</v>
      </c>
      <c r="B39" s="214" t="s">
        <v>1006</v>
      </c>
      <c r="C39" t="s">
        <v>257</v>
      </c>
      <c r="D39" t="s">
        <v>1003</v>
      </c>
    </row>
    <row r="40" spans="1:4" ht="57.6" customHeight="1" x14ac:dyDescent="0.55000000000000004">
      <c r="A40" t="s">
        <v>944</v>
      </c>
      <c r="B40" s="214" t="s">
        <v>1007</v>
      </c>
      <c r="C40" t="s">
        <v>257</v>
      </c>
      <c r="D40" t="s">
        <v>1003</v>
      </c>
    </row>
    <row r="41" spans="1:4" ht="100.8" customHeight="1" x14ac:dyDescent="0.55000000000000004">
      <c r="A41" t="s">
        <v>936</v>
      </c>
      <c r="B41" s="214" t="s">
        <v>1008</v>
      </c>
      <c r="C41" t="s">
        <v>257</v>
      </c>
      <c r="D41" t="s">
        <v>1009</v>
      </c>
    </row>
    <row r="42" spans="1:4" ht="57.6" customHeight="1" x14ac:dyDescent="0.55000000000000004">
      <c r="A42" t="s">
        <v>944</v>
      </c>
      <c r="B42" s="214" t="s">
        <v>1010</v>
      </c>
      <c r="C42" t="s">
        <v>257</v>
      </c>
      <c r="D42" t="s">
        <v>1009</v>
      </c>
    </row>
    <row r="43" spans="1:4" ht="86.4" customHeight="1" x14ac:dyDescent="0.55000000000000004">
      <c r="A43" t="s">
        <v>944</v>
      </c>
      <c r="B43" s="214" t="s">
        <v>1011</v>
      </c>
      <c r="C43" t="s">
        <v>257</v>
      </c>
      <c r="D43" t="s">
        <v>1012</v>
      </c>
    </row>
    <row r="44" spans="1:4" ht="72" customHeight="1" x14ac:dyDescent="0.55000000000000004">
      <c r="A44" t="s">
        <v>944</v>
      </c>
      <c r="B44" s="214" t="s">
        <v>1013</v>
      </c>
      <c r="C44" t="s">
        <v>257</v>
      </c>
      <c r="D44" t="s">
        <v>1012</v>
      </c>
    </row>
    <row r="45" spans="1:4" ht="43.2" customHeight="1" x14ac:dyDescent="0.55000000000000004">
      <c r="A45" t="s">
        <v>961</v>
      </c>
      <c r="B45" s="214" t="s">
        <v>1014</v>
      </c>
      <c r="C45" t="s">
        <v>16</v>
      </c>
      <c r="D45" t="s">
        <v>1015</v>
      </c>
    </row>
    <row r="46" spans="1:4" ht="72" customHeight="1" x14ac:dyDescent="0.55000000000000004">
      <c r="A46" s="273" t="s">
        <v>1016</v>
      </c>
      <c r="B46" s="214" t="s">
        <v>1017</v>
      </c>
      <c r="C46" t="s">
        <v>257</v>
      </c>
      <c r="D46" t="s">
        <v>1018</v>
      </c>
    </row>
    <row r="47" spans="1:4" ht="72" customHeight="1" x14ac:dyDescent="0.55000000000000004">
      <c r="A47" s="273" t="s">
        <v>1016</v>
      </c>
      <c r="B47" s="214" t="s">
        <v>1019</v>
      </c>
      <c r="C47" t="s">
        <v>257</v>
      </c>
      <c r="D47" t="s">
        <v>1020</v>
      </c>
    </row>
    <row r="48" spans="1:4" ht="57.6" customHeight="1" x14ac:dyDescent="0.55000000000000004">
      <c r="A48" s="273" t="s">
        <v>1016</v>
      </c>
      <c r="B48" s="214" t="s">
        <v>1021</v>
      </c>
      <c r="C48" t="s">
        <v>257</v>
      </c>
      <c r="D48" t="s">
        <v>1020</v>
      </c>
    </row>
    <row r="49" spans="1:5" ht="72" customHeight="1" x14ac:dyDescent="0.55000000000000004">
      <c r="A49" s="273" t="s">
        <v>1016</v>
      </c>
      <c r="B49" s="214" t="s">
        <v>1022</v>
      </c>
      <c r="C49" t="s">
        <v>257</v>
      </c>
      <c r="D49" t="s">
        <v>1020</v>
      </c>
    </row>
    <row r="50" spans="1:5" ht="86.4" customHeight="1" x14ac:dyDescent="0.55000000000000004">
      <c r="A50" s="273" t="s">
        <v>1016</v>
      </c>
      <c r="B50" s="214" t="s">
        <v>1023</v>
      </c>
      <c r="C50" t="s">
        <v>257</v>
      </c>
      <c r="D50" t="s">
        <v>1024</v>
      </c>
    </row>
    <row r="51" spans="1:5" ht="115.2" customHeight="1" x14ac:dyDescent="0.55000000000000004">
      <c r="A51" s="273" t="s">
        <v>1016</v>
      </c>
      <c r="B51" s="214" t="s">
        <v>1025</v>
      </c>
      <c r="C51" t="s">
        <v>257</v>
      </c>
      <c r="D51" t="s">
        <v>1026</v>
      </c>
    </row>
    <row r="52" spans="1:5" ht="100.8" customHeight="1" x14ac:dyDescent="0.55000000000000004">
      <c r="A52" s="273" t="s">
        <v>1016</v>
      </c>
      <c r="B52" s="214" t="s">
        <v>1027</v>
      </c>
      <c r="C52" t="s">
        <v>257</v>
      </c>
      <c r="D52" t="s">
        <v>1028</v>
      </c>
    </row>
    <row r="53" spans="1:5" ht="72" customHeight="1" x14ac:dyDescent="0.55000000000000004">
      <c r="A53" s="273" t="s">
        <v>1016</v>
      </c>
      <c r="B53" s="214" t="s">
        <v>1029</v>
      </c>
      <c r="C53" t="s">
        <v>16</v>
      </c>
      <c r="D53" t="s">
        <v>1026</v>
      </c>
    </row>
    <row r="54" spans="1:5" ht="100.8" customHeight="1" x14ac:dyDescent="0.55000000000000004">
      <c r="A54" s="273" t="s">
        <v>1016</v>
      </c>
      <c r="B54" s="214" t="s">
        <v>1030</v>
      </c>
      <c r="C54" t="s">
        <v>257</v>
      </c>
      <c r="D54" t="s">
        <v>1028</v>
      </c>
    </row>
    <row r="55" spans="1:5" ht="57.6" customHeight="1" x14ac:dyDescent="0.55000000000000004">
      <c r="A55" s="273" t="s">
        <v>1016</v>
      </c>
      <c r="B55" s="214" t="s">
        <v>1031</v>
      </c>
      <c r="C55" t="s">
        <v>257</v>
      </c>
      <c r="D55" t="s">
        <v>1032</v>
      </c>
    </row>
    <row r="56" spans="1:5" ht="43.2" customHeight="1" x14ac:dyDescent="0.55000000000000004">
      <c r="A56" s="273" t="s">
        <v>1016</v>
      </c>
      <c r="B56" s="214" t="s">
        <v>1033</v>
      </c>
      <c r="C56" t="s">
        <v>257</v>
      </c>
      <c r="D56" t="s">
        <v>1034</v>
      </c>
      <c r="E56" t="s">
        <v>1035</v>
      </c>
    </row>
    <row r="57" spans="1:5" ht="115.2" customHeight="1" x14ac:dyDescent="0.55000000000000004">
      <c r="A57" s="273" t="s">
        <v>1016</v>
      </c>
      <c r="B57" s="214" t="s">
        <v>1036</v>
      </c>
      <c r="C57" t="s">
        <v>257</v>
      </c>
      <c r="D57" t="s">
        <v>1037</v>
      </c>
    </row>
    <row r="58" spans="1:5" ht="57.6" customHeight="1" x14ac:dyDescent="0.55000000000000004">
      <c r="A58" s="273" t="s">
        <v>1016</v>
      </c>
      <c r="B58" s="214" t="s">
        <v>1038</v>
      </c>
      <c r="C58" t="s">
        <v>257</v>
      </c>
      <c r="D58" t="s">
        <v>1037</v>
      </c>
    </row>
    <row r="59" spans="1:5" ht="72" customHeight="1" x14ac:dyDescent="0.55000000000000004">
      <c r="A59" s="273" t="s">
        <v>1016</v>
      </c>
      <c r="B59" s="214" t="s">
        <v>1039</v>
      </c>
      <c r="C59" t="s">
        <v>257</v>
      </c>
      <c r="D59" t="s">
        <v>1037</v>
      </c>
    </row>
    <row r="60" spans="1:5" ht="57.6" customHeight="1" x14ac:dyDescent="0.55000000000000004">
      <c r="A60" s="273" t="s">
        <v>1016</v>
      </c>
      <c r="B60" s="214" t="s">
        <v>1040</v>
      </c>
      <c r="C60" t="s">
        <v>16</v>
      </c>
      <c r="D60" t="s">
        <v>1037</v>
      </c>
    </row>
    <row r="61" spans="1:5" ht="72" customHeight="1" x14ac:dyDescent="0.55000000000000004">
      <c r="A61" s="273" t="s">
        <v>1041</v>
      </c>
      <c r="B61" s="214" t="s">
        <v>1042</v>
      </c>
      <c r="C61" t="s">
        <v>257</v>
      </c>
      <c r="D61" t="s">
        <v>1009</v>
      </c>
    </row>
    <row r="62" spans="1:5" ht="72" customHeight="1" x14ac:dyDescent="0.55000000000000004">
      <c r="A62" s="273" t="s">
        <v>1041</v>
      </c>
      <c r="B62" s="214" t="s">
        <v>1043</v>
      </c>
      <c r="C62" t="s">
        <v>257</v>
      </c>
      <c r="D62" t="s">
        <v>1009</v>
      </c>
    </row>
    <row r="63" spans="1:5" ht="72" customHeight="1" x14ac:dyDescent="0.55000000000000004">
      <c r="A63" s="273" t="s">
        <v>1041</v>
      </c>
      <c r="B63" s="214" t="s">
        <v>1044</v>
      </c>
      <c r="C63" t="s">
        <v>257</v>
      </c>
      <c r="D63" t="s">
        <v>1009</v>
      </c>
    </row>
    <row r="64" spans="1:5" ht="86.4" customHeight="1" x14ac:dyDescent="0.55000000000000004">
      <c r="A64" s="273" t="s">
        <v>1016</v>
      </c>
      <c r="B64" s="214" t="s">
        <v>1045</v>
      </c>
      <c r="C64" t="s">
        <v>257</v>
      </c>
      <c r="D64" t="s">
        <v>1046</v>
      </c>
    </row>
    <row r="65" spans="1:5" ht="72" customHeight="1" x14ac:dyDescent="0.55000000000000004">
      <c r="A65" s="273" t="s">
        <v>1016</v>
      </c>
      <c r="B65" s="214" t="s">
        <v>1047</v>
      </c>
      <c r="C65" t="s">
        <v>257</v>
      </c>
      <c r="D65" t="s">
        <v>1046</v>
      </c>
    </row>
    <row r="66" spans="1:5" ht="72" customHeight="1" x14ac:dyDescent="0.55000000000000004">
      <c r="A66" s="273" t="s">
        <v>1016</v>
      </c>
      <c r="B66" s="214" t="s">
        <v>1048</v>
      </c>
      <c r="C66" t="s">
        <v>257</v>
      </c>
      <c r="D66" t="s">
        <v>1046</v>
      </c>
    </row>
    <row r="67" spans="1:5" ht="86.4" customHeight="1" x14ac:dyDescent="0.55000000000000004">
      <c r="A67" s="273" t="s">
        <v>1049</v>
      </c>
      <c r="B67" s="214" t="s">
        <v>1050</v>
      </c>
      <c r="C67" t="s">
        <v>257</v>
      </c>
      <c r="D67" t="s">
        <v>1009</v>
      </c>
    </row>
    <row r="68" spans="1:5" ht="72" customHeight="1" x14ac:dyDescent="0.55000000000000004">
      <c r="A68" s="273" t="s">
        <v>1049</v>
      </c>
      <c r="B68" s="214" t="s">
        <v>1051</v>
      </c>
      <c r="C68" t="s">
        <v>257</v>
      </c>
      <c r="D68" t="s">
        <v>1009</v>
      </c>
    </row>
    <row r="69" spans="1:5" ht="57.6" customHeight="1" x14ac:dyDescent="0.55000000000000004">
      <c r="A69" s="273" t="s">
        <v>1049</v>
      </c>
      <c r="B69" s="214" t="s">
        <v>1052</v>
      </c>
      <c r="C69" t="s">
        <v>257</v>
      </c>
      <c r="D69" t="s">
        <v>1009</v>
      </c>
    </row>
    <row r="70" spans="1:5" ht="86.4" customHeight="1" x14ac:dyDescent="0.55000000000000004">
      <c r="A70" s="273" t="s">
        <v>1016</v>
      </c>
      <c r="B70" s="214" t="s">
        <v>1053</v>
      </c>
      <c r="C70" t="s">
        <v>257</v>
      </c>
      <c r="D70" t="s">
        <v>1054</v>
      </c>
    </row>
    <row r="71" spans="1:5" ht="43.2" customHeight="1" x14ac:dyDescent="0.55000000000000004">
      <c r="A71" s="273" t="s">
        <v>1016</v>
      </c>
      <c r="B71" s="214" t="s">
        <v>1055</v>
      </c>
      <c r="C71" t="s">
        <v>257</v>
      </c>
      <c r="D71" t="s">
        <v>1054</v>
      </c>
    </row>
    <row r="72" spans="1:5" ht="72" customHeight="1" x14ac:dyDescent="0.55000000000000004">
      <c r="A72" s="273" t="s">
        <v>1016</v>
      </c>
      <c r="B72" s="214" t="s">
        <v>1056</v>
      </c>
      <c r="C72" t="s">
        <v>257</v>
      </c>
      <c r="D72" t="s">
        <v>1054</v>
      </c>
    </row>
    <row r="73" spans="1:5" ht="57.6" customHeight="1" x14ac:dyDescent="0.55000000000000004">
      <c r="A73" s="273" t="s">
        <v>1016</v>
      </c>
      <c r="B73" s="214" t="s">
        <v>1057</v>
      </c>
      <c r="C73" t="s">
        <v>257</v>
      </c>
      <c r="D73" t="s">
        <v>1054</v>
      </c>
      <c r="E73" t="s">
        <v>1058</v>
      </c>
    </row>
    <row r="75" spans="1:5" x14ac:dyDescent="0.55000000000000004">
      <c r="A75" s="273" t="s">
        <v>936</v>
      </c>
      <c r="B75" t="s">
        <v>1059</v>
      </c>
      <c r="C75" t="s">
        <v>257</v>
      </c>
      <c r="D75" t="s">
        <v>1009</v>
      </c>
      <c r="E75" t="s">
        <v>1060</v>
      </c>
    </row>
    <row r="76" spans="1:5" x14ac:dyDescent="0.55000000000000004">
      <c r="A76" s="273" t="s">
        <v>936</v>
      </c>
      <c r="B76" t="s">
        <v>1061</v>
      </c>
      <c r="C76" t="s">
        <v>257</v>
      </c>
      <c r="D76" t="s">
        <v>1062</v>
      </c>
      <c r="E76" t="s">
        <v>1063</v>
      </c>
    </row>
    <row r="77" spans="1:5" x14ac:dyDescent="0.55000000000000004">
      <c r="A77" s="273" t="s">
        <v>936</v>
      </c>
      <c r="B77" t="s">
        <v>1064</v>
      </c>
      <c r="C77" t="s">
        <v>257</v>
      </c>
      <c r="D77" t="s">
        <v>1018</v>
      </c>
      <c r="E77" t="s">
        <v>1065</v>
      </c>
    </row>
    <row r="78" spans="1:5" x14ac:dyDescent="0.55000000000000004">
      <c r="A78" s="273" t="s">
        <v>944</v>
      </c>
      <c r="B78" t="s">
        <v>1066</v>
      </c>
      <c r="C78" t="s">
        <v>257</v>
      </c>
      <c r="D78" t="s">
        <v>1067</v>
      </c>
      <c r="E78" t="s">
        <v>1068</v>
      </c>
    </row>
    <row r="79" spans="1:5" x14ac:dyDescent="0.55000000000000004">
      <c r="A79" s="273" t="s">
        <v>944</v>
      </c>
      <c r="B79" t="s">
        <v>1069</v>
      </c>
      <c r="C79" t="s">
        <v>257</v>
      </c>
      <c r="D79" t="s">
        <v>1067</v>
      </c>
      <c r="E79" t="s">
        <v>1070</v>
      </c>
    </row>
    <row r="80" spans="1:5" x14ac:dyDescent="0.55000000000000004">
      <c r="A80" s="273" t="s">
        <v>936</v>
      </c>
      <c r="B80" t="s">
        <v>1071</v>
      </c>
      <c r="C80" t="s">
        <v>257</v>
      </c>
      <c r="D80" t="s">
        <v>1018</v>
      </c>
      <c r="E80" t="s">
        <v>1072</v>
      </c>
    </row>
    <row r="81" spans="1:5" x14ac:dyDescent="0.55000000000000004">
      <c r="A81" s="273" t="s">
        <v>930</v>
      </c>
      <c r="B81" t="s">
        <v>1073</v>
      </c>
      <c r="C81" t="s">
        <v>257</v>
      </c>
      <c r="D81" t="s">
        <v>1054</v>
      </c>
      <c r="E81" t="s">
        <v>1074</v>
      </c>
    </row>
    <row r="82" spans="1:5" x14ac:dyDescent="0.55000000000000004">
      <c r="A82" s="273" t="s">
        <v>930</v>
      </c>
      <c r="B82" t="s">
        <v>1075</v>
      </c>
      <c r="C82" t="s">
        <v>257</v>
      </c>
      <c r="D82" t="s">
        <v>1054</v>
      </c>
      <c r="E82" t="s">
        <v>1076</v>
      </c>
    </row>
    <row r="83" spans="1:5" x14ac:dyDescent="0.55000000000000004">
      <c r="A83" s="273" t="s">
        <v>936</v>
      </c>
      <c r="B83" t="s">
        <v>174</v>
      </c>
      <c r="C83" t="s">
        <v>257</v>
      </c>
      <c r="D83" t="s">
        <v>1009</v>
      </c>
      <c r="E83" t="s">
        <v>1077</v>
      </c>
    </row>
    <row r="84" spans="1:5" x14ac:dyDescent="0.55000000000000004">
      <c r="A84" s="273" t="s">
        <v>930</v>
      </c>
      <c r="B84" t="s">
        <v>1078</v>
      </c>
      <c r="C84" t="s">
        <v>257</v>
      </c>
      <c r="D84" t="s">
        <v>1079</v>
      </c>
      <c r="E84" t="s">
        <v>1080</v>
      </c>
    </row>
    <row r="85" spans="1:5" x14ac:dyDescent="0.55000000000000004">
      <c r="A85" s="273" t="s">
        <v>944</v>
      </c>
      <c r="B85" t="s">
        <v>1081</v>
      </c>
      <c r="C85" t="s">
        <v>257</v>
      </c>
      <c r="D85" t="s">
        <v>1079</v>
      </c>
      <c r="E85" t="s">
        <v>1082</v>
      </c>
    </row>
    <row r="86" spans="1:5" x14ac:dyDescent="0.55000000000000004">
      <c r="A86" s="273" t="s">
        <v>967</v>
      </c>
      <c r="B86" t="s">
        <v>1083</v>
      </c>
      <c r="C86" t="s">
        <v>257</v>
      </c>
      <c r="D86" t="s">
        <v>1084</v>
      </c>
      <c r="E86" t="s">
        <v>1085</v>
      </c>
    </row>
    <row r="87" spans="1:5" x14ac:dyDescent="0.55000000000000004">
      <c r="A87" s="273" t="s">
        <v>944</v>
      </c>
      <c r="B87" t="s">
        <v>1086</v>
      </c>
      <c r="C87" t="s">
        <v>16</v>
      </c>
      <c r="D87" t="s">
        <v>1087</v>
      </c>
      <c r="E87" t="s">
        <v>1088</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0" t="s">
        <v>1089</v>
      </c>
    </row>
    <row r="2" spans="1:9" x14ac:dyDescent="0.55000000000000004">
      <c r="A2" s="211" t="s">
        <v>1090</v>
      </c>
    </row>
    <row r="4" spans="1:9" x14ac:dyDescent="0.55000000000000004">
      <c r="A4" s="212" t="s">
        <v>1091</v>
      </c>
      <c r="B4" s="212" t="s">
        <v>1092</v>
      </c>
      <c r="C4" s="212" t="s">
        <v>1093</v>
      </c>
      <c r="D4" s="212" t="s">
        <v>1094</v>
      </c>
      <c r="E4" s="212" t="s">
        <v>1095</v>
      </c>
      <c r="F4" s="212" t="s">
        <v>1096</v>
      </c>
      <c r="G4" s="212" t="s">
        <v>1097</v>
      </c>
      <c r="H4" s="212" t="s">
        <v>4</v>
      </c>
      <c r="I4" s="212" t="s">
        <v>1098</v>
      </c>
    </row>
    <row r="5" spans="1:9" ht="62.05" customHeight="1" x14ac:dyDescent="0.55000000000000004">
      <c r="A5" s="213" t="s">
        <v>1099</v>
      </c>
      <c r="B5" s="214" t="s">
        <v>1100</v>
      </c>
      <c r="C5" s="214" t="s">
        <v>1101</v>
      </c>
      <c r="D5" s="214" t="s">
        <v>1102</v>
      </c>
      <c r="E5" s="214" t="s">
        <v>1103</v>
      </c>
      <c r="F5" s="214" t="s">
        <v>1104</v>
      </c>
      <c r="G5" s="214" t="s">
        <v>1105</v>
      </c>
      <c r="H5" s="215" t="s">
        <v>1106</v>
      </c>
      <c r="I5" s="214" t="s">
        <v>1107</v>
      </c>
    </row>
    <row r="6" spans="1:9" ht="62.05" customHeight="1" x14ac:dyDescent="0.55000000000000004">
      <c r="A6" s="213" t="s">
        <v>1108</v>
      </c>
      <c r="B6" s="214" t="s">
        <v>1109</v>
      </c>
      <c r="C6" s="214" t="s">
        <v>1110</v>
      </c>
      <c r="D6" s="214" t="s">
        <v>1111</v>
      </c>
      <c r="E6" s="214" t="s">
        <v>1112</v>
      </c>
      <c r="F6" s="214" t="s">
        <v>1113</v>
      </c>
      <c r="G6" s="214" t="s">
        <v>1114</v>
      </c>
      <c r="H6" s="216" t="s">
        <v>1106</v>
      </c>
      <c r="I6" s="214" t="s">
        <v>1115</v>
      </c>
    </row>
    <row r="7" spans="1:9" ht="62.05" customHeight="1" x14ac:dyDescent="0.55000000000000004">
      <c r="A7" s="213" t="s">
        <v>1116</v>
      </c>
      <c r="B7" s="214" t="s">
        <v>1117</v>
      </c>
      <c r="C7" s="214" t="s">
        <v>1118</v>
      </c>
      <c r="D7" s="214" t="s">
        <v>1119</v>
      </c>
      <c r="E7" s="214" t="s">
        <v>1120</v>
      </c>
      <c r="F7" s="214" t="s">
        <v>1121</v>
      </c>
      <c r="G7" s="214" t="s">
        <v>1122</v>
      </c>
      <c r="H7" s="216" t="s">
        <v>1106</v>
      </c>
      <c r="I7" s="214" t="s">
        <v>1123</v>
      </c>
    </row>
    <row r="8" spans="1:9" ht="62.05" customHeight="1" x14ac:dyDescent="0.55000000000000004">
      <c r="A8" s="213" t="s">
        <v>1124</v>
      </c>
      <c r="B8" s="214" t="s">
        <v>1125</v>
      </c>
      <c r="C8" s="214" t="s">
        <v>1126</v>
      </c>
      <c r="D8" s="214" t="s">
        <v>1127</v>
      </c>
      <c r="E8" s="214" t="s">
        <v>120</v>
      </c>
      <c r="F8" s="214" t="s">
        <v>120</v>
      </c>
      <c r="G8" s="214" t="s">
        <v>120</v>
      </c>
      <c r="H8" s="215" t="s">
        <v>1128</v>
      </c>
      <c r="I8" s="214" t="s">
        <v>1129</v>
      </c>
    </row>
    <row r="9" spans="1:9" ht="62.05" customHeight="1" x14ac:dyDescent="0.55000000000000004">
      <c r="A9" s="213" t="s">
        <v>1130</v>
      </c>
      <c r="B9" s="214" t="s">
        <v>1131</v>
      </c>
      <c r="C9" s="214" t="s">
        <v>1132</v>
      </c>
      <c r="D9" s="214" t="s">
        <v>1127</v>
      </c>
      <c r="E9" s="214" t="s">
        <v>1120</v>
      </c>
      <c r="F9" s="214" t="s">
        <v>1133</v>
      </c>
      <c r="G9" s="214" t="s">
        <v>1134</v>
      </c>
      <c r="H9" s="217" t="s">
        <v>1135</v>
      </c>
      <c r="I9" s="214" t="s">
        <v>1136</v>
      </c>
    </row>
    <row r="10" spans="1:9" ht="62.05" customHeight="1" x14ac:dyDescent="0.55000000000000004">
      <c r="A10" s="213" t="s">
        <v>1137</v>
      </c>
      <c r="B10" s="214" t="s">
        <v>1138</v>
      </c>
      <c r="C10" s="214" t="s">
        <v>1139</v>
      </c>
      <c r="D10" s="214" t="s">
        <v>1140</v>
      </c>
      <c r="E10" s="214" t="s">
        <v>1141</v>
      </c>
      <c r="F10" s="214" t="s">
        <v>1142</v>
      </c>
      <c r="G10" s="214" t="s">
        <v>1143</v>
      </c>
      <c r="H10" s="217" t="s">
        <v>1144</v>
      </c>
      <c r="I10" s="214" t="s">
        <v>1145</v>
      </c>
    </row>
    <row r="11" spans="1:9" ht="62.05" customHeight="1" x14ac:dyDescent="0.55000000000000004">
      <c r="A11" s="213" t="s">
        <v>1146</v>
      </c>
      <c r="B11" s="214" t="s">
        <v>1147</v>
      </c>
      <c r="C11" s="214" t="s">
        <v>1148</v>
      </c>
      <c r="D11" s="214" t="s">
        <v>1149</v>
      </c>
      <c r="E11" s="214" t="s">
        <v>120</v>
      </c>
      <c r="F11" s="214" t="s">
        <v>120</v>
      </c>
      <c r="G11" s="214" t="s">
        <v>1150</v>
      </c>
      <c r="H11" s="217" t="s">
        <v>1151</v>
      </c>
      <c r="I11" s="214" t="s">
        <v>1152</v>
      </c>
    </row>
    <row r="12" spans="1:9" ht="62.05" customHeight="1" x14ac:dyDescent="0.55000000000000004">
      <c r="A12" s="213" t="s">
        <v>1153</v>
      </c>
      <c r="B12" s="214" t="s">
        <v>1154</v>
      </c>
      <c r="C12" s="214" t="s">
        <v>1155</v>
      </c>
      <c r="D12" s="214" t="s">
        <v>1156</v>
      </c>
      <c r="E12" s="214" t="s">
        <v>120</v>
      </c>
      <c r="F12" s="214" t="s">
        <v>120</v>
      </c>
      <c r="G12" s="214" t="s">
        <v>1150</v>
      </c>
      <c r="H12" s="216" t="s">
        <v>1157</v>
      </c>
      <c r="I12" s="214" t="s">
        <v>1158</v>
      </c>
    </row>
    <row r="13" spans="1:9" ht="62.05" customHeight="1" x14ac:dyDescent="0.55000000000000004">
      <c r="A13" s="213" t="s">
        <v>1159</v>
      </c>
      <c r="B13" s="214" t="s">
        <v>1160</v>
      </c>
      <c r="C13" s="214" t="s">
        <v>1161</v>
      </c>
      <c r="D13" s="214" t="s">
        <v>120</v>
      </c>
      <c r="E13" s="214" t="s">
        <v>120</v>
      </c>
      <c r="F13" s="214" t="s">
        <v>120</v>
      </c>
      <c r="G13" s="214" t="s">
        <v>120</v>
      </c>
      <c r="H13" s="217" t="s">
        <v>1162</v>
      </c>
      <c r="I13" s="214" t="s">
        <v>1163</v>
      </c>
    </row>
    <row r="14" spans="1:9" ht="62.05" customHeight="1" x14ac:dyDescent="0.55000000000000004">
      <c r="A14" s="213" t="s">
        <v>1164</v>
      </c>
      <c r="B14" s="214" t="s">
        <v>1165</v>
      </c>
      <c r="C14" s="214" t="s">
        <v>1161</v>
      </c>
      <c r="D14" s="214" t="s">
        <v>120</v>
      </c>
      <c r="E14" s="214" t="s">
        <v>120</v>
      </c>
      <c r="F14" s="214" t="s">
        <v>120</v>
      </c>
      <c r="G14" s="214" t="s">
        <v>120</v>
      </c>
      <c r="H14" s="217" t="s">
        <v>1162</v>
      </c>
      <c r="I14" s="214" t="s">
        <v>1166</v>
      </c>
    </row>
    <row r="16" spans="1:9" x14ac:dyDescent="0.55000000000000004">
      <c r="A16" s="314" t="s">
        <v>1167</v>
      </c>
      <c r="B16" s="294"/>
      <c r="C16" s="294"/>
      <c r="D16" s="294"/>
      <c r="E16" s="294"/>
      <c r="F16" s="294"/>
      <c r="G16" s="294"/>
      <c r="H16" s="294"/>
      <c r="I16" s="294"/>
    </row>
    <row r="18" spans="1:1" x14ac:dyDescent="0.55000000000000004">
      <c r="A18" s="211" t="s">
        <v>1168</v>
      </c>
    </row>
    <row r="20" spans="1:1" x14ac:dyDescent="0.55000000000000004">
      <c r="A20" s="211" t="s">
        <v>1169</v>
      </c>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2026-10-04T21:56:05Z</dcterms:modified>
</cp:coreProperties>
</file>