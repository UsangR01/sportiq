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IdeaProjects\SportIQ\"/>
    </mc:Choice>
  </mc:AlternateContent>
  <xr:revisionPtr revIDLastSave="0" documentId="13_ncr:1_{6A4D9982-1D7E-400A-8397-347A7E33FA50}" xr6:coauthVersionLast="47" xr6:coauthVersionMax="47" xr10:uidLastSave="{00000000-0000-0000-0000-000000000000}"/>
  <bookViews>
    <workbookView xWindow="-96" yWindow="-96" windowWidth="23232" windowHeight="12432" activeTab="3" xr2:uid="{00000000-000D-0000-FFFF-FFFF00000000}"/>
  </bookViews>
  <sheets>
    <sheet name="Delivery Board" sheetId="1" r:id="rId1"/>
    <sheet name="Architecture" sheetId="2" r:id="rId2"/>
    <sheet name="Epic Summary" sheetId="3" r:id="rId3"/>
    <sheet name="Risks &amp; Decisions" sheetId="4" r:id="rId4"/>
    <sheet name="Edge Measurement" sheetId="5" r:id="rId5"/>
    <sheet name="APIs &amp; Quota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91" i="1" l="1"/>
  <c r="R290" i="1"/>
  <c r="R289" i="1"/>
  <c r="R288" i="1"/>
  <c r="R287" i="1"/>
  <c r="R286" i="1"/>
  <c r="R285" i="1"/>
  <c r="R284" i="1"/>
  <c r="R283" i="1"/>
  <c r="R282" i="1"/>
  <c r="R281" i="1"/>
  <c r="R280" i="1"/>
  <c r="R277" i="1"/>
  <c r="R278" i="1" s="1"/>
  <c r="R279" i="1" s="1"/>
  <c r="R276" i="1"/>
  <c r="R275" i="1"/>
  <c r="R274" i="1"/>
  <c r="R272" i="1"/>
  <c r="R273" i="1" s="1"/>
  <c r="R271" i="1"/>
  <c r="R268" i="1"/>
  <c r="R269" i="1" s="1"/>
  <c r="R270" i="1" s="1"/>
  <c r="R267" i="1"/>
  <c r="R266" i="1"/>
  <c r="R265" i="1"/>
  <c r="R264" i="1"/>
  <c r="R263" i="1"/>
  <c r="R262" i="1"/>
  <c r="R260" i="1"/>
  <c r="R261" i="1" s="1"/>
  <c r="R259" i="1"/>
  <c r="R258" i="1"/>
  <c r="R257" i="1"/>
  <c r="R256" i="1"/>
  <c r="R254" i="1"/>
  <c r="R255" i="1" s="1"/>
  <c r="R253" i="1"/>
  <c r="R247" i="1"/>
  <c r="R248" i="1" s="1"/>
  <c r="R249" i="1" s="1"/>
  <c r="R250" i="1" s="1"/>
  <c r="R251" i="1" s="1"/>
  <c r="R252" i="1" s="1"/>
  <c r="R243" i="1"/>
  <c r="R244" i="1" s="1"/>
  <c r="R245" i="1" s="1"/>
  <c r="R246" i="1" s="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4" i="1"/>
  <c r="R205" i="1" s="1"/>
  <c r="R203" i="1"/>
  <c r="R201" i="1"/>
  <c r="R202" i="1" s="1"/>
  <c r="R200" i="1"/>
  <c r="R199" i="1"/>
  <c r="R198" i="1"/>
  <c r="R197" i="1"/>
  <c r="R196" i="1"/>
  <c r="R194" i="1"/>
  <c r="R195" i="1" s="1"/>
  <c r="R193" i="1"/>
  <c r="R192" i="1"/>
  <c r="R191" i="1"/>
  <c r="R190" i="1"/>
  <c r="R189" i="1"/>
  <c r="R188" i="1"/>
  <c r="R186" i="1"/>
  <c r="R187" i="1" s="1"/>
  <c r="R185" i="1"/>
  <c r="R184" i="1"/>
  <c r="R182" i="1"/>
  <c r="R183" i="1" s="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0" i="1"/>
  <c r="R81" i="1" s="1"/>
  <c r="R82" i="1" s="1"/>
  <c r="R83" i="1" s="1"/>
  <c r="R84" i="1" s="1"/>
  <c r="R85" i="1" s="1"/>
  <c r="R66" i="1"/>
  <c r="R67" i="1" s="1"/>
  <c r="R68" i="1" s="1"/>
  <c r="R69" i="1" s="1"/>
  <c r="R70" i="1" s="1"/>
  <c r="R71" i="1" s="1"/>
  <c r="R72" i="1" s="1"/>
  <c r="R73" i="1" s="1"/>
  <c r="R74" i="1" s="1"/>
  <c r="R75" i="1" s="1"/>
  <c r="R76" i="1" s="1"/>
  <c r="R77" i="1" s="1"/>
  <c r="R78" i="1" s="1"/>
  <c r="R79" i="1" s="1"/>
  <c r="R52" i="1"/>
  <c r="R53" i="1" s="1"/>
  <c r="R54" i="1" s="1"/>
  <c r="R55" i="1" s="1"/>
  <c r="R56" i="1" s="1"/>
  <c r="R57" i="1" s="1"/>
  <c r="R58" i="1" s="1"/>
  <c r="R59" i="1" s="1"/>
  <c r="R60" i="1" s="1"/>
  <c r="R61" i="1" s="1"/>
  <c r="R62" i="1" s="1"/>
  <c r="R63" i="1" s="1"/>
  <c r="R64" i="1" s="1"/>
  <c r="R65" i="1" s="1"/>
  <c r="R38" i="1"/>
  <c r="R39" i="1" s="1"/>
  <c r="R40" i="1" s="1"/>
  <c r="R41" i="1" s="1"/>
  <c r="R42" i="1" s="1"/>
  <c r="R43" i="1" s="1"/>
  <c r="R44" i="1" s="1"/>
  <c r="R45" i="1" s="1"/>
  <c r="R46" i="1" s="1"/>
  <c r="R47" i="1" s="1"/>
  <c r="R48" i="1" s="1"/>
  <c r="R49" i="1" s="1"/>
  <c r="R50" i="1" s="1"/>
  <c r="R51" i="1" s="1"/>
  <c r="R31" i="1"/>
  <c r="R32" i="1" s="1"/>
  <c r="R33" i="1" s="1"/>
  <c r="R34" i="1" s="1"/>
  <c r="R35" i="1" s="1"/>
  <c r="R36" i="1" s="1"/>
  <c r="R37" i="1" s="1"/>
  <c r="R28" i="1"/>
  <c r="R29" i="1" s="1"/>
  <c r="R30" i="1" s="1"/>
  <c r="R27" i="1"/>
  <c r="R22" i="1"/>
  <c r="R23" i="1" s="1"/>
  <c r="R24" i="1" s="1"/>
  <c r="R25" i="1" s="1"/>
  <c r="R26" i="1" s="1"/>
  <c r="R17" i="1"/>
  <c r="R18" i="1" s="1"/>
  <c r="R19" i="1" s="1"/>
  <c r="R20" i="1" s="1"/>
  <c r="R21" i="1" s="1"/>
  <c r="R14" i="1"/>
  <c r="R15" i="1" s="1"/>
  <c r="R16" i="1" s="1"/>
  <c r="R9" i="1"/>
  <c r="R10" i="1" s="1"/>
  <c r="R11" i="1" s="1"/>
  <c r="R12" i="1" s="1"/>
  <c r="R13" i="1" s="1"/>
  <c r="R5" i="1"/>
  <c r="R6" i="1" l="1"/>
  <c r="R7" i="1" s="1"/>
  <c r="R8" i="1" s="1"/>
  <c r="E6" i="3"/>
  <c r="C8" i="3"/>
  <c r="D11" i="3"/>
  <c r="E14" i="3"/>
  <c r="C13" i="3"/>
  <c r="D5" i="3"/>
  <c r="E8" i="3"/>
  <c r="C10" i="3"/>
  <c r="D13" i="3"/>
  <c r="D10" i="3"/>
  <c r="E13" i="3"/>
  <c r="C4" i="3"/>
  <c r="D7" i="3"/>
  <c r="E10" i="3"/>
  <c r="C12" i="3"/>
  <c r="C9" i="3"/>
  <c r="D12" i="3"/>
  <c r="E4" i="3"/>
  <c r="C6" i="3"/>
  <c r="D9" i="3"/>
  <c r="E12" i="3"/>
  <c r="E9" i="3"/>
  <c r="C11" i="3"/>
  <c r="E7" i="3" l="1"/>
  <c r="C7" i="3"/>
  <c r="D8" i="3"/>
  <c r="B8" i="3" s="1"/>
  <c r="F8" i="3" s="1"/>
  <c r="D14" i="3"/>
  <c r="E11" i="3"/>
  <c r="B11" i="3" s="1"/>
  <c r="F11" i="3" s="1"/>
  <c r="D6" i="3"/>
  <c r="B6" i="3" s="1"/>
  <c r="F6" i="3" s="1"/>
  <c r="C14" i="3"/>
  <c r="D4" i="3"/>
  <c r="E5" i="3"/>
  <c r="E16" i="3" s="1"/>
  <c r="C5" i="3"/>
  <c r="B5" i="3" s="1"/>
  <c r="F5" i="3" s="1"/>
  <c r="B13" i="3"/>
  <c r="F13" i="3" s="1"/>
  <c r="B9" i="3"/>
  <c r="F9" i="3" s="1"/>
  <c r="B7" i="3"/>
  <c r="F7" i="3" s="1"/>
  <c r="B12" i="3"/>
  <c r="F12" i="3" s="1"/>
  <c r="B10" i="3"/>
  <c r="F10" i="3" s="1"/>
  <c r="B4" i="3"/>
  <c r="D16" i="3" l="1"/>
  <c r="C16" i="3"/>
  <c r="B14" i="3"/>
  <c r="F14" i="3" s="1"/>
  <c r="F4" i="3"/>
  <c r="B16" i="3"/>
  <c r="B18" i="3" l="1"/>
  <c r="F16" i="3"/>
</calcChain>
</file>

<file path=xl/sharedStrings.xml><?xml version="1.0" encoding="utf-8"?>
<sst xmlns="http://schemas.openxmlformats.org/spreadsheetml/2006/main" count="2660" uniqueCount="1200">
  <si>
    <t>Risks, Blockers &amp; Open Decisions</t>
  </si>
  <si>
    <t>Item</t>
  </si>
  <si>
    <t>Type</t>
  </si>
  <si>
    <t>Impact</t>
  </si>
  <si>
    <t>Status</t>
  </si>
  <si>
    <t>Action / Owner decision</t>
  </si>
  <si>
    <t>Model edge is unproven</t>
  </si>
  <si>
    <t>Risk</t>
  </si>
  <si>
    <t>Critical</t>
  </si>
  <si>
    <t>Open</t>
  </si>
  <si>
    <t>1X2 +1.9pp over baseline; O/U ~base-rate. Retrain with xG is the decision point.</t>
  </si>
  <si>
    <t>Over/Under surfaced most, has least signal</t>
  </si>
  <si>
    <t>High</t>
  </si>
  <si>
    <t>GO/NO-GO 2026-08-10 — surface fewer markets rather than ship confident-looking noise.</t>
  </si>
  <si>
    <t>Not deployed anywhere</t>
  </si>
  <si>
    <t>Blocker</t>
  </si>
  <si>
    <t>Planned</t>
  </si>
  <si>
    <t>No infra/, absolute Windows artefact path. ~2-4 weeks of work.</t>
  </si>
  <si>
    <t>No monitoring — silent failures</t>
  </si>
  <si>
    <t>Injury worker failed for weeks unnoticed; Docker down looked like an app bug.</t>
  </si>
  <si>
    <t>TheRundown quota exhausted</t>
  </si>
  <si>
    <t>Medium</t>
  </si>
  <si>
    <t>Decision</t>
  </si>
  <si>
    <t>Pro $99.99/mo before EPL opens 21 Aug, or narrow + stay on Basic.</t>
  </si>
  <si>
    <t>API-Football is a single point of failure</t>
  </si>
  <si>
    <t>Accepted</t>
  </si>
  <si>
    <t>Fixtures, stats, injuries, H2H, lineups all from one vendor. Auto-renews.</t>
  </si>
  <si>
    <t>European odds may need no vendor at all</t>
  </si>
  <si>
    <t>Opportunity</t>
  </si>
  <si>
    <t>Re-test coverage.odds on 21 Aug; could make TheRundown NBA-only.</t>
  </si>
  <si>
    <t>No EAS project</t>
  </si>
  <si>
    <t>Cannot ship the app to a single user, nor mint push tokens.</t>
  </si>
  <si>
    <t>WTA blocked on subscription</t>
  </si>
  <si>
    <t>Low</t>
  </si>
  <si>
    <t>Deferred</t>
  </si>
  <si>
    <t>Code written and unit-tested; needs that tour subscribed.</t>
  </si>
  <si>
    <t>NBA injuries dead (no RotoWire key)</t>
  </si>
  <si>
    <t>player_injury_status stays empty; NBA key-player features never vary.</t>
  </si>
  <si>
    <t>Mobile has no Jest/ESLint</t>
  </si>
  <si>
    <t>tsc is the only automated mobile check.</t>
  </si>
  <si>
    <t>Single-machine dev environment</t>
  </si>
  <si>
    <t>Postgres, Redis, workers and models all on one Windows box.</t>
  </si>
  <si>
    <t>Stale long-lived processes</t>
  </si>
  <si>
    <t>Mitigated</t>
  </si>
  <si>
    <t>Hit 4x in one day. dev_worker.py prevents in dev; check_stale.py detects. Prod needs deploy to restart worker AND beat.</t>
  </si>
  <si>
    <t>Over/Under signal still short of significant</t>
  </si>
  <si>
    <t>xG lifted trend z=+0.73 -&gt; +1.86 (p=0.062). League features REGRESSED it. Shotmap features are the last untried lever.</t>
  </si>
  <si>
    <t>Tennis kickoff times are provider-limited</t>
  </si>
  <si>
    <t>Only ~2% of BallDontLie matches carry a real time; the rest are date-only placeholders. No code fixes this.</t>
  </si>
  <si>
    <t>25+ commits unpushed on a public repo</t>
  </si>
  <si>
    <t>All of today's and yesterday's work exists only on this machine.</t>
  </si>
  <si>
    <t>Over/Under signal</t>
  </si>
  <si>
    <t>Resolved</t>
  </si>
  <si>
    <t>Closed</t>
  </si>
  <si>
    <t>z=+2.96 p=0.0031 through the calibrated production path. Was the top model risk; surfacing a headline % is now defensible.</t>
  </si>
  <si>
    <t>localhost resolves to IPv6 on Windows</t>
  </si>
  <si>
    <t>Broke every new host-&gt;container DB connection: 61 test errors, API 500s, failed exports. Pinned to 127.0.0.1 in .env; compose and .env.example still need it.</t>
  </si>
  <si>
    <t>Fewer features beat more, twice</t>
  </si>
  <si>
    <t>Insight</t>
  </si>
  <si>
    <t>League baselines hurt; pruning 7 helped. On ~5,200 rows correlated inputs cost more variance than they add signal. Test removals as readily as additions.</t>
  </si>
  <si>
    <t>Bundesliga widens the pooled goals range</t>
  </si>
  <si>
    <t>At 3.172 goals/match it becomes the highest-scoring league in the pool (was MLS 2.930), while Brasileirao anchors 2.411. One shared prior now covers a wider spread, and league-identity features already measured NEGATIVE, so the retrain's O/U reliability buckets are the check on whether pooling still holds.</t>
  </si>
  <si>
    <t>Sampling can fake a coverage gap</t>
  </si>
  <si>
    <t>Ligue 1 returned 0/2 xG for three straight seasons from two matches off the head of page 1; six spread across each season returned 5/6 every time. ~930 fixtures were nearly discarded. When coverage appears to VANISH in later seasons, suspect the sample first.</t>
  </si>
  <si>
    <t>Model promotion needs a redeploy</t>
  </si>
  <si>
    <t>Artefacts are baked into the image, so promoting a BRAND NEW model needs a commit + deploy, not the pure DB update TDD 3.1 describes. Render disks cannot be shared across web/worker/beat; the alternative is object storage plus a download cache. MODELS_DIR already points anywhere, so the upgrade needs no code change.</t>
  </si>
  <si>
    <t>git will not descend into an excluded directory</t>
  </si>
  <si>
    <t>A negation inside an excluded directory silently did nothing; the CONTENTS had to be excluded instead. Caught only because staged files still did not appear in git status.</t>
  </si>
  <si>
    <t>Kickoff reminders skip estimated kickoffs</t>
  </si>
  <si>
    <t>An estimated kickoff is a DATE not a time, so a T-60 reminder off a midnight placeholder would be false. Skipped rather than sent wrong. Affects most ATP fixtures until BallDontLie publishes real times - only ~2% carry one.</t>
  </si>
  <si>
    <t>Android package name is permanent after release</t>
  </si>
  <si>
    <t>DECIDED: com.sportpiq.app, for both the iOS bundle identifier and the Android package. Chosen after finding SportIQ already taken on Google Play (x2), LinkedIn (Helsinki sports-analytics company) and Companies House. Locked before any store release, which is the only window in which it was free to change.</t>
  </si>
  <si>
    <t>Push notifications remain unverifiable on device</t>
  </si>
  <si>
    <t>SUPERSEDED by the row below. eas init created @usangr01/sportpiq and wrote a real projectId, so a token can now be minted; what remains is device verification, tracked separately rather than duplicated here.</t>
  </si>
  <si>
    <t>Push still unverified on a device</t>
  </si>
  <si>
    <t>projectId now exists so a token CAN be minted, but nothing has been delivered to a real device. Needs a development build: Expo Go on Android cannot receive remote push since SDK 53. Reduced from blocking to testable.</t>
  </si>
  <si>
    <t>Trademark position for SportPIQ</t>
  </si>
  <si>
    <t>Monitored</t>
  </si>
  <si>
    <t>UK IPO: 108 similar marks, but the two real candidates both weakened on inspection. NEITHER holds Class 9 (downloadable apps) - the class that matters most. Sporty IQ (UK00911440856) is a fitness-club business (Class 41 = gyms, venues, physical education) and is a colour-claimed figurative mark, so narrow. SPORTiD (UK00801349944) DOES cover Class 41 'information about sports' and Class 42 software development, but the mark differs exactly where distinctiveness sits (iD vs PIQ) and is not aurally close. The two risks landed on opposite axes and neither combined - conflict needs similar mark AND overlapping class. Crowded SPORT- field also weakens each mark individually. STILL OPEN: Class 9 sweep across the other ~99 results, an exact SPORTPIQ search, and EU IPO (the Helsinki SportIQ almost certainly filed there, not UK). WATCH: SPORTiD renewal falls 16 Sep 2026 - recheck in October. If filing, target Classes 9, 42 and 41, which is where the field looks emptiest.</t>
  </si>
  <si>
    <t>Firebase adopted for FCM only, not as a backend</t>
  </si>
  <si>
    <t>Firebase supplies ONE thing: FCM credentials so Expo can deliver Android push. Its Auth, Firestore, Functions and Hosting are deliberately unused - the project already has JWT+Argon2id auth, Postgres with migrations, FastAPI+Celery, and a Render blueprint. Adopting any would fork the architecture and create two sources of truth. The backend keeps talking to Expo via exponent-server-sdk and never to Firebase directly, so firebase-admin is NOT a dependency.</t>
  </si>
  <si>
    <t>Service-account key was synced to OneDrive</t>
  </si>
  <si>
    <t>The downloaded FCM key (full Firebase admin access) was moved into a OneDrive folder, so it replicated to the cloud before upload. Gitignore rules were added BEFORE the file existed, so it never reached the public repo. Deleted after upload; the OneDrive recycle bin must also be emptied, since deleted files linger there and stay synced. A fresh key takes seconds to generate, so there is no reason to retain one locally.</t>
  </si>
  <si>
    <t>Web testing does not catch device layout bugs</t>
  </si>
  <si>
    <t>Three device-only bugs in one session, and every browser pass had gone green on all of them. RN/Yoga resolves percentage and flex heights against an undefined parent very differently from web block layout: h-full grew unbounded and flex-1 collapsed to zero, neither visible in a browser. Treat Expo web as a check on logic and data, never on native layout. Any layout change now needs a device pass before it counts as verified.</t>
  </si>
  <si>
    <t>The test suite writes to the dev database</t>
  </si>
  <si>
    <t>There is no separate test database; every suite seeds the dev one. test_watchlist.py omitted cleanup and 24 fake sports reached the app's live dropdown, and a running ingest worker computed 30 real feature vectors against them. Every other test file cleans up by convention alone - nothing enforces it. A dedicated test database, or a session-scoped truncate, would remove the whole class.</t>
  </si>
  <si>
    <t>Closed (see correction)</t>
  </si>
  <si>
    <t>CORRECTED. This was logged and repeated as 'quota exhausted, odds degrading now', but that was never verified. Measured after the upgrade: a full odds cycle cost ZERO requests and every league playing that week already had current odds from API-Football. The earlier real two-day odds outage had a different, already-fixed cause (no retry/pacing in the adapter) and was probably misattributed to quota. What IS true and verified: API-Football returns odds=False for ALL FIVE European leagues, so TheRundown is the ONLY odds source for EPL. Without it, from 21 Aug every EPL pick would be probability-only, with no EV ranking and min_odds silently degrading. So the Pro plan is genuinely required - from 21 Aug, not from the date it was bought. The urgency was manufactured by an unchecked claim, not by the facts.</t>
  </si>
  <si>
    <t>Odds quota cost is fixture-gated, not league-gated</t>
  </si>
  <si>
    <t>A measured cycle cost ZERO requests. _dates_with_fixtures only requests dates that actually have a fixture and skips a league with none, so cost scales with matches PLAYED rather than leagues configured. An earlier estimate of 3,360/month (67% of quota) assumed every league plays every day and was a worst case, not a forecast. Adding a league costs nothing until it plays - which changes how cheap expansion is.</t>
  </si>
  <si>
    <t>TheRundown value starts 21 Aug, not today</t>
  </si>
  <si>
    <t>Everything playing this week (CSL, Scottish Prem, Brasileirao) is on leagues TheRundown does not cover and already has current odds from API-Football. Its coverage begins to matter at MLS on 08 Aug and properly at EPL on 21 Aug. The upgrade is correctly timed rather than fixing a present symptom - no odds are currently degrading.</t>
  </si>
  <si>
    <t>Is API-Football EPL odds coverage real or seasonal?</t>
  </si>
  <si>
    <t>UNRESOLVED, and it decides whether the TheRundown Pro subscription is needed at all. Every league reporting coverage.odds=True (MLS, Brasileirao) is currently IN SEASON; every league reporting False (all 5 European) is OUT of season. That confound is total, so the data fits 'API-Football only serves odds for a live season' exactly as well as 'these leagues are not covered'. /odds returns results=0 for EPL 2025, EPL 2026 and a specific 21 Aug fixture, while MLS 2026 returns 10 as a control - but past-season odds may simply not be retained, so that does not discriminate either. MLS is the tell: False for 2024/2025 (completed), True for 2026 (in season). Recheck on 21 Aug when EPL actually starts. Asserted as settled twice already and wrong both times - do not report it resolved before that date.</t>
  </si>
  <si>
    <t>The basic quota was burned by a bug, not demand</t>
  </si>
  <si>
    <t>TheRundown has contributed exactly TWO rows to this database in its entire life - both BetMGM, both the same Feb NBA test fixture. Every other odds row (~28,000) is from API-Football bookmakers. The 1,000/month basic allowance was consumed by ingest_odds running EVERY 5 MINUTES (288x/day) from 28 Jul to 2 Aug, calling TheRundown for leagues that were either out of season (all five European) or not covered by it at all (Brasileirao, CSL, Scottish Prem). At 2-3 calls per run that is 600-900/day - the month's allowance gone in a day or two. Both fixes (6-hourly cadence, fixture gating) were already in place BEFORE the Pro upgrade was bought, so the system was consuming nothing by then.</t>
  </si>
  <si>
    <t>API-Football renewal</t>
  </si>
  <si>
    <t>User confirmed the API-Football subscription will be renewed. This was carried as an open P0 after that had already been stated - a second instance of a stale item surviving in the list. Not a risk.</t>
  </si>
  <si>
    <t>Best-odds MAX actively selects for outliers</t>
  </si>
  <si>
    <t>best_available_odds takes the MAXIMUM price across books, which is correct as a product feature but means a single bad row is not diluted - it is chosen. One bookmaker listing a match with the sides reversed therefore wins outright and the card shows the favourite at the underdog's price, which is worse than showing no odds at all. Applies to every sport, not just tennis; football has simply not hit a reversed book yet. Any future 'best of N' aggregation needs the same scrutiny.</t>
  </si>
  <si>
    <t>Polymarket lists ATP with the sides reversed</t>
  </si>
  <si>
    <t>Observed inverted on 3 of 3 ATP matches checked (Norrie, Khachanov, Marozsan) - consistently, not sporadically. Mitigated by a structural inversion filter in best_available_odds rather than a blocklist, so another book developing the same fault is also covered. Excluding it at ingest may be cleaner if the pattern holds; needs a few more days of data first.</t>
  </si>
  <si>
    <t>A distance threshold hid a real bug</t>
  </si>
  <si>
    <t>The first fix rejected rows more than 0.25 from the median implied probability. It worked on the lopsided match it was tested against (Norrie) and silently failed on near-even ones (Khachanov: an inverted row sits only 0.14 away). Verifying against the one case that happened to pass, then generalising, is what let it ship. The replacement asks whether a row is inverted directly, which has no blind spot and no threshold to tune.</t>
  </si>
  <si>
    <t>Analytics scoped to mobile only, deferred to post-launch</t>
  </si>
  <si>
    <t>PostHog key is in keys.docx and ready. Scope decided: MOBILE ONLY - screen views, filter usage, which picks get opened. Backend events are deliberately excluded; Sentry already covers errors, and every incident so far was found from logs and the database rather than analytics. Timing is deliberate too: on a single-device dev build analytics mostly measures the developer, so it is worth adding once there are real users and near-worthless before. Same containment principle applied to Firebase, which supplies FCM and nothing else. TWO OPEN QUESTIONS before building: whether guests are tracked at all (a guest session is anonymous by design - Redis, 24h TTL, no PII - and analytics must not quietly undo that), and EU vs US hosting for GDPR.</t>
  </si>
  <si>
    <t>Tennis total games must not repeat the football O/U mistake</t>
  </si>
  <si>
    <t>Football's Over/Under shipped on a model that could not predict goals (predicted xG vs actual r=+0.030, buckets flat at the base rate) and needed an xG collection, OOF stacking and pruning to fix. The same measurement was run FIRST for tennis: rank_gap vs total games is r=+0.051, rank_diff +0.023, first-set games under 0.02 - i.e. the current win/loss feature set carries no game-count signal. DECISION: build total games only on new features (player rolling average games, surface, opponent-adjusted tendency), and validate against the base rate on held-out data BEFORE wiring the market. First-set games is NOT being built: sd 1.97 on a mean of 10, no measurable signal, P(over 9.5)=0.542.</t>
  </si>
  <si>
    <t>Serve features need a GOAT-tier upgrade</t>
  </si>
  <si>
    <t>Hold %, break points, aces and tiebreak frequency are the strongest candidate features for game count, and all come from /match_stats, which returns 401 on the current ALL-STAR plan (verified live, alongside /player_career_stats, /head_to_head and /odds). Deliberately sequenced LAST: v1 uses only data already held, so the tier is bought only if the free features first prove the market works. The opposite order to how the football market was built.</t>
  </si>
  <si>
    <t>Live/in-play tennis markets are an architecture change</t>
  </si>
  <si>
    <t>Requested alongside total games. Declined for now: ingest polls every 5 minutes and in-play prices move in seconds, so a stale in-play price is misleading rather than merely old - the user would see value that closed minutes ago. Needs real-time ingest and live odds before it is a market question at all.</t>
  </si>
  <si>
    <t>Corners blend is data-starved</t>
  </si>
  <si>
    <t>Only ~27% of live fixtures have enough corner history for the reference; the rest fall back to the model alone. Grows as fixtures settle; no free backfill (zero id overlap with the parquets)</t>
  </si>
  <si>
    <t>Draw class collapses under calibration</t>
  </si>
  <si>
    <t>Isotonic takes draw from favourite-11% (raw) to 1% (calibrated) while draws happen 26% of the time. Brier still improves, so not clearly wrong - but away prob has never exceeded 0.573</t>
  </si>
  <si>
    <t>Live feature sparsity on out-of-season leagues</t>
  </si>
  <si>
    <t>EPL median completeness 0.12, LaLiga 0.10 - between seasons, so cards are near-pure prior. NOT a collection gap: all 9 leagues are trained. Resolves when seasons start</t>
  </si>
  <si>
    <t>Total games market: closed, will not build</t>
  </si>
  <si>
    <t>n/a</t>
  </si>
  <si>
    <t>Gate failed on 1,277 held-out fixtures. Revisit only with point-level or in-play data, not more modelling of the same inputs</t>
  </si>
  <si>
    <t>H2H as a model input: closed</t>
  </si>
  <si>
    <t>Measured worse than the league mean in all three markets and at every window. The model already carries H2H features and correctly weights them near zero</t>
  </si>
  <si>
    <t>Tier-1 league pooling: closed, KEEP</t>
  </si>
  <si>
    <t>Criteria fixed BEFORE the run so the verdict could not be fitted to it. Baseline gap held (+4.09 -&gt; +4.14pp) and under-3.5 discrimination improved sharply (z +3.35 -&gt; +5.92, buckets monotonic for the first time). Calibration was already ~0, so this is a discrimination gain</t>
  </si>
  <si>
    <t>Empty feature vectors produced extreme picks</t>
  </si>
  <si>
    <t>1X at 99.7% off 3/31 features, and such picks RANKED FIRST because with no odds both EV ranking and the market guard degrade to raw probability. Fixed by a measured completeness floor (0.25) in _pick_best. Pre-dated the retrain - the 9-league model gave 93.6% on the same vector - so pooling worsened it rather than causing it</t>
  </si>
  <si>
    <t>Trained-on but not served: 9 Tier-1 leagues</t>
  </si>
  <si>
    <t>The model learned from 18 leagues; the app ingests 9. Users see no Swedish/Japanese/Polish fixture. Training config and live LEAGUE_IDS are separate wirings and drifted apart</t>
  </si>
  <si>
    <t>RETRACTED: celery beat was never duplicated</t>
  </si>
  <si>
    <t>The claim was wrong - one celery launch is two PIDs (launcher + child), confirmed via ParentProcessId. No task was ever firing twice. The real fault was a stale worker holding pre-edit code. Check parentage before inferring anything from a process count</t>
  </si>
  <si>
    <t>Season conventions: closed, resolved from the provider</t>
  </si>
  <si>
    <t>resolve_current_season now reads current=true with a 12h cache and falls back to the hardcoded rules. A league that changes its calendar corrects itself within the TTL rather than needing a code change and a bug report first</t>
  </si>
  <si>
    <t>Stale features look identical to good ones</t>
  </si>
  <si>
    <t>feature_completeness measures PRESENCE, not FRESHNESS. New-league retrodictions scored 0.516 - comfortably above the 0.25 floor - while their form/Elo came from game logs ending 2-8 months earlier. Stale-but-present data produces a confident wrong number, which is worse than a missing one. Options: collect current-season history for these leagues, add a staleness guard alongside completeness, or withhold picks until our own DB holds N recent completed fixtures for that league</t>
  </si>
  <si>
    <t>Silent type mismatches across data sources</t>
  </si>
  <si>
    <t>Audited: all parquets agree on key dtypes, corners/xG merges verified to populate (54-79%, not all-NaN), training Elo resolves 100%. The retrodiction Elo path was the only unhandled instance - _lineup_presence_for_fixture already handled it</t>
  </si>
  <si>
    <t>Data collected outside the split windows is inert</t>
  </si>
  <si>
    <t>A season matching no split is assembled and then dropped, so collecting it changes nothing in the model while every surface signal (example count up, retrain runs, new artefact registered) suggests it did. Confirmed only by hashing the boosters. Hash the artefact before believing a retrain did anything</t>
  </si>
  <si>
    <t>Stale workers keep masking real fixes</t>
  </si>
  <si>
    <t>Hit twice on 2026-08-10: a LEAGUE_IDS change the worker never loaded (no odds for 9 leagues), then a no-draw guard the worker never loaded (deleted rows recreated every 5 minutes). Neither raised an error; both looked like the fix not working. Restart worker and beat after any change under app/, and check process start time against file mtime before believing live data</t>
  </si>
  <si>
    <t>Bookmaker names differ only by case</t>
  </si>
  <si>
    <t>draftkings/Draftkings and fanduel/Fanduel are stored as separate books, so one book's price counts twice in the consensus median that decides which rows are inverted. Not currently changing any verdict, but it weights the median wrongly</t>
  </si>
  <si>
    <t>watchlist_items.created_at model/DB drift</t>
  </si>
  <si>
    <t>Autogenerate wants NOT NULL; the database has it nullable. Stripped from the push-receipts migration rather than smuggled in. Needs its own migration</t>
  </si>
  <si>
    <t>Player availability is unobservable, not unimportant</t>
  </si>
  <si>
    <t>The old key-player feature was dropped as measured-worthless, and separately an external review found real derivation flaws (end-of-season leakage in the top-5 selection, and training on post-match appearances). Both correct. But the BINDING constraint is upstream of the feature: the availability signal itself resolves 1% of the time, so 98% of live rows say either 'unknown' or 'all five fit'. Rebuilding the feature before fixing the join would be building on a variable we cannot observe. Availability very likely does matter in football; what was measured is that OUR MEASUREMENT of it is broken.</t>
  </si>
  <si>
    <t>Vanished fixtures need positive evidence, not a timer</t>
  </si>
  <si>
    <t>Fourth recurrence of 'a cancelled match still shows a live pick', after three fixes that each adjusted a time threshold. The clock cannot detect a fixture withdrawn BEFORE its kickoff, so the instrument was wrong rather than the number. Now reconciled against the provider's own current list at ingest, free of API cost. The dangerous direction is the opposite one, so an empty payload (indistinguishable from a rate-limited fetch) retires nothing and only dates the provider actually reported on are considered.</t>
  </si>
  <si>
    <t>Duplicate tennis Prediction rows</t>
  </si>
  <si>
    <t>64 tennis fixtures carry 2 identical predictions (same model version and kind); 541 carry one. Harmless today - nothing calls scalar_one on Prediction, so this is not the MultipleResultsFound class that bit TeamFeatures - but unexplained.</t>
  </si>
  <si>
    <t>Withdrawn vs called-off fixtures</t>
  </si>
  <si>
    <t>Decided: hide fixtures WITHDRAWN from the provider's list, keep showing ones the provider explicitly called off. Both are POSTPONED, but a called-off match was real and users asked to see it, while a withdrawn one was never scheduled. Screenshotting the fix is what made the cost visible - 33 grey cards above the day's 2 genuine picks. Hiding is scoped by fixtures.withdrawn, never by status, so it cannot swallow real postponements.</t>
  </si>
  <si>
    <t>Corners discrimination is real but weak</t>
  </si>
  <si>
    <t>Now measurable for the first time. Predicted P(under 9.5) spans 0.2-0.7 while the observed rate spans only 0.44-0.56, and the bottom two buckets are still inverted on small n. Better than goals (flat at base rate) and consistent with the r=+0.288 measured live, but corners wins ~half of all headline picks, so this is the number to watch.</t>
  </si>
  <si>
    <t>A promotion did not reach any user</t>
  </si>
  <si>
    <t>Found while delivering the corners tuning: every upcoming football fixture was serving a prediction from one of four superseded models. Same shape as the stale-worker and served-but-untrained traps - work completed, never delivered, with nothing failing or logging. Fixed by re-queueing on model_version change, which fires on promotion rather than on a schedule so routine runs still cost nothing.</t>
  </si>
  <si>
    <t>Football pre-match accuracy is below baseline</t>
  </si>
  <si>
    <t>Once each fixture counts once: n=63, accuracy 0.3651, CI [0.257, 0.489], against a ~0.47 baseline. NOT reportable (floor is 93) and the interval spans the baseline, so this is not yet evidence the model is worse than picking home - but it is the opposite direction from what was previously displayed and it is the number to watch as n grows.</t>
  </si>
  <si>
    <t>Duplicate predictions were mis-triaged as harmless</t>
  </si>
  <si>
    <t>They were checked for the failure mode that had bitten before (MultipleResultsFound via scalar_one) and cleared on that basis, while the defect actually present was silent inflation of a live user-facing accuracy. Checking for the last bug is not the same as checking for a bug.</t>
  </si>
  <si>
    <t>Tennis edge over a runnable baseline is 2.15pp</t>
  </si>
  <si>
    <t>Against 'back the higher-ranked player' the model gains +2.15pp (n=3,900), below the 3pp bar pre-registered for reinstating a pick gate. The edge also sits on grass (+5.24pp, n=477, the smallest stratum) rather than clay where ranking is least reliable - the opposite of the stated hypothesis - and the per-surface figures move between runs that differ only by seed. Watch as data accumulates; do not act on the surface split yet.</t>
  </si>
  <si>
    <t>Base rates must describe something a user could do</t>
  </si>
  <si>
    <t>A base rate is the no-model alternative. Football's 'back the home team' qualifies; tennis's 'back the lower player id' does not - it is invisible to the user and is a proxy for strength the model already uses. Gating on it inverted a quarter of picks. Any future sport-specific base rate must name the strategy it represents and that strategy must be executable by someone without our database.</t>
  </si>
  <si>
    <t>A recommendation was made on evidence not yet checked</t>
  </si>
  <si>
    <t>The completeness floor was recommended on the claim that two measurements agreed the cliff was at 0.35. Measuring with intervals showed neither could locate a cliff at all, and the older one pointed at 0.50 if anywhere. The change went ahead on a different, non-statistical justification (coherence with mobile, zero cost) and the original claim is recorded as wrong rather than quietly replaced. Threshold changes should carry intervals before, not after.</t>
  </si>
  <si>
    <t>Budget-shaped decisions outlive the budget</t>
  </si>
  <si>
    <t>The corners date bound, and the choice not to collect several leagues at all, were correct under 7,500 requests/day and were still being honoured under 75,000. Constraints recorded as engineering decisions should name the budget they assumed, so they can be re-opened when it changes rather than inherited as permanent.</t>
  </si>
  <si>
    <t>Veikkausliiga corners genuinely absent</t>
  </si>
  <si>
    <t>44% coverage after the backfill (from 35%), the worst by a wide margin. Direct re-requests for its 2021 fixtures return empty, so this is provider absence rather than a collection miss. Left as a real gap, not zero-filled.</t>
  </si>
  <si>
    <t>Season 2021 has no xG in any league</t>
  </si>
  <si>
    <t>5,413 fixtures in a TRAIN season carry no xG upstream, and 2022 is only 57% covered. xg_for_5/xg_against_5 are Layer 1 features, so roughly a third of the training data scores them as missing. Not fixable by collection - the provider does not have it. Relevant to goals_total being barred for no demonstrated signal: the feature most likely to carry that signal is the one most incomplete in training.</t>
  </si>
  <si>
    <t>A tightening guard rewrote published history</t>
  </si>
  <si>
    <t>MIN_FEATURE_COMPLETENESS 0.25 -&gt; 0.35 deleted 21 already-published picks from past cards (9 Scottish Prem), because best_pick is recomputed per request rather than stored. The measurement that justified the raise said 'zero upcoming picks lost' - true, and the wrong population. Not neutral: sub-0.35 picks run 0.2857 accuracy vs 0.5263 above, so filtering them made the visible record better than the real one. Settled fixtures are now exempt from that one guard only - exempting the others ADDED picks never shown, which is the same defect. pick_snapshots (nothing before 2026-08-10) is the only real fix.</t>
  </si>
  <si>
    <t>Isotonic calibration on 1X2 may not be earning its place</t>
  </si>
  <si>
    <t>First held-out measurement after months in the pipeline: log loss 1.0179 calibrated vs 1.0148 raw, multiclass Brier identical to 4dp, ECE 0.0143. Not harmful at this size, but no evidence it helps. Re-measure before treating the step as load-bearing.</t>
  </si>
  <si>
    <t>The model cannot discriminate draws</t>
  </si>
  <si>
    <t>92% of test fixtures (5,023 of 5,487) receive a draw probability between 0.2 and 0.3, observed 0.257 - correct on average and carrying no per-fixture information. The 1X2 analogue of the goals_total finding, invisible until per-class reliability existed because RPS averages it away. Home is monotonic across nine buckets and within ~0.02 of the diagonal.</t>
  </si>
  <si>
    <t>xG availability differs between train and test</t>
  </si>
  <si>
    <t>Coverage by season: 2021 0%, 2022 57%, 2023 91% (TRAIN), 2024 86% (VAL), 2025 98% (TEST). Train is ~49% covered against a test set at 98%, so held-out metrics are measured on a feature-availability regime the model largely did not learn under. A distribution mismatch, not a metrics gap. Corners is flat at 89-92% across every season and is unaffected.</t>
  </si>
  <si>
    <t>Published accuracy measured a different object from the product</t>
  </si>
  <si>
    <t>/history and the notebook graded the 1X2 argmax while the card shows best_pick across four markets. Football card picks are 43 double chance + 19 corners and ZERO h2h, so the published football accuracy described a market football cards never show. Grading the card instead moves it 0.3651 -&gt; 0.7258 (n=62), but the no-skill baseline rises with it to 0.6391, so the honest figure is +8.67pp against a 14.09pp detectable effect - not conclusive. The grading rule existed only in TypeScript and is now ported to app/predictions/grading.py with parity tests.</t>
  </si>
  <si>
    <t>pick_snapshots is capturing tennis only</t>
  </si>
  <si>
    <t>59 snapshots since 2026-08-10, all tennis h2h; 0 of the 6 football fixtures that passed through the 4-8h window were captured. Snapshots are the only true record of what was displayed - everything else is recomputed against today's odds - so a gap here is a permanent hole in the trust record. n=6 is too small to call it a bug yet; diagnose before the football season opens.</t>
  </si>
  <si>
    <t>Snapshot coverage will be thinnest when it matters most</t>
  </si>
  <si>
    <t>The '0 of 6 football fixtures snapshotted' concern is NOT a bug - all six windows closed before the job's first run, the last by nine minutes. But four of the six carried feature_completeness 0.16-0.26, under the 0.35 floor, so they would have yielded no shown pick and therefore no snapshot even with the job live. Correct behaviour, and pick_snapshots cannot be backfilled, so the permanent record will be thinnest exactly when the European seasons open with sparse features. The job now WARNs when a window captures nothing.</t>
  </si>
  <si>
    <t>Isotonic calibration on 1X2 judged on the wrong metric</t>
  </si>
  <si>
    <t>Reported as 'not earning its place' on log loss (1.0179 vs 1.0148) and multiclass Brier (identical). Both are the wrong instrument: calibration exists to make the probability VALUE trustworthy, and the product reads that value directly through min_probability, the base-rate gates and EV ranking. On ECE it wins clearly, 0.0143 vs 0.0195. Kept. Judge a component on the metric it exists for, not on whichever one is already being printed.</t>
  </si>
  <si>
    <t>The model cannot discriminate draws - already contained</t>
  </si>
  <si>
    <t>92% of test fixtures receive a draw probability in 0.2-0.3 (observed 0.257): correct on average, carrying no per-fixture information. No new guard needed - MIN_EDGE_OVER_BASE_RATE requires a draw to reach 0.3038 and ZERO draw picks have ever reached a card. The existing gate already refuses the market the model cannot discriminate.</t>
  </si>
  <si>
    <t>'Nothing is deployed, no infra/' was stale for weeks</t>
  </si>
  <si>
    <t>infra/render.yaml is complete (three services off one image, managed Postgres and Redis, alembic in preDeployCommand), backend/Dockerfile exists, and a soak harness validated the blueprint. What actually remains is the dashboard deploy itself, which needs secrets deliberately kept out of git. Same doc-drift pattern as the /history 501 note: a stale line was quoted back as the state of the world. Until it is deployed, eas.json's preview and production profiles point at a URL returning x-render-routing: no-server.</t>
  </si>
  <si>
    <t>A training run promotes itself, so an experiment's losing arm went live</t>
  </si>
  <si>
    <t>train_*.py register AND activate unconditionally. On 2026-08-13 a tennis form-window experiment at n=5 scored worse than the incumbent on accuracy (0.6312 vs 0.6377) and RPS (0.2298 vs 0.2275) and became the served model by finishing. Worse than a bad number: LAST_N_FORM defaults back to 10 at serving time, so a model trained on 5-match form would have been fed 10-match form - a train/serve mismatch created by the act of measuring. Caught by checking the registry immediately after, with 0 predictions generated against it, which was timing rather than design. --no-activate now registers without promoting; use it for any run that is a measurement. Second firing of this hazard - the first left only an inactive row.</t>
  </si>
  <si>
    <t>All three form windows now measured; 'shorter is fresher' is dead</t>
  </si>
  <si>
    <t>The last inherited hyperparameter. NBA n=10 RPS 0.2013 vs n=5 0.2039 and n=3 0.2041, so 10 wins outright; accuracy spans ONE game across all three arms on 1,225 test games and ROI swings -3.7% to +17.3% on 23-27 staked games, so neither separates anything. Football moved UP to 10 from an inherited 5; tennis and NBA defended 10. Caveat: RPS-primary was written down after two of three arms had been seen, weaker than the corners pre-registration.</t>
  </si>
  <si>
    <t>--no-activate stranded NBA with zero active models</t>
  </si>
  <si>
    <t>_register_model demoted every active row then inserted the new one - right when promoting, wrong under --no-activate, where the incumbent is demoted and nothing replaces it. Three measurement arms back to back left NBA with no active model. Silent and total: runner.py resolves the serving model from the registry, so the sport stops predicting with no exception anywhere; noticed only because /stats/model dropped NBA. Mirror image of the tennis hazard fixed hours earlier - one promoted a model nobody chose, this demoted the only one there was, both from the same register-and-activate coupling.</t>
  </si>
  <si>
    <t>Only football needs a market-blind model - NBA and tennis were measured, not assumed</t>
  </si>
  <si>
    <t>The explanation engine cannot decompose the serving model for football: market_implied_* are real adopted inputs and among its largest contributors, so a truthful panel would keep saying the biggest reason for a pick is the bookmaker's price - honest, circular, and unusable next to a screen selling 'where the model disagrees with the market'. Before building a second artefact for all three sports, split counts were measured on the live artefacts: NBA and tennis use their moneyline feature in ZERO splits, so both already explain themselves. Football spends 27% of Layer 1's splits and 19-23% of the corners pair's on market features. One retrain instead of three, and the two sports that need nothing are documented as measured rather than skipped.</t>
  </si>
  <si>
    <t>Driver contributions cannot be backfilled, so old predictions carry no explanation</t>
  </si>
  <si>
    <t>TreeSHAP contributions are a function of the feature vector as it stood at the instant of prediction. Reconstructing that vector later would explain a fixture with form, Elo and odds coverage that had not happened yet - the same hindsight problem predictions.kind exists to keep out of the accuracy figures. So driver_contributions is written at prediction time only, is nullable, and every row that predates it stays null. Consequence to expect: the expanded panel is empty for existing fixtures and fills only as predictions are regenerated. Deliberate - a plausible explanation invented after the result was known is worse than none.</t>
  </si>
  <si>
    <t>The divergence guard suppresses a panel rather than justifying a pick the football disagrees with</t>
  </si>
  <si>
    <t>Because the explanation comes from a DIFFERENT model than the probability on the card, the two can disagree. When the market-blind model favours a different outcome, its contributions are reasons to make the OPPOSITE call, so rendering them would dress a disagreement up as a justification. The panel is suppressed instead, and the event logged: a rising divergence rate is itself a real signal about how much of a pick the market is carrying rather than the football. Rate is not yet measurable - it needs the blind artefact and regenerated predictions first.</t>
  </si>
  <si>
    <t>Mobile work is not delivered until an OTA is published</t>
  </si>
  <si>
    <t>Verified a design change in a local web build and reported it done; the user's phone still showed the old header. Backend work reaches users through the API immediately, so only MOBILE changes need a publish -- an asymmetry that hides the omission. Publish to --channel preview --environment preview (the installed APK's channel), then have the user relaunch TWICE: the first launch downloads, the second applies. Pull-to-refresh never fetches an update.</t>
  </si>
  <si>
    <t>Kept three summary columns against the design document's own prose</t>
  </si>
  <si>
    <t>design-upgrades.md §2 says two columns (CALLS TODAY, LEAGUES) on the reasoning that every filter control belongs in the menu sheet, but its own reference build keeps COUNTRY. Dropping it would remove a working filter to satisfy the half of the spec its screenshots contradict. The reduced-height treatment -- the actual substance of that section -- applies either way.</t>
  </si>
  <si>
    <t>Our own fixture history cannot back a 'last 10'</t>
  </si>
  <si>
    <t>Measured against production 2026-09-19: ZERO teams in EPL, the J1 League or Brasileirao had ten completed fixtures stored; EPL's median was three and the oldest rows were ~6 weeks old. I had called this 'buildable from tables we already have' earlier the same day, from the ingest constant rather than from the data. Anything needing real depth per team goes to the provider -- which also carries the cup and European fixtures we never ingest at all.</t>
  </si>
  <si>
    <t>Lineup tab deferred: the data does not exist pre-match</t>
  </si>
  <si>
    <t>Three options measured before deciding. Best-XI-available depends on an injury join recorded at 2.8% resolution with 92% of rows reporting all players available, so its headline would read 'at full strength' almost always. Confirmed XIs return zero rows until ~1h before kickoff (probed on three upcoming fixtures, one five hours out). Shipping three tabs instead; revisit only after the injury pipeline is repaired.</t>
  </si>
  <si>
    <t>A league added after the model was trained has no prior for ~30 matches</t>
  </si>
  <si>
    <t>Reported: all four 2. Bundesliga cards 2026-09-19 were OVER 2.5 and three lost. Real per-fixture inference (1X2 varied 0.41-0.53, completeness 0.63), but MIS-LEVELLED: claimed a mean P(over 2.5) of 0.665 against the league own six-season rate of 0.593 (n=1,585) -- ~7pp high on every card, while the spread BETWEEN fixtures was only 6.6pp, so the level error matched the discrimination signal. Cause: serving model trained 23 Aug, league added 15 Sep, and league_baseline_from_db returns None below MIN_MATCHES_FOR_OWN_BASELINE=30 -- we held 6. DECISION: let it self-heal rather than retrain; the prior activates at 30 settled fixtures. Watch Serie B for the opposite error (2.47 goals, the low-scoring outlier in the same batch). NOTE the day itself proves little: at p=0.593, 1-or-fewer from 4 occurs ~19% of the time -- the base-rate gap is the finding, and it rests on 1,585 fixtures rather than 4.</t>
  </si>
  <si>
    <t>Nations League picks are NOT barred, and its first ~30 matches have no league prior</t>
  </si>
  <si>
    <t>Offered the choice and told to keep picks on. league_baseline_from_db returns None below MIN_MATCHES_FOR_OWN_BASELINE (30), so until the competition accumulates that many settled matches in our own DB its fixtures are priced off the pooled CLUB-football blend -- the exact mechanism behind the 2. Bundesliga mispricing (claimed 0.665 vs the league's own 0.593). National teams also enter Elo flat, so elo_diff (Layer 2's strongest feature) is ~0 early. Features themselves are real: /teams/statistics returns genuine per-nation values (France 1.0/0.3/2.33), 9 of 16 fields, clearing the completeness floor. Watch the first settled window before trusting any accuracy figure.</t>
  </si>
  <si>
    <t>NBA opening night will show no picks, and that is the completeness floor working</t>
  </si>
  <si>
    <t>Derived, not measured -- prod holds no NBA history to check against (7-day backfill). With zero games played only back_to_back x2 (which default rather than null), home_court, h2h and moneyline carry values: 5/16 = 0.3125 against MIN_FEATURE_COMPLETENESS 0.35. The arithmetic is validated against live WNBA rows, which report exactly 0.75 and 0.6875 (12/16, 11/16) as the same count predicts. Clears from each team's 2nd game (12/16). Same shape as EPL in August, which is what the 0.35 floor was raised for.</t>
  </si>
  <si>
    <t>compute_key_players SEASONS stops at 2025-26, so 4 of 16 NBA features stay null all season</t>
  </si>
  <si>
    <t>Stage 1 has no 2026-27 rows, so Stage 2 returns (None, None) for every NBA team. Running it would lift opening-night completeness from 5/16 to 9/16 and clear the floor -- but NBA Stage 2 is already recorded as effectively inert (no injury feed: RotoWire unprovisioned, BallDontLie injuries 401), so it would pass the gate with a near-constant feature carrying no signal. Deliberately NOT done; that is gaming the metric, not fixing it.</t>
  </si>
  <si>
    <t>The Gantt has run out of columns: week 18 collides with the hidden EpicKey helper</t>
  </si>
  <si>
    <t>Columns 8-17 cover 27 Jul - 28 Sep and column 18 is EpicKey. 4 Oct still lands in column 17 (week beginning 28 Sep), but anything dated 5 Oct onward has nowhere to go -- the NBA milestone row above is already left without a marker. Extending means inserting columns before 18 and repointing every Epic Summary COUNTIFS from $R to its new letter. Flagged rather than done, because it touches the formula-driven sheet.</t>
  </si>
  <si>
    <t>NBA weights transfer to European basketball -- measured, not assumed</t>
  </si>
  <si>
    <t>Pre-registered before any number: Brier must beat always-home (PRIMARY), accuracy within 1.0pp, ECE &lt;= 0.10. On 1,926 held-out games all three passed -- accuracy 0.6547 vs 0.6121, Brier 0.2211 vs 0.2375, ECE 0.0303. Surprising given Europe scores 27.4% fewer points and has 5.2pp more home advantage; the reason it works is that win rates, rest and H2H are scale-free and the two point-diff features are WITHIN-league differences, so league scoring level largely cancels. Germany BBL is the one league below its own baseline.</t>
  </si>
  <si>
    <t>The WNBA-on-NBA-weights bet now has an instrument, and is still unmeasured</t>
  </si>
  <si>
    <t>CLAUDE.md has recorded since August that WNBA calibration against NBA weights was never measured. measure_basketball_transfer.py is exactly that instrument and the WNBA is an easier case than Europe (same 40-minute game, one competition). Running it there is cheap -- BallDontLie WNBA history is free and unmetered at 600/min. Not done; flagged.</t>
  </si>
  <si>
    <t>Basketball has no league-baseline features, the gap football already closed</t>
  </si>
  <si>
    <t>league_baselines.py gives football per-league avg goals and home-win rate as CONTINUOUS features (partial pooling), so the model is told WHAT differs rather than WHICH league. Basketball has no equivalent, and European home advantage spans 0.571 Turkey to 0.649 Italy -- a 7.8pp range the model cannot see. Transfer passed without it, so this is an improvement rather than a prerequisite, but it is the obvious next gain and the likely explanation for Germany BBL underperforming.</t>
  </si>
  <si>
    <t>_base_rate has no basketball override, so the gate is too lenient for home picks</t>
  </si>
  <si>
    <t>Basketball falls back to football's ("h2h","home") = 0.4582, so a home pick need only clear 0.5082 -- while NBA's own measured home-win rate is 0.552 and European leagues run 0.571-0.649. A basketball home pick can therefore pass MIN_EDGE_OVER_BASE_RATE while being no better than always backing home. True of NBA and WNBA TODAY, not just hypothetically of Europe. The docstring's "same 45-55% territory" claim holds only at its top edge.</t>
  </si>
  <si>
    <t>WNBA-on-NBA-weights is now MEASURED and sound</t>
  </si>
  <si>
    <t>Supersedes the open risk logged earlier today. +14.39pp over always-home on n=264 held-out 2024 games, Brier 0.2091 vs 0.2480, ECE 0.0288, baseline outside the 95% CI -- and +14.39pp compares to +13.22pp on the model's own NBA test split, so the transfer is native-quality. Also found: the WNBA home-win rate is 0.5393, LOWER than the NBA's 0.5518, the opposite of the assumption that a shorter lower-scoring game carries more home advantage.</t>
  </si>
  <si>
    <t>The kickoff freeze already protects published cards from a guard tightening</t>
  </si>
  <si>
    <t>CORRECTS the row originally written here. I reported that correcting the basketball base rate would delete 34 picks (29 settled) for a user who lowered their slider, and recorded that in the module, CLAUDE.md and this sheet before checking. Verified in production after deploying: all 31 picks still below the new bar are PAST KICKOFF, so pick_freeze.py serves them from the frozen candidate list and short-circuits before any guard runs; every future-kickoff fixture already clears it (lowest 0.6421). The MIN_FEATURE_COMPLETENESS 0.25-&gt;0.35 episode that deleted 21 published picks predates the freeze. Transferable lesson: measuring a guard change against settled history was right in August, but now the first question is whether the freeze already covers it.</t>
  </si>
  <si>
    <t>Basketball odds must read Home/Away, never 3Way Result</t>
  </si>
  <si>
    <t>Basketball books offer both and they are NOT interchangeable. 3Way prices REGULATION time, carries a Draw at 11-16, and its home price is systematically longer -- 4.55 vs 4.33 from the same bookmaker on one real fixture. Reading it would hand the pipeline a draw the two-outcome model never predicts and inflate home EV ~5% on every basketball card. It is also thinner: 8 of 8 sampled books offer Home/Away, only 3 offer 3Way. Pinned by test_api_basketball_adapter.py with a fixture carrying both markets.</t>
  </si>
  <si>
    <t>Basketball rest_days is measured from now, not from kickoff</t>
  </si>
  <si>
    <t>days_since_last_match uses datetime.now() rather than the fixture kickoff, so a team playing in six days reports 0 days rest and _back_to_back reads 1.0. INHERITED from balldontlie.py rather than introduced by the new adapter, so it affects NBA and WNBA equally -- which is why it was not quietly changed here. Means rest_days/back_to_back are weaker than their names suggest for any fixture ingested well before tip-off. Wants its own measurement.</t>
  </si>
  <si>
    <t>Sport.name is still "NBA Basketball" while the row holds European leagues</t>
  </si>
  <si>
    <t>That Sport row now carries Spanish, Greek, Italian, French, German, Turkish and pan-European competitions. Mobile hardcodes "Basketball" in SPORT_TABS so it is only visible through the API. Left alone because it is a one-off UPDATE on a production row rather than a code change.</t>
  </si>
  <si>
    <t>A season LABEL that is not a number broke six leagues silently</t>
  </si>
  <si>
    <t>Third time a season-label assumption cost a league its data -- Brasileirao calendar year, J1 end-year label, now a SPAN label ("2026-2027") breaking a downstream int(). The first two computed the wrong season; this one is a label that is not a number at all. Measured: 0 of 52 scheduled domestic fixtures had a prediction vs 10 of 10 EuroLeague, whose label is a bare year. Fixed with fixtures/service.py:season_start_year, which returns None rather than raising. Run any new provider season format through it before doing arithmetic on it.</t>
  </si>
  <si>
    <t>A guard threshold tied to league COUNT hid a sport entirely</t>
  </si>
  <si>
    <t>LEAGUE_PICKER_MAX=4 silently removed the whole basketball league picker -- including the two chips that had always worked -- the moment the sport grew to 9. The lesson is the threshold VALUE, not the mechanism: set at today's exact count it re-breaks on the next addition, so it was raised to 12 with deliberate headroom and a test asserting the headroom exists rather than just the inequality.</t>
  </si>
  <si>
    <t>An ABC parameter an adapter omits breaks only at runtime, in the caller</t>
  </si>
  <si>
    <t>Python enforces an abstract method's PRESENCE, not its signature. APIBasketballAdapter.fetch_odds omitted `dates`, which _fetch_odds_payloads passes on every call; the TypeError is caught by neither of that function's except clauses (ValueError, httpx.HTTPError) so it would have aborted odds ingestion for every remaining league and sport. Imports cleanly, satisfies ABCMeta, passes direct unit tests. Now pinned by test_adapter_abc_signatures.py across all 7 adapters in both directions, verified to fail against the pre-fix source.</t>
  </si>
  <si>
    <t>Freshness, not presence, is the test for an ingest outage</t>
  </si>
  <si>
    <t>I declared odds recovered from a watcher that tested whether odds EXISTED; it exited on its first iteration against rows written days earlier. A stale price is identical to a fresh one in every field except updated_at. I also first reported the outage as 3 days from a single sampled fixture when the window-wide figure was ~31 hours. Both errors were the confident version. Any future ingest-health check should read updated_at and compare it to the job cadence, never count rows.</t>
  </si>
  <si>
    <t>best_pick and all_market_picks disagreeing is the signature of a bad frozen card</t>
  </si>
  <si>
    <t>all_market_picks is deliberately NOT frozen while best_pick is, so when a fixture shows healthy candidates and no pick, the frozen record is the suspect -- not the model, the features or the gates. That one comparison took the tennis diagnosis from "features must still be broken" to the actual cause in a single query. Worth reaching for first on any future "why is this card empty".</t>
  </si>
  <si>
    <t>An EMPTY frozen candidate list is unrepairable, so it must never be written by accident</t>
  </si>
  <si>
    <t>apply_frozen treats empty as a deliberate record ("our guards refused everything") and backfill_frozen_candidates repairs only NULL. That asymmetry is correct and is exactly why writing empty for a fixture that merely had no prediction YET was unrecoverable. Any future code path that writes FrozenPick.candidates must be able to distinguish "evaluated and refused" from "not yet evaluated" -- NULL is the honest value for the second.</t>
  </si>
  <si>
    <t>Estimated-kickoff fixtures are now live-computed for a day longer</t>
  </si>
  <si>
    <t>The cost of the fix, stated rather than buried: an estimated-kickoff fixture is no longer frozen until its placeholder day ends, so its card can move during that window -- the mutability the freeze exists to prevent. Right side to err on when the alternative is a card frozen permanently blank, but watch for a tennis card visibly changing within its match day.</t>
  </si>
  <si>
    <t>SportIQ — Delivery Board &amp; Roadmap</t>
  </si>
  <si>
    <t>Delivered dates are REAL (git history, first commit 2026-07-28). Dates from 2026-08-05 onward are PROPOSED. Updated 2026-08-04.</t>
  </si>
  <si>
    <t>Epic</t>
  </si>
  <si>
    <t>Feature / Deliverable</t>
  </si>
  <si>
    <t>Stream</t>
  </si>
  <si>
    <t>Start</t>
  </si>
  <si>
    <t>End</t>
  </si>
  <si>
    <t>Notes</t>
  </si>
  <si>
    <t>27 Jul</t>
  </si>
  <si>
    <t>03 Aug</t>
  </si>
  <si>
    <t>10 Aug</t>
  </si>
  <si>
    <t>17 Aug</t>
  </si>
  <si>
    <t>24 Aug</t>
  </si>
  <si>
    <t>31 Aug</t>
  </si>
  <si>
    <t>07 Sep</t>
  </si>
  <si>
    <t>14 Sep</t>
  </si>
  <si>
    <t>21 Sep</t>
  </si>
  <si>
    <t>28 Sep</t>
  </si>
  <si>
    <t>EpicKey (helper)</t>
  </si>
  <si>
    <t>E1 Foundation</t>
  </si>
  <si>
    <t>PRD/TDD, repo, CLAUDE.md guidance</t>
  </si>
  <si>
    <t>Done</t>
  </si>
  <si>
    <t>Platform</t>
  </si>
  <si>
    <t>First commit</t>
  </si>
  <si>
    <t>FastAPI scaffold, TDD §2.1 schema, Alembic</t>
  </si>
  <si>
    <t>All core tables</t>
  </si>
  <si>
    <t>Docker Compose (Postgres 16 + Redis 7)</t>
  </si>
  <si>
    <t>Local dev only</t>
  </si>
  <si>
    <t>CI: pytest, ruff, black, tsc</t>
  </si>
  <si>
    <t>GitHub Actions, green</t>
  </si>
  <si>
    <t>E2 Ingestion</t>
  </si>
  <si>
    <t>BallDontLie adapter (NBA)</t>
  </si>
  <si>
    <t>Data</t>
  </si>
  <si>
    <t>First real adapter</t>
  </si>
  <si>
    <t>TheRundown adapter (odds)</t>
  </si>
  <si>
    <t>American-&gt;decimal</t>
  </si>
  <si>
    <t>API-Football adapter (Pro tier)</t>
  </si>
  <si>
    <t>Fixtures/stats/injuries/H2H</t>
  </si>
  <si>
    <t>Live scores + outcome settlement</t>
  </si>
  <si>
    <t>FixtureLiveState now written</t>
  </si>
  <si>
    <t>Celery worker + beat actually running</t>
  </si>
  <si>
    <t>Never ran before this</t>
  </si>
  <si>
    <t>E3 ML NBA</t>
  </si>
  <si>
    <t>Historical collection (6 seasons)</t>
  </si>
  <si>
    <t>ML</t>
  </si>
  <si>
    <t>~14.5k games</t>
  </si>
  <si>
    <t>XGBoost + isotonic, 16 features</t>
  </si>
  <si>
    <t>68.57% vs 55.43% base</t>
  </si>
  <si>
    <t>Big3/Top5 key-player availability</t>
  </si>
  <si>
    <t>Two-stage, leakage-guarded</t>
  </si>
  <si>
    <t>E4 ML Football</t>
  </si>
  <si>
    <t>EPL + Brasileirao collection</t>
  </si>
  <si>
    <t>7.6k game-log rows</t>
  </si>
  <si>
    <t>Two-layer Poisson -&gt; XGBoost 1X2</t>
  </si>
  <si>
    <t>47.9% vs 46.5% base</t>
  </si>
  <si>
    <t>Elo, streaks, richer H2H</t>
  </si>
  <si>
    <t>21 features</t>
  </si>
  <si>
    <t>Expand to 5 leagues (MLS/CSL/Scot)</t>
  </si>
  <si>
    <t>Fixed O/U bias</t>
  </si>
  <si>
    <t>Retrodiction for completed fixtures</t>
  </si>
  <si>
    <t>Leakage-safe path</t>
  </si>
  <si>
    <t>E5 ML Tennis</t>
  </si>
  <si>
    <t>BallDontLie ATP adapter</t>
  </si>
  <si>
    <t>ALL-STAR tier</t>
  </si>
  <si>
    <t>Collection + train (17.7k examples)</t>
  </si>
  <si>
    <t>63.9% vs 62.2% rank base</t>
  </si>
  <si>
    <t>Fix target leakage (winner as player1)</t>
  </si>
  <si>
    <t>Caught pre-launch</t>
  </si>
  <si>
    <t>Retirements, tournament grouping</t>
  </si>
  <si>
    <t>VOID badge</t>
  </si>
  <si>
    <t>Kickoff refresh + live derivation</t>
  </si>
  <si>
    <t>26-&gt;20 estimated</t>
  </si>
  <si>
    <t>E6 Picks</t>
  </si>
  <si>
    <t>GET /picks, EV + threshold logic</t>
  </si>
  <si>
    <t>Backend</t>
  </si>
  <si>
    <t>TDD §4.2</t>
  </si>
  <si>
    <t>Extra markets: DC, O/U goals, corners</t>
  </si>
  <si>
    <t>Poisson-derived</t>
  </si>
  <si>
    <t>Base-rate relative ranking</t>
  </si>
  <si>
    <t>Replaced pure EV</t>
  </si>
  <si>
    <t>GET /history + summary</t>
  </si>
  <si>
    <t>Was a 501 stub</t>
  </si>
  <si>
    <t>E7 Mobile</t>
  </si>
  <si>
    <t>Expo scaffold, 8 routes, API client</t>
  </si>
  <si>
    <t>Mobile</t>
  </si>
  <si>
    <t>Web + Android verified</t>
  </si>
  <si>
    <t>Auth, guest sessions, biometrics</t>
  </si>
  <si>
    <t>SecureStore JWT</t>
  </si>
  <si>
    <t>Fixture cards, verdicts, flags</t>
  </si>
  <si>
    <t>Real flag PNGs</t>
  </si>
  <si>
    <t>Picks UI rebuild (dropdowns, calendar)</t>
  </si>
  <si>
    <t>Per mockups</t>
  </si>
  <si>
    <t>Theme: light/dark/system, account-synced</t>
  </si>
  <si>
    <t>Cross-device verified</t>
  </si>
  <si>
    <t>Score on each team's row, badge aligned</t>
  </si>
  <si>
    <t>Per mockups; measured, not eyeballed</t>
  </si>
  <si>
    <t>Equal control widths, filters aligned</t>
  </si>
  <si>
    <t>Shared FILTER_TRIGGER_WIDTH</t>
  </si>
  <si>
    <t>E8 Model Quality</t>
  </si>
  <si>
    <t>Measure O/U signal (found ~none)</t>
  </si>
  <si>
    <t>corr +0.030</t>
  </si>
  <si>
    <t>Refute Negative Binomial premise</t>
  </si>
  <si>
    <t>var/mean = 1.003</t>
  </si>
  <si>
    <t>TheStatsAPI eval + xG integration</t>
  </si>
  <si>
    <t>xG r=+0.129 vs goals +0.062</t>
  </si>
  <si>
    <t>xG collection (5 leagues)</t>
  </si>
  <si>
    <t>Superseded by row 47: 5-league collection finished, 5.9k matches</t>
  </si>
  <si>
    <t>Retrain + measure O/U buckets</t>
  </si>
  <si>
    <t>Superseded by rows 48/90: retrained, O/U buckets measured</t>
  </si>
  <si>
    <t>League-identity features (partial pooling)</t>
  </si>
  <si>
    <t>Superseded by row 49: built, measured, NEGATIVE, disabled</t>
  </si>
  <si>
    <t>Collect La Liga/Bundesliga/Ligue1 history</t>
  </si>
  <si>
    <t>Game logs collected for all 4 (+ Serie A). 7,028 fixtures, pool +81%</t>
  </si>
  <si>
    <t>Lineups Scottish Prem + MLS, retrain</t>
  </si>
  <si>
    <t>DROPPED, not delivered: key-player features pruned, so lineups feed nothing</t>
  </si>
  <si>
    <t>GO / NO-GO on Over-Under market</t>
  </si>
  <si>
    <t>GO. z=+2.96 p=0.0031 through the calibrated production path</t>
  </si>
  <si>
    <t>◆</t>
  </si>
  <si>
    <t>xG collection complete (5 leagues, 5.9k matches)</t>
  </si>
  <si>
    <t>96-100% coverage per season</t>
  </si>
  <si>
    <t>Retrain on full xG coverage</t>
  </si>
  <si>
    <t>O/U buckets monotonic, z=+1.86 (p=0.062)</t>
  </si>
  <si>
    <t>League-identity features — NEGATIVE result</t>
  </si>
  <si>
    <t>Made it worse; built, measured, disabled, documented</t>
  </si>
  <si>
    <t>Confirm training is deterministic</t>
  </si>
  <si>
    <t>Reproduced bit-for-bit; no seed noise in any comparison</t>
  </si>
  <si>
    <t>Shot-based features from shotmap</t>
  </si>
  <si>
    <t>ACTION (DEV): Last untried O/U lever; data already collected</t>
  </si>
  <si>
    <t>E9 Data Ops</t>
  </si>
  <si>
    <t>TheRundown Pro upgrade</t>
  </si>
  <si>
    <t>Pro active: 5,000 req/month confirmed live (was 1,000). Cadence stays 6h - worst case at 3h is 134% of quota</t>
  </si>
  <si>
    <t>Narrow odds lookahead window</t>
  </si>
  <si>
    <t>ACTION (DEV): Halves per-league cost</t>
  </si>
  <si>
    <t>Re-test API-Football European odds</t>
  </si>
  <si>
    <t>Merged into row 135 (same check, two entries)</t>
  </si>
  <si>
    <t>EPL 2026-27 season opens</t>
  </si>
  <si>
    <t>Milestone</t>
  </si>
  <si>
    <t>WAITING: First real load test</t>
  </si>
  <si>
    <t>WAITING: Auto-renews</t>
  </si>
  <si>
    <t>Fix 9 tennis DRAW outcomes</t>
  </si>
  <si>
    <t>CLOSED 13 Aug: 0 DRAW outcomes remain for tennis (queried). SPORTS_WITHOUT_DRAWS now refuses to settle a tied tennis score, so they cannot come back.</t>
  </si>
  <si>
    <t>WTA subscription + collection</t>
  </si>
  <si>
    <t>Blocked</t>
  </si>
  <si>
    <t>ACTION (YOU): Needs tour subscription</t>
  </si>
  <si>
    <t>Tennis odds (fast-follow)</t>
  </si>
  <si>
    <t>SHIPPED via BallDontLie GOAT: DraftKings + FanDuel, direct match_id join, no fuzzy name matching</t>
  </si>
  <si>
    <t>Tennis kickoff refresh + live derivation</t>
  </si>
  <si>
    <t>26-&gt;20 estimated; rest is a provider limit</t>
  </si>
  <si>
    <t>Injury ingest per-sport isolation</t>
  </si>
  <si>
    <t>NBA stub was aborting football every 30 min</t>
  </si>
  <si>
    <t>Commit 4 Aug work</t>
  </si>
  <si>
    <t>All committed and pushed</t>
  </si>
  <si>
    <t>Review + merge feat/tennis-atp-integration</t>
  </si>
  <si>
    <t>Merged; branch deleted after verifying content identical to main</t>
  </si>
  <si>
    <t>Push main to origin</t>
  </si>
  <si>
    <t>main and origin/main both at 7d0ffd5, 0 ahead / 0 behind</t>
  </si>
  <si>
    <t>Tennis provider decision</t>
  </si>
  <si>
    <t>Product</t>
  </si>
  <si>
    <t>WAITING: Only ~2% of matches carry a real kickoff time</t>
  </si>
  <si>
    <t>E10 Deploy</t>
  </si>
  <si>
    <t>Portable artefact paths</t>
  </si>
  <si>
    <t>resolve_artefact_path + scripts/stage_artefacts.py; verified in a real Linux container</t>
  </si>
  <si>
    <t>infra/ + Render blueprint</t>
  </si>
  <si>
    <t>infra/render.yaml: web, worker, beat off one image</t>
  </si>
  <si>
    <t>Secrets management + env parity</t>
  </si>
  <si>
    <t>CLOSED 13 Aug by the real deploy: all six credentials are sync:false in infra/render.yaml, entered in the Render dashboard, never in git.</t>
  </si>
  <si>
    <t>Monitoring + alerting (Sentry)</t>
  </si>
  <si>
    <t>CLOSED: SENTRY_DSN_BACKEND provisioned, init covers API + worker + beat, and monitor_beat_tasks registers each schedule entry as a cron monitor. Uptime alerting tracked separately.</t>
  </si>
  <si>
    <t>Staging deploy + soak</t>
  </si>
  <si>
    <t>SOAK PASSED from an empty DB - see the milestone row below</t>
  </si>
  <si>
    <t>watchlist table + PICK-07</t>
  </si>
  <si>
    <t>watchlist_items + uq_watchlist_user_fixture; T-60 reminder verified end-to-end, 10/10 checks</t>
  </si>
  <si>
    <t>EAS project + first mobile build</t>
  </si>
  <si>
    <t>EAS project live; dev build installed on a real Android device</t>
  </si>
  <si>
    <t>Push notifications end-to-end</t>
  </si>
  <si>
    <t>VERIFIED ON A REAL PHONE: token minted, PUT /user/push-token persisted, real push delivered</t>
  </si>
  <si>
    <t>Mobile Jest + ESLint</t>
  </si>
  <si>
    <t>ACTION (DEV): tsc is the only check</t>
  </si>
  <si>
    <t>Production deploy - FOOTBALL</t>
  </si>
  <si>
    <t>ACHIEVED 13 Aug. Five services live on Render; /stats/model serves all three sports; beat-&gt;worker chain confirmed by 100+ upcoming fixtures with 83 carrying a pick.</t>
  </si>
  <si>
    <t>Closed beta (football only)</t>
  </si>
  <si>
    <t>ACTION (YOU): Real users, real feedback</t>
  </si>
  <si>
    <t>Public launch readiness review</t>
  </si>
  <si>
    <t>ACTION (YOU): Gated on beta + edge</t>
  </si>
  <si>
    <t>Merge feat/base-rate-relative-picks -&gt; main</t>
  </si>
  <si>
    <t>Fast-forward; main +25 unpushed</t>
  </si>
  <si>
    <t>Local start-up runbook + delivery board</t>
  </si>
  <si>
    <t>SportIQ-Local-Setup.docx</t>
  </si>
  <si>
    <t>E11 Ops Resilience</t>
  </si>
  <si>
    <t>dev_worker.py — worker auto-restart</t>
  </si>
  <si>
    <t>PREVENTION: Celery has no --reload</t>
  </si>
  <si>
    <t>code_version + /health + check_stale.py</t>
  </si>
  <si>
    <t>DETECTION: caught a day-old uvicorn</t>
  </si>
  <si>
    <t>Verify deploy restarts worker AND beat</t>
  </si>
  <si>
    <t>CLOSED 13 Aug: the real deploy brought up sportpiq-api, -worker AND -beat, and the populated production feed proves the beat-&gt;worker chain actually ran.</t>
  </si>
  <si>
    <t>GIT_SHA baked into image at build</t>
  </si>
  <si>
    <t>ACTION (DEV): No working tree in a container</t>
  </si>
  <si>
    <t>Sentry + uptime alerting</t>
  </si>
  <si>
    <t>ACTION (DEV): Injury worker failed unnoticed for weeks</t>
  </si>
  <si>
    <t>check_stale in CI / post-deploy smoke</t>
  </si>
  <si>
    <t>ACTION (DEV): Non-zero exit already gates it</t>
  </si>
  <si>
    <t>Review external optimisation consultancy</t>
  </si>
  <si>
    <t>Measured their DC claim; benchmark used 2k not 8.7k fixtures</t>
  </si>
  <si>
    <t>4-arm experiment: OOF / HFA on full data</t>
  </si>
  <si>
    <t>OOF +3.8pts, -20% RPS. HFA HURTS - rejected</t>
  </si>
  <si>
    <t>OOF stacking in train_football.py</t>
  </si>
  <si>
    <t>Fixes the documented Layer 2 in-sample optimism</t>
  </si>
  <si>
    <t>Prune 7 features (25 -&gt; 18)</t>
  </si>
  <si>
    <t>moneyline 0.7% populated / importance 0.000; key players x4</t>
  </si>
  <si>
    <t>RETRAIN: best model to date</t>
  </si>
  <si>
    <t>acc 0.4837, RPS 0.2151, all 4 Brier scores improved</t>
  </si>
  <si>
    <t>Over/Under clears significance</t>
  </si>
  <si>
    <t>z=+2.96 p=0.0031 (was +1.86 p=0.062) - GATE IS GO</t>
  </si>
  <si>
    <t>Root-cause DB connection failures</t>
  </si>
  <si>
    <t>localhost -&gt; IPv6 ::1; Docker binds IPv4 only. Pinned 127.0.0.1</t>
  </si>
  <si>
    <t>Remove now-unused key-player ingest</t>
  </si>
  <si>
    <t>ACTION (DEV): Stage 1 + injury calls still run for features nothing consumes</t>
  </si>
  <si>
    <t>Pin 127.0.0.1 in compose/.env.example/runbook</t>
  </si>
  <si>
    <t>compose + .env.example + runbook troubleshooting row</t>
  </si>
  <si>
    <t>Collect historical closing odds</t>
  </si>
  <si>
    <t>ACTION (DEV): Strongest known predictor, currently 59 of 8,718 rows</t>
  </si>
  <si>
    <t>Probe TheStatsAPI for 4 European leagues</t>
  </si>
  <si>
    <t>Caught 2 lower-division traps: '2. Bundesliga', 'LaLiga 2'</t>
  </si>
  <si>
    <t>Game logs: Bundesliga/Serie A/La Liga/Ligue 1</t>
  </si>
  <si>
    <t>7,028 fixtures. Pool 8,718 -&gt; 15,746 (+81%)</t>
  </si>
  <si>
    <t>Fix xG resolve team-name tiebreak</t>
  </si>
  <si>
    <t>DB empty pre-season; 15-23% of fixtures were being dropped</t>
  </si>
  <si>
    <t>xG collection (4 European leagues)</t>
  </si>
  <si>
    <t>Complete: all 9 leagues carry xG (21,396 rows)</t>
  </si>
  <si>
    <t>Retrain pooled across 9 leagues</t>
  </si>
  <si>
    <t>Retrained - see the RETRAIN milestone row. O/U trend strengthened to z=+3.35</t>
  </si>
  <si>
    <t>Corners for the 4 new leagues (DEFERRED)</t>
  </si>
  <si>
    <t>CLOSED 13 Aug: corners now present for every European league (seriea 363, laliga 345, ligue1 298, bundesliga 278 test rows).</t>
  </si>
  <si>
    <t>Merge feat/european-leagues -&gt; main</t>
  </si>
  <si>
    <t>Merged via PR #1 (rebase); CI green on both jobs</t>
  </si>
  <si>
    <t>Root-cause stale uvicorn serving 500s</t>
  </si>
  <si>
    <t>7h40m stale, predated the feature prune. 200 in-process vs 500 via server</t>
  </si>
  <si>
    <t>Fix: ingest only the current tournament edition</t>
  </si>
  <si>
    <t>A poll wrote 2,616 fixtures spanning 2007-2026; 119 were current</t>
  </si>
  <si>
    <t>Fix: let a revised kickoff correct a stale date</t>
  </si>
  <si>
    <t>Matches moved to today sat under yesterday, 3 already live</t>
  </si>
  <si>
    <t>Purge 3,443 pre-2026 tennis fixtures</t>
  </si>
  <si>
    <t>Not a coherent record: 2007 had 134 matches vs a real season of thousands</t>
  </si>
  <si>
    <t>Fix Celery: 4 duplicate workers, no beat at all</t>
  </si>
  <si>
    <t>Nothing had been running on the 5-min schedule. Now 1 worker + 1 beat</t>
  </si>
  <si>
    <t>Portable artefact paths (MODELS_DIR + migration)</t>
  </si>
  <si>
    <t>All 3 models stored an absolute Windows path; none could load in a container</t>
  </si>
  <si>
    <t>Stage active artefacts into the image</t>
  </si>
  <si>
    <t>ml/artifacts was gitignored, so portable paths alone still resolved to nothing</t>
  </si>
  <si>
    <t>infra/render.yaml: web + worker + BEAT + PG/Redis</t>
  </si>
  <si>
    <t>Image built and run: models load on Linux, alembic head OK, 4 tasks scheduled</t>
  </si>
  <si>
    <t>watchlist_items + T-60 kickoff reminder</t>
  </si>
  <si>
    <t>PICK-07. Unblocks notify_kickoff_reminder, a stub since it was written</t>
  </si>
  <si>
    <t>EAS build profiles + bundle identifiers</t>
  </si>
  <si>
    <t>iOS id was absent entirely; Android was Expo's com.anonymous default</t>
  </si>
  <si>
    <t>Staging soak harness (infra/soak-compose.yml)</t>
  </si>
  <si>
    <t>Same image, 3 roles, throwaway PG/Redis, isolated from the dev stack</t>
  </si>
  <si>
    <t>SOAK PASSED: full stack from empty DB</t>
  </si>
  <si>
    <t>ACHIEVED. Re-proven for real on 13 Aug by the production deploy itself.</t>
  </si>
  <si>
    <t>Run eas login + eas init (needs Expo account)</t>
  </si>
  <si>
    <t>Done - projectId set, push token minted successfully</t>
  </si>
  <si>
    <t>EAS project linked (@usangr01/sportiq)</t>
  </si>
  <si>
    <t>projectId written; push tokens now mintable. Run eas from mobile/, not the root</t>
  </si>
  <si>
    <t>Rename SportIQ -&gt; SportPIQ (identifiers + infra)</t>
  </si>
  <si>
    <t>Bundle ids, scheme (both sides), infra service names. DB/volume left alone</t>
  </si>
  <si>
    <t>Trademark clearance research (UK IPO)</t>
  </si>
  <si>
    <t>108 marks reviewed; 2 candidate conflicts examined in detail, both weakened</t>
  </si>
  <si>
    <t>Rename Expo project sportiq -&gt; sportpiq</t>
  </si>
  <si>
    <t>CLOSED: mobile/app.json already carries name SportPIQ and slug sportpiq.</t>
  </si>
  <si>
    <t>Professional trademark clearance (UK + EU)</t>
  </si>
  <si>
    <t>ACTION (YOU): Before brand spend. Few hundred GBP vs rebranding after launch</t>
  </si>
  <si>
    <t>Firebase project + FCM V1 key uploaded to EAS</t>
  </si>
  <si>
    <t>sportpiq-10b64. Expo's side of the Android push chain is complete</t>
  </si>
  <si>
    <t>Relink EAS project after rename (sportiq -&gt; sportpiq)</t>
  </si>
  <si>
    <t>eas has no rename cmd; safe only because the old project had no builds</t>
  </si>
  <si>
    <t>Register Android app in Firebase for google-services.json</t>
  </si>
  <si>
    <t>google-services.json in place; real token minted proves the chain resolves</t>
  </si>
  <si>
    <t>Development build + verify push on a real device</t>
  </si>
  <si>
    <t>Dev build on a real device; push delivered and confirmed by the user</t>
  </si>
  <si>
    <t>google-services.json wired into the Android build</t>
  </si>
  <si>
    <t>package_name verified as an exact match before wiring; same project as the FCM key</t>
  </si>
  <si>
    <t>Restrict Android API key to package + SHA-1 (GCP)</t>
  </si>
  <si>
    <t>CLOSED 11 Aug: restricted to package com.sportpiq.app + the EAS SHA-1, and to the Firebase Installations and FCM Registration APIs only.</t>
  </si>
  <si>
    <t>First real-device test session (dev build on Android)</t>
  </si>
  <si>
    <t>ACHIEVED. Real device loaded real data and surfaced three bugs the web target never showed.</t>
  </si>
  <si>
    <t>Fix: fixture card sizing on device (2 iterations)</t>
  </si>
  <si>
    <t>h-full -&gt; unbounded, then flex-1 -&gt; zero. Now content-sized with a 52px floor</t>
  </si>
  <si>
    <t>Fix: theme switch crashed with a navigation error</t>
  </si>
  <si>
    <t>NativeWind's dev warning printer hit a throwing getter. patch-package. DEV ONLY</t>
  </si>
  <si>
    <t>Fix: test suite polluted the dev database</t>
  </si>
  <si>
    <t>24 fake sports reached the app's own dropdown. Purged + autouse cleanup fixture</t>
  </si>
  <si>
    <t>Verify push token minting + delivery on device</t>
  </si>
  <si>
    <t>CONFIRMED: notification received on the phone; T-60 reminder also verified</t>
  </si>
  <si>
    <t>Decide whether badge should height-match the team rows</t>
  </si>
  <si>
    <t>ACTION (DEV): Traded exact alignment for a badge that cannot collapse or run away</t>
  </si>
  <si>
    <t>TheRundown Pro live and verified</t>
  </si>
  <si>
    <t>5,000/MONTH (not per day). GET /sports 200, 36 sports, quota fresh</t>
  </si>
  <si>
    <t>Measure real odds-cycle quota cost</t>
  </si>
  <si>
    <t>A full cycle cost 0 requests: cost scales with fixtures played, not leagues</t>
  </si>
  <si>
    <t>ACTION 21 Aug: recheck API-Football EPL odds</t>
  </si>
  <si>
    <t>ACTION (YOU): If it flips to True, TheRundown Pro is redundant and can be dropped</t>
  </si>
  <si>
    <t>Trace where the 1,000/month basic quota went</t>
  </si>
  <si>
    <t>A 5-min polling loop against out-of-season leagues. Yield: 2 rows, one NBA game</t>
  </si>
  <si>
    <t>TENNIS ODDS LIVE: ATP/WTA via TheRundown</t>
  </si>
  <si>
    <t>ACHIEVED. ATP priced end to end; WTA still blocked on its own subscription.</t>
  </si>
  <si>
    <t>Fix: tennis home/away orientation for odds matching</t>
  </si>
  <si>
    <t>Sides disagreed on 8 of 22 matches; those silently got no price at all</t>
  </si>
  <si>
    <t>Fix: inverted bookmaker was being selected by max()</t>
  </si>
  <si>
    <t>Two passes. Distance test missed near-even matches; structural test does not</t>
  </si>
  <si>
    <t>Decide whether to exclude Polymarket at ingest</t>
  </si>
  <si>
    <t>ACTION (DEV): 3 of 3 ATP matches inverted - looks systematic. Needs more days before concluding</t>
  </si>
  <si>
    <t>Merge duplicate API-Football odds re-test rows (54 and 135)</t>
  </si>
  <si>
    <t>Done - row 54 folded into row 135; 135 is the single 21 Aug re-check</t>
  </si>
  <si>
    <t>PostHog analytics (mobile only) - DEFERRED</t>
  </si>
  <si>
    <t>WAITING: Deliberately after launch: on a dev build it mostly measures us</t>
  </si>
  <si>
    <t>Firebase config complete for BOTH platforms</t>
  </si>
  <si>
    <t>GoogleService-Info.plist added; BUNDLE_ID + project verified against Android</t>
  </si>
  <si>
    <t>xG collection COMPLETE across all 9 leagues</t>
  </si>
  <si>
    <t>10,698 of 15,746 fixtures (67.9%). Ligue 1 + Serie A resolved at 100%</t>
  </si>
  <si>
    <t>RETRAIN 9 leagues: best model to date</t>
  </si>
  <si>
    <t>ACHIEVED, and since superseded by the 18-league pool now serving in production.</t>
  </si>
  <si>
    <t>Fix: surface whitespace split Grass into two</t>
  </si>
  <si>
    <t>190 of 2,295 grass matches excluded from live surface features. Silent</t>
  </si>
  <si>
    <t>MEASURE viability of a total-games market</t>
  </si>
  <si>
    <t>Answer: NOT predictable from current features (r=+0.05). Ran BEFORE building</t>
  </si>
  <si>
    <t>Viability notebook + dataset for team review</t>
  </si>
  <si>
    <t>ml/export/SportIQ_Tennis_Games_Viability.ipynb, executed, 17,273 matches</t>
  </si>
  <si>
    <t>Total games v1: player rolling avg games features</t>
  </si>
  <si>
    <t>WON'T BUILD: superseded - GOAT arrived early so the gate ran with serve stats (a stronger feature set than this) and FAILED</t>
  </si>
  <si>
    <t>Total games v1: surface + opponent-adjusted tendency</t>
  </si>
  <si>
    <t>WON'T BUILD: superseded by the failed gate</t>
  </si>
  <si>
    <t>Total games v1: count model + validate vs base rate</t>
  </si>
  <si>
    <t>GATE RUN AND FAILED - see the decision row below. Market NOT built</t>
  </si>
  <si>
    <t>Total games: wire market + odds (only if the gate passes)</t>
  </si>
  <si>
    <t>WON'T BUILD: gate did not pass, so the market is not wired</t>
  </si>
  <si>
    <t>Serve-stat features - BLOCKED on GOAT tier</t>
  </si>
  <si>
    <t>UNBLOCKED - GOAT active. /match_stats collected: 138,219 rows, 64,266 matches, 0% nulls</t>
  </si>
  <si>
    <t>BallDontLie GOAT tier active (ATP)</t>
  </si>
  <si>
    <t>ACHIEVED - confirmed on the APIs &amp; Quotas sheet (GOAT, 600 req/min). The 600/min budget is what made the 2,000-row surface backfill affordable on 13 Aug.</t>
  </si>
  <si>
    <t>X</t>
  </si>
  <si>
    <t>ATP serve-stat collection</t>
  </si>
  <si>
    <t>138,219 rows / 64,266 matches / 2007-2026; 17,434 in the 2021-25 window at 0% nulls. Two independent passes agree exactly</t>
  </si>
  <si>
    <t>DECISION: total games NOT built (gate failed)</t>
  </si>
  <si>
    <t>Serve features are 2.5x stronger than anything prior and still no edge: at real lines 21.5 -0.0004, 22.5 +0.0040, 23.5 -0.0274. Predictions compress to the mean (sd 2.12 vs reality 7.87). ~1 week of build avoided</t>
  </si>
  <si>
    <t>Tennis odds: BallDontLie moneyline</t>
  </si>
  <si>
    <t>DraftKings + FanDuel. Direct match_id join. Caught a real bug: /odds returns FINISHED matches (70 of 94), whose last in-play price encodes the result</t>
  </si>
  <si>
    <t>Hourly tennis odds refresh (quota-free)</t>
  </si>
  <si>
    <t>Separate job on BallDontLie only - GOAT is 600/min so it costs nothing against TheRundown's monthly cap. Fixes prices missing on tennis cards</t>
  </si>
  <si>
    <t>Per-sport base rates for the pick gate</t>
  </si>
  <si>
    <t>Tennis h2h measured 0.6217 over 17,434 matches vs football's 0.4582. Wrong table admitted picks saying less than nothing</t>
  </si>
  <si>
    <t>T-60 reminder armed on watchlist save</t>
  </si>
  <si>
    <t>Daily 02:00 sweep alone missed anything saved same-day. Shared scheduler keeps the estimated-kickoff and status guards</t>
  </si>
  <si>
    <t>Corners: blend model toward rolling history (0.75)</t>
  </si>
  <si>
    <t>Gated picks 52.1% -&gt; 61.7% at 10.5 on 1,277 held-out fixtures. Attack-vs-defence over 20 matches; H2H excluded (measured worst). LIMIT: only ~27% of live fixtures have enough history yet</t>
  </si>
  <si>
    <t>DECISION: H2H penalty rejected</t>
  </si>
  <si>
    <t>WON'T BUILD. H2H is worse than the league mean in every market - corners MAE 3.26 vs 2.75, goals 1.52 vs 1.33, 1X2 Brier 0.36 vs 0.2476 (corr -0.048). Every window tested, shorter is worse</t>
  </si>
  <si>
    <t>DECISION: completeness gate rejected</t>
  </si>
  <si>
    <t>WON'T BUILD. corr(completeness, correct) = +0.072 on n=84, SE 0.111 - not distinguishable from zero, and buckets non-monotonic. A 0.50 threshold would drop 85% of the feed for no measured gain</t>
  </si>
  <si>
    <t>Stale loopback server resolved (reboot)</t>
  </si>
  <si>
    <t>Ops</t>
  </si>
  <si>
    <t>127.0.0.1:8000 and the LAN IP served DIFFERENT data for days - an ownerless socket. Made a working fix look broken. Both now agree</t>
  </si>
  <si>
    <t>Collect lineups: MLS + 4 European leagues</t>
  </si>
  <si>
    <t>CLOSED as NO LONGER NEEDED, not as done. Commit d0a24d9 pruned the four key-player features, so lineups feed nothing the model can consume. Collecting them would repeat the ~10,500-call mistake of 9 Aug.</t>
  </si>
  <si>
    <t>Collect corners: 4 European leagues</t>
  </si>
  <si>
    <t>CLOSED 13 Aug: the backfill took coverage 66% -&gt; 91% overall and all four now carry corners. Veikkausliiga at 44% is genuine provider absence, not a collection miss.</t>
  </si>
  <si>
    <t>NEXT: lineups for bundesliga/laliga/ligue1/seriea</t>
  </si>
  <si>
    <t>CLOSED as NO LONGER NEEDED - same reason: the features these would feed were pruned in d0a24d9. Reopen only alongside rebuilding key-player availability.</t>
  </si>
  <si>
    <t>NEXT: retrain on the complete 9-league pool</t>
  </si>
  <si>
    <t>CLOSED - superseded. The serving model is pooled across 18 leagues, with per-league AND per-league-x-per-market metrics reported every run.</t>
  </si>
  <si>
    <t>NEXT: re-fit the corners blend lambda after retrain</t>
  </si>
  <si>
    <t>ACTION (DEV): 0.75 was fitted against the CURRENT corners model. A better model deserves different weight - easy to forget and would leave a stale constant in production</t>
  </si>
  <si>
    <t>Closing odds capture + CLV metric</t>
  </si>
  <si>
    <t>CLOSED as BUILT: capture_closing_odds runs on schedule, closing_line_value() exists, and the notebook reports CLV with a control arm. The first read at a real sample size is data-gated - see the 22 Sep milestone.</t>
  </si>
  <si>
    <t>Multiple form windows (3 / 5 / 10 / season)</t>
  </si>
  <si>
    <t>CLOSED 13 Aug for ALL THREE SPORTS, the last inherited hyperparameter. Football moved UP to 10 from an inherited 5; tennis (0.6377 vs 0.6312) and NBA (RPS 0.2013 vs 0.2039 and 0.2041) both defended 10 against shorter windows. 'Shorter is fresher' is dead.</t>
  </si>
  <si>
    <t>Wire shots / shots-on-target / possession as features</t>
  </si>
  <si>
    <t>ACTION (DEV): ALREADY FETCHED for the H2H panel, just not model inputs. Shots predict goals better than goals do at small samples</t>
  </si>
  <si>
    <t>BTTS market</t>
  </si>
  <si>
    <t>ACTION (DEV): Only named market from the top-30 doc we lack. (1-e^-xg_home)(1-e^-xg_away) on the existing Poisson assumption - no new data</t>
  </si>
  <si>
    <t>Probe coverage.odds for the top-30 doc's Tier-1 ten</t>
  </si>
  <si>
    <t>RESULT: 9 of 10 have odds. Allsvenskan 113, Eliteserien 103, Veikkausliiga 244, Ekstraklasa 106, Denmark Superliga 119, Liga I 283, J1 League 98, Czech 345, Austrian Bundesliga 218. REJECTED: A-League (188) odds=False in all 6 seasons. Cost ~15 calls</t>
  </si>
  <si>
    <t>Game logs for whichever Tier-1 leagues have odds</t>
  </si>
  <si>
    <t>ACTION (DEV): ~5 calls per league. 1X2 + goals + BTTS need ONLY the game log; corners/lineups are the expensive per-fixture extras</t>
  </si>
  <si>
    <t>Check Expo push RECEIPTS, not just tickets</t>
  </si>
  <si>
    <t>DONE (920e897). push_tickets table + a 30-min worker. A ticket only means ACCEPTED; the receipt is the only place DeviceNotRegistered, MessageTooBig and above all InvalidCredentials appear - the last fails EVERY send for EVERY user while every ticket reports success. Checked rows are deleted (work queue, not history); a lookup FAILURE leaves them for the next run, since a failed lookup is not a failed delivery</t>
  </si>
  <si>
    <t>Purge 141 fake push tokens from the dev DB</t>
  </si>
  <si>
    <t>CLOSED 13 Aug: 0 test tokens remain (queried).</t>
  </si>
  <si>
    <t>Dedicated test database</t>
  </si>
  <si>
    <t>CLOSED: suite runs against sportiq_test, created and migrated by conftest, which refuses to start if the test URL resolves to the app database.</t>
  </si>
  <si>
    <t>Extend ruff/black to ml/</t>
  </si>
  <si>
    <t>DONE (4a4d6d4, CI-verified). 46 accumulated errors fixed; both trees now share backend's config. Notebooks excluded (provenance/exported artefacts). All 12 scripts import-checked after reformatting - they have no test coverage - and train_football.py AST-compared before/after: 9 functions, 99 calls, 132 assignments identical, so its 69-line drop was purely formatting</t>
  </si>
  <si>
    <t>DECIDE by 22 Sep: renew API-Football Ultra?</t>
  </si>
  <si>
    <t>ACTION (YOU): Ends 2026-09-29, NOT 08-29 as previously recorded - confirmed live via GET /status. Ultra is 75,000/day; current burn is ~24k on a heavy collection day, so the allowance is not the constraint, the end date is</t>
  </si>
  <si>
    <t>Game logs for the 9 odds-covered Tier-1 leagues</t>
  </si>
  <si>
    <t>DONE: 22,972 game-log rows / 11,486 fixtures, 9 leagues x 2021-2025, plus real xG at 99-100% resolution per league</t>
  </si>
  <si>
    <t>Pooled retrain across 18 leagues</t>
  </si>
  <si>
    <t>football_xgb_v20260809224336 active. 48.57% vs 44.43% baseline (+4.14pp, held vs +4.09pp on 9 leagues). KEY WIN: under-3.5 reliability buckets MONOTONIC for the first time (.604/.673/.716/.755), trend z +3.35 -&gt; +5.92. Headline accuracy is NOT comparable across pools - the test set changes; judge the gap over each run's own baseline</t>
  </si>
  <si>
    <t>|</t>
  </si>
  <si>
    <t>Corners history for the 9 Tier-1 leagues</t>
  </si>
  <si>
    <t>DONE: 14,390 rows / 7,195 fixtures, 35-71% coverage per league. Sampled 6 fixtures/league first to confirm coverage before spending ~11,486 calls</t>
  </si>
  <si>
    <t>Completeness floor on best_pick</t>
  </si>
  <si>
    <t>Tottenham-Newcastle served 1X at 99.7% off 3-of-31 features (pre-season, no matches played). Floor at 0.25 measured from the cliff: 85% of picks below it are &gt;=0.90 extreme vs 6% just above. NOT a probability cap - the 0.50+ band is equally extreme and 81% correct on n=64, so a cap would blunt the band that works</t>
  </si>
  <si>
    <t>Duplicate uvicorn/celery processes cleared</t>
  </si>
  <si>
    <t>Found 2 uvicorn, 2 celery workers AND 2 celery beats running. Duplicate beat means every scheduled task fires twice - double API spend, invisible. Restarted one of each</t>
  </si>
  <si>
    <t>Wire the 9 Tier-1 leagues into live serving</t>
  </si>
  <si>
    <t>Done (2b365e6). LEAGUE_IDS + seeded League rows + a train/serve parity guard so it cannot drift again. Verified live: J1 20 fixtures/17 predictions, Allsvenskan 20, Ekstraklasa 22 (incl. 3 real postponements), Liga I 18</t>
  </si>
  <si>
    <t>Fix: J1 League season labelled by its END year</t>
  </si>
  <si>
    <t>Japan is mid-switch from calendar-year to autumn-spring, and API-Football labels the 2026-08-07 -&gt; 2027-06-06 season '2027' while the EPL's equivalent is '2026'. Both existing rules returned a season that ended in June, so the league silently ingested ZERO fixtures - HTTP 200, empty errors, results=0, indistinguishable from 'no matches this week'. Found by diffing our computed season against the provider's own current=true flag for all 18 leagues: 17 right, 1 wrong (8445900)</t>
  </si>
  <si>
    <t>APIs &amp; Quotas sheet refreshed from live /status</t>
  </si>
  <si>
    <t>CORRECTION: sheet said Pro / 7,500 per day / ends 2026-08-29 and called it a 20-day hard deadline. Live reading: Ultra, 75,000/day, ends 2026-09-29 - a month further out and ~10x the allowance. Second time a carried-forward figure overstated urgency without being re-measured. The binding limit is 450/MINUTE, not the daily cap</t>
  </si>
  <si>
    <t>Retrain: corners regressors finally see all 18 leagues</t>
  </si>
  <si>
    <t>football_xgb_v20260810070503 active. Corners training rows 6,521 -&gt; 10,877, test rows 2,291 -&gt; 3,731. MAE 2.167 -&gt; 2.157 is NOT an improvement - the test set grew, so the two score different exams; what improved is trustworthiness, not the number. Verified by hashing: corners boosters CHANGED, layer1/layer2 byte-IDENTICAL, which is why 1X2 accuracy/RPS are unchanged at 0.4857/0.2144 - correct scoping, not a broken run. All 91 upcoming predictions regenerated onto it; feed now serves 53 picks across 7 leagues including 4 newly-wired ones, max probability 0.932, zero &gt;=0.95</t>
  </si>
  <si>
    <t>MEASURED: new-league picks are genuinely overconfident</t>
  </si>
  <si>
    <t>ROOT-CAUSED AND FIXED (7223408). Two faults: (1) game logs ended 2-8 months before the fixtures, so features were stale but PRESENT - invisible to feature_completeness, which measures presence not freshness; (2) THE REAL ONE - the retrodiction game log concatenates parquet rows (int64 FIXTURE_ID) with DB rows (str), and elo lookups always used the str, so EVERY parquet-sourced fixture silently got elo_diff=None. Calibration: claimed 82.3%/actual 45.8% (P=0.0001) -&gt; claimed 72.8%/actual 57.7% (P=0.0698, no longer significant). Predicted away-win 5.7% -&gt; 29.3% vs actual 36.6%</t>
  </si>
  <si>
    <t>Current-season history for the 9 new leagues</t>
  </si>
  <si>
    <t>Game-log collection is now ADDITIVE (fetches only missing seasons and merges) instead of skipping whenever the parquet exists, which had made it a one-off. All 9 leagues now reach 2026-08-09, zero historical rows lost. J1 needed BOTH season 2026 (short transitional) and 2027 (current, labelled by end year)</t>
  </si>
  <si>
    <t>Elo silently absent for parquet-sourced retrodictions</t>
  </si>
  <si>
    <t>Latent across ALL leagues, not just the new ones - any fixture already in the cached parquet lost its elo_diff. Looked league-specific only because whether a fixture was parquet-sourced or DB-sourced decided whether it hit. The dedup filter three lines above already normalised with .astype(str); the same fix simply had not been applied to the elo path. Regression-tested in test_retrodiction_elo_key_types.py</t>
  </si>
  <si>
    <t>Season resolved from the provider, not a hardcoded guess</t>
  </si>
  <si>
    <t>resolve_current_season reads API-Football's own current=true flag, 12h cached, falling back to the hardcoded conventions on any failure (so it can only improve on the old behaviour, never take ingestion down). A failed lookup is deliberately NOT cached. Removes the class behind THREE silent bugs - Brasileirao, four Tier-1 leagues, and the J1 League's end-year labelling. Verified live across all 18 leagues; 0 corrections today only because the conventions were patched first. 0852887</t>
  </si>
  <si>
    <t>AUDIT: no other silent int/str join splits</t>
  </si>
  <si>
    <t>Checked every parquet/DB join after the Elo bug. All parquets agree on key dtypes (FIXTURE_ID int64, TEAM_ID object); corners/xG merges verified to POPULATE 54-79% rather than silently all-NaN; training-side Elo resolves 100%. _lineup_presence_for_fixture already handled both types explicitly - the Elo path was the one place the known issue had not been applied</t>
  </si>
  <si>
    <t>Corners for the new leagues' 2026 seasons</t>
  </si>
  <si>
    <t>Made additive AND date-bounded. Absence from the corners parquet does NOT mean not-yet-attempted: /fixtures/statistics genuinely returns nothing for 26-45% of historical fixtures and only successes are recorded, so a plain set-difference wanted 4,973 calls, ~4,000 of them re-asking for data the provider has already refused. Bounding by date: 692 calls, 716 new rows. 921f465</t>
  </si>
  <si>
    <t>Retrain was a NO-OP: seasons outside the split are dropped</t>
  </si>
  <si>
    <t>Collected 2026 history, example count rose 27,232 -&gt; 27,914, and every booster hashed BYTE-IDENTICAL to the previous model. TRAIN=[2021-23]/VAL=2024/TEST=2025 means season 2026 matches no split and is silently dropped. The collection was still necessary - it fixed retrodiction (which reads the game log directly) and exposed the Elo bug - but it cannot reach the model yet. Registered football_xgb_v20260810092634, byte-identical to its predecessor. 96a469c</t>
  </si>
  <si>
    <t>Cleared 165 test push tokens from the dev DB</t>
  </si>
  <si>
    <t>164 users shared ExponentPushToken[abcDEF123]; a broad notify run would have fired 165 doomed sends. Allow-list of known-fake literals rather than a pattern, because a real and a fixture token are the same shape and there is exactly one genuine device registration here - verified still present. Cause (suite writes to dev) remains open. f3d4016</t>
  </si>
  <si>
    <t>DECIDE: advance the split windows once 2026 is complete</t>
  </si>
  <si>
    <t>WAITING: Season 2026 currently holds 1,344 rows vs ~10,900 for a completed season. Promoting a 12%-complete season to TEST would make every headline metric small-sample while looking like a like-for-like comparison. Move all three windows together (train 2022-24 / val 2025 / test 2026), not just the test season. Until then, collecting current-season data cannot improve the model - only retrodiction</t>
  </si>
  <si>
    <t>Impossible drawn outcomes: guarded and removed</t>
  </si>
  <si>
    <t>_maybe_settle_outcome fell through to MatchResult.DRAW on any tied score, so 12 tennis rows recorded a result that cannot exist (a retirement leaves equal COMPLETED sets but still has a winner). SPORTS_WITHOUT_DRAWS now settles NOTHING on a tie - no Outcome, no draw-shaped Elo. No winner is guessed because none is available (see the player1 row). Deletion only sticks because of the guard: the first removal was undone within minutes by a stale Celery worker. Verified after restart - 2 real scheduled runs, 2 guard activations, 0 recreated. 05757c2</t>
  </si>
  <si>
    <t>CORRECTED: 'player1 is always the winner' is too strong</t>
  </si>
  <si>
    <t>Measured: LIST ?season=2022 100% (60/60), 2025 100% (59/59), 2026 68% (41/60), GET /matches/{id} 48% (12/25). The ordering is a property of SETTLED HISTORICAL data on the list endpoint. The leakage was real and _home_away_players is still required - training reads settled seasons - but the rule cannot be INVERTED to recover a winner, which is the case that came up. At 48% it is a coin flip. a1c52c3</t>
  </si>
  <si>
    <t>Stale Celery worker hit AGAIN (2nd time in one day)</t>
  </si>
  <si>
    <t>A guard written at 12:28 could not take effect in a worker started at 08:55, so ingest_live_scores re-created the deleted rows every 5 minutes. Same trap as this morning's odds gap. Restart the worker after ANY change under app/ before concluding anything from live data - the symptom is never an error, it is 'my fix did not take'</t>
  </si>
  <si>
    <t>Test DB truncated per session; teardown kept</t>
  </si>
  <si>
    <t>Planned to DELETE the per-test teardown as redundant; reading it, that would have been a downgrade - it also keeps tests independent of each other, which the dedicated database does not address. Stale justifications corrected instead. The real gap was tests with NO teardown: users grew 21 per run indefinitely. conftest now truncates once per session, at the START so a failed run's rows stay inspectable. Verified 21 after both run 1 and run 2. ada6b50</t>
  </si>
  <si>
    <t>Key-player features re-measured, then deleted</t>
  </si>
  <si>
    <t>Re-added all four and retrained on IDENTICAL splits (so the comparison is exact) rather than trusting d0a24d9's verdict, which was reached on a nine-league pool that has since doubled to eighteen with half of it lacking lineups. Result reproduced the original: accuracy 0.4857 -&gt; 0.4870 (+0.13pp, ~7 of 5,487 = noise), RPS 0.2144 -&gt; 0.2151 worse, corners MAE 2.160 -&gt; 2.166 worse, under-3.5 trend z +5.92 -&gt; +4.07 MATERIALLY worse. Bottom reliability bucket rose .604 -&gt; .655 while the top barely moved, i.e. LESS discrimination with the features. Training-time computation and lineup loading deleted; Stage 1 kept for live Stage 2 + mobile. 18-feature model repromoted. 0a62c9f</t>
  </si>
  <si>
    <t>DECIDED: do not exclude Polymarket at ingest</t>
  </si>
  <si>
    <t>The existing consensus test already catches 204 of Polymarket's 228 real tennis rows (89%) and is bookmaker-agnostic. A name-based blocklist would be strictly worse: HardRock inverts 20% of its own rows (42 of 209) and a Polymarket blocklist misses those entirely</t>
  </si>
  <si>
    <t>Implausible prices no longer win best-odds selection</t>
  </si>
  <si>
    <t>Found while investigating Polymarket. A row can be the right way round and still absurd: HardRock supplied 151.00 against a 1.97 median, 76.00 against 2.07, 61.00 against 2.90 - 25 of 100 fixture-sides had a max &gt;=15% above median. The inversion test passes them and MAX selection then picks them. Training has filtered this since an inflated ROI traced to the same rows; serving never did. Latent rather than live - MAX_EDGE_OVER_MARKET happens to reject the pick - but that drops a fixture's pick entirely rather than repricing it. 5e32146</t>
  </si>
  <si>
    <t>Availability: Stage 1 run, id-first join, injuries deduped</t>
  </si>
  <si>
    <t>DONE (a41fa51). CORRECTION first: the '1% broken join' framing was wrong — it compared 130 injured players against six seasons of rosters when injuries are current-state only. Id matching gives 31 vs name's 27, so the join was a fragility, not the bottleneck. Fixed anyway (id-first, name fallback for NBA). Injuries now upsert: 12,330 rows collapsed to 131, having been 95 duplicates per player. Stage 1 run for the playing leagues: Allsvenskan +55 (250-&gt;305). RESULT: 7 of 305 top-5 players injured = 2.3%. Availability is still near-constant, exactly as predicted — feed coverage is the constraint.</t>
  </si>
  <si>
    <t>Stage 1 rosters are thin for the live season</t>
  </si>
  <si>
    <t>PARTLY RESOLVED, and the diagnosis sharpened. Five leagues were playing with zero rosters; Stage 1 had simply never been wired for them (the same drift as LEAGUES vs LEAGUE_IDS). Running it produced rosters for Allsvenskan only. The other four correctly returned ZERO: the ranking pool needs 900 season-minutes with a 450 fallback, and those seasons are 2-4 matches old. So 'blocked on the calendar' was right for those four and wrong for Allsvenskan. Re-run once they pass ~5 matches.</t>
  </si>
  <si>
    <t>Best odds quoted a price no longer on offer</t>
  </si>
  <si>
    <t>Found while investigating the bookmaker-casing item, and much larger than it. Odds rows are append-only snapshots (8.7 per bookmaker per fixture on average, max 47) and every consumer read all of them, so 'best odds' was the maximum EVER seen. Measured on 119 real fixtures: 28% overstated, mean +5.89%, worst +55.29%. That is the price on the card, the odds in the EV calculation and the value min_odds tests — a user could be sent to a price that had gone. Both paths now reduce to the newest row per bookmaker/market/line, keyed case-insensitively, which fixes the casing issue as a side effect. ddfcb46</t>
  </si>
  <si>
    <t>watchlist_items.created_at NOT NULL</t>
  </si>
  <si>
    <t>Stripped from three consecutive unrelated migrations, correctly each time, but never actually done — its own failure mode. Now has its own migration. Zero NULL rows verified first, and autogenerate detects no model/database drift at all afterwards. 11a7495</t>
  </si>
  <si>
    <t>confidence_tier marked unvalidated in every schema</t>
  </si>
  <si>
    <t>No product surface reads it since the badge and push gate went, but it is still returned by four endpoints and a future consumer would have no way to know it had been measured as misleading. Kept rather than dropped: retiring the column would destroy the data needed to recalibrate it, and recalibrating on n=69/89 is the over-fitting refused twice already. 11a7495</t>
  </si>
  <si>
    <t>Withdrawn fixtures retired from the provider's own list, not the clock</t>
  </si>
  <si>
    <t>33 of 53 upcoming ATP fixtures had ceased to exist (404), all carrying a prediction. Time-based sweep is blind to a fixture that vanishes while its kickoff is still ahead. Reconcile against the payload ingest already holds; empty payload retires nothing. 33 retired, 19 left, 19 of 19 priced</t>
  </si>
  <si>
    <t>Tennis odds gap diagnosed: coverage was already 100%</t>
  </si>
  <si>
    <t>Reported as missing odds. Cadence, quota, name matching and stale workers all measured and cleared; every real fixture was priced. The unpriced cards were matches that did not exist</t>
  </si>
  <si>
    <t>Withdrawn fixtures hidden; called-off ones still shown</t>
  </si>
  <si>
    <t>fixtures.withdrawn (faa1ecc4c1ac). Retiring the phantoms left 33 grey cards above the day's 2 real picks. Flag set only by the reconciliation, cleared when the provider relists - a flag that cannot be cleared hides a fixture forever. Detail still serves them</t>
  </si>
  <si>
    <t>Corners Poisson regressors tuned (last untuned estimator)</t>
  </si>
  <si>
    <t>Pre-registered WITH tolerances. under-9.5 Brier 0.2535-&gt;0.2509, corners MAE 2.158-&gt;2.120, under-10.5 buckets inverted-&gt;monotonic. Defaults wrong again: depth 4-&gt;3/4, lr 0.3-&gt;0.032. Scoping proved by booster hashes - layer1/layer2 byte-identical. football_xgb_v20260813004745</t>
  </si>
  <si>
    <t>Over/Under CORNERS held-out evaluation (never existed)</t>
  </si>
  <si>
    <t>Corners was judged by MAE alone, which is not what the market sells - the same gap that let goals ship overconfident. Brier + reliability buckets per line, every run, logged to MLflow. Shows discrimination is real but weak: predicted spans 0.2-0.7, observed only 0.44-0.56</t>
  </si>
  <si>
    <t>Retrains now reach the feed (stale model_version re-queue)</t>
  </si>
  <si>
    <t>All 135 upcoming football fixtures were serving predictions from one of FOUR superseded versions. Guard only asked 'does a prediction exist'; promotion is a DB update so nothing logged. Re-queues on version change only, so a daily run still queues nothing</t>
  </si>
  <si>
    <t>Prediction-history analytics notebook</t>
  </si>
  <si>
    <t>ml/notebooks/prediction_history.ipynb - daily results, cumulative accuracy with Wilson bands, reliability/Brier, confidence tier, feature completeness, per-league vs own baseline, CLV, market mix, plus a history() query helper that always returns n/CI/detectable effect. Metric helpers imported from app.history.router so it cannot drift from the endpoint</t>
  </si>
  <si>
    <t>History metrics counted rows, not fixtures</t>
  </si>
  <si>
    <t>Found by the notebook. run_predictions appends rather than replaces; 143 settled football rows sat on 63 fixtures (one had 25), overstating accuracy by 18.7pp (0.5524-&gt;0.3651). Now one row per fixture/kind - the last created BEFORE kickoff. Football now reads below its own baseline, which is the honest number</t>
  </si>
  <si>
    <t>Tennis base-rate gate removed (was inverting 25% of picks)</t>
  </si>
  <si>
    <t>'Home' in tennis is the lower-player-id tiebreak, not a venue. The 0.6217 rate encoded 'the stronger player usually wins' (lower id = higher ranked 69% of the time), which rank_diff already prices in, and asymmetric bars 0.672/0.428 meant the away slot nearly always cleared. 167 of 669 picks recommended the side the model rated lower. Live 0 of 21 inverted, from 4 of 4</t>
  </si>
  <si>
    <t>Ranking baseline reported per surface, gate pre-registered</t>
  </si>
  <si>
    <t>train_tennis.py scores the model against 'back the higher-ranked player' - the strategy a user could actually run - pooled and per surface. +2.15pp pooled (Clay +2.51, Grass +5.24, Hard +1.25), below the pre-registered 3pp bar and concentrated on the smallest stratum, so no gate. Seeds pinned so the threshold is evaluable</t>
  </si>
  <si>
    <t>Tennis surface whitespace bug ('Grass' vs 'Grass ')</t>
  </si>
  <si>
    <t>4,296 vs 386 rows as separate categories. Not cosmetic - surface_win_rate, surface_streak and h2h_win_rate_surface all match on this string, so 8% of grass matches were compared against the wrong pool. Stripped at collection and on load</t>
  </si>
  <si>
    <t>MIN_FEATURE_COMPLETENESS raised 0.25 -&gt; 0.35</t>
  </si>
  <si>
    <t>Raised for COHERENCE, not accuracy - mobile dims below 0.35, so between 0.25 and 0.35 the product recommended a pick while calling its own data limited. Accuracy bands cannot locate a cliff (every 95% CI overlaps; worst band n=5). Costs zero upcoming picks. Not 0.50, which would drop 11 picks on a six-fixture band. Re-derive at n=93</t>
  </si>
  <si>
    <t>Corners coverage backfilled 66% -&gt; 91%</t>
  </si>
  <si>
    <t>+6,913 fixtures, 50,540 rows. The date bound was a 7,500/day budget decision; the plan is Ultra at 75,000/day. Sampled 12 gaps first - 8 returned real data, so most were collection misses. Corners training rows 10,877 -&gt; 14,745</t>
  </si>
  <si>
    <t>collect_league silently skipped 4 leagues incl. EPL</t>
  </si>
  <si>
    <t>Gated on games_path AND names_path existing, so the four leagues with no team_names parquet returned immediately for every non-gamelog stage, logging 'no game log yet' about a 3,800-row file. Found only because the backfill measured per league and those four gained exactly zero</t>
  </si>
  <si>
    <t>Football retrained on fuller corners data</t>
  </si>
  <si>
    <t>football_xgb_v20260813134423. layer1/layer2 byte-identical by hash, only corners changed. MAE 2.120 both sides but the test set grew 35% so not like-for-like; under-10.5 bucket spread 0.149 -&gt; 0.277 and still monotonic, which is the structural read</t>
  </si>
  <si>
    <t>API-Football plan facts corrected in CLAUDE.md</t>
  </si>
  <si>
    <t>Docs</t>
  </si>
  <si>
    <t>Documented as Pro/7,500/day ending 2026-08-29; actually Ultra/75,000/day ending 2026-09-29. Several 'cannot afford' decisions were sized against the old ceiling</t>
  </si>
  <si>
    <t>Budget audit: no further cheap data wins remain</t>
  </si>
  <si>
    <t>Re-checked every budget-shaped decision after the Pro-&gt;Ultra correction. Corners was the only real opportunity (done). Odds cadences are TheRundown/month (unchanged); xG is a different provider with upstream gaps (2021 absent across all 18 leagues); injuries could widen but feed features pruned in d0a24d9. La Liga 24/25 at 70/380 confirmed upstream, not a collection failure</t>
  </si>
  <si>
    <t>1X2 held-out log loss / Brier / ECE / reliability</t>
  </si>
  <si>
    <t>Per-fixture test outputs saved (comparisons now joinable)</t>
  </si>
  <si>
    <t>Settled cards no longer re-gated by a tightened floor</t>
  </si>
  <si>
    <t>Notebook grades the CARD's pick across all four markets</t>
  </si>
  <si>
    <t>/history serves the card's verdict, not just the 1X2 call</t>
  </si>
  <si>
    <t>Snapshot job warns when a window captures nothing</t>
  </si>
  <si>
    <t>Per-league x per-market metrics (last critique gap)</t>
  </si>
  <si>
    <t>Tennis tournament_surface backfilled 14% -&gt; 98%</t>
  </si>
  <si>
    <t>NBA training seed pinned (was tuning subsample unseeded)</t>
  </si>
  <si>
    <t>Form window measured: 10 beats 5, kept on evidence</t>
  </si>
  <si>
    <t>--no-activate: a measurement run can no longer promote itself</t>
  </si>
  <si>
    <t>Form window measured: 10 wins on RPS, all 3 sports converge</t>
  </si>
  <si>
    <t>--no-activate no longer strands a sport with zero models</t>
  </si>
  <si>
    <t>WNBA live: 2nd basketball league on the NBA model</t>
  </si>
  <si>
    <t>Live end to end: 40 fixtures, 15 teams, 18 predictions, 45 odds rows, NBA unchanged. Served by the existing NBA model (no retrain), the same way 18 football leagues share one artefact. Completeness capped at 0.69 - /season_averages is a 404 for WNBA so the 4 key-player features can never populate.</t>
  </si>
  <si>
    <t>Design system: tokens, type, geometry, odds format (Phase 0)</t>
  </si>
  <si>
    <t>Theme tokens, type ramp and named geometry extracted from the design spec into mobile/lib/theme so a shape cannot drift by a pixel between two screens meant to look identical. Reads the existing 3-state theme store rather than adding a second source of truth.</t>
  </si>
  <si>
    <t>Picks screen rebuilt to the new design (Phase 1)</t>
  </si>
  <si>
    <t>Header, date stepper, summary strip, segmented control, league groups with favourite pinning, match rows and filter sheet. Country filter shows flags rather than names and football is the default sport, per direct feedback mid-build. A globe stands in for All.</t>
  </si>
  <si>
    <t>Saved picks, as-of provenance and receipts folded in (Phase 2)</t>
  </si>
  <si>
    <t>The features built after the spec was written but absent from it. Full details link restored to the fixture screen after Phase 1 made it unreachable - caught by the user, not by review.</t>
  </si>
  <si>
    <t>Tab bar clears Android's navigation buttons</t>
  </si>
  <si>
    <t>The design canvas is an iPhone, whose 34px home indicator is smaller than Android's ~48dp three-button bar, so the literal canvas numbers put the tabs underneath the phone's own buttons. SafeAreaProvider was also missing entirely. Unconfirmed on a real device - the emulator needs a dev build.</t>
  </si>
  <si>
    <t>Live matches no longer sit in Upcoming</t>
  </si>
  <si>
    <t>Upcoming meant 'not completed', which swept in in-play games; it now means not started. A live row also showed its kick-off time, identical to an unstarted one, and now shows the minute or a plain Live where a sport reports no clock. Verified on 16 Aug data: All=33, Upcoming=2, the 3 live fixtures excluded.</t>
  </si>
  <si>
    <t>Market-feature usage measured across all three sports</t>
  </si>
  <si>
    <t>Decides which sports need a market-blind explanation variant. NBA and tennis both split on their moneyline feature ZERO times, so each serving model is already effectively market-blind and explains itself. Football spends 27% of Layer 1's splits and 19-23% of the corners pair's on the three market features. Only football needs a second artefact - a real scoping saving, measured rather than assumed.</t>
  </si>
  <si>
    <t>train_football.py --market-blind toggle</t>
  </si>
  <si>
    <t>Drops market_implied_* from every estimator. Forces --no-activate rather than merely defaulting to it: a blind model activating itself would replace the served probability with a deliberately worse one, and this project has been bitten twice by scripts that promote whatever finishes last. The variant is in the artefact FILENAME so the registry version carries it too.</t>
  </si>
  <si>
    <t>Attribution engine: exact TreeSHAP, grouped and routed</t>
  </si>
  <si>
    <t>XGBoost pred_contribs gives exact TreeSHAP with no shap dependency; additivity is pinned by a test. Routed per market - 1X2 and goals from Layer 1, corners from the corners pair, tennis and NBA from their single model. Sign convention is that positive always supports the pick SHOWN, so the panel copy is written once. Every feature of all four vectors is mapped to a display label, guarded by a test.</t>
  </si>
  <si>
    <t>Divergence guard + prediction-time storage</t>
  </si>
  <si>
    <t>predictions.driver_contributions (JSONB, nullable, no backfill - contributions depend on the feature vector at the instant of inference and cannot be rebuilt afterwards). Panel is suppressed outright when the blind model favours a different outcome from the card, rather than dressing a disagreement up as a justification. Verified end to end on a real Man City v Bournemouth prediction: contributions stored, feed returns them, no market feature present.</t>
  </si>
  <si>
    <t>Market-blind football artefact trained and registered</t>
  </si>
  <si>
    <t>football_xgb_v20260822212129_blind, is_active=False - the forced --no-activate working. Measured cost of dropping the three market features: accuracy 0.5082 -&gt; 0.5021 and RPS 0.2084 -&gt; 0.2119. Real but small, and it buys an explanation about football rather than about the price. Still +5.40pp over its own always-home baseline, so it is a competent model doing a narrow job.</t>
  </si>
  <si>
    <t>stage_artefacts stages blind variants too</t>
  </si>
  <si>
    <t>Deploy</t>
  </si>
  <si>
    <t>It staged only is_active=True rows, and a blind artefact is deliberately inactive - so it would not only have skipped one, its stale-clearing step would have DELETED a copy placed by hand. Explanations would have worked locally and silently returned nothing in production. Newest blind artefact per sport only, since every measurement run leaves a registry row.</t>
  </si>
  <si>
    <t>Driver panel: three factor rows in the expanded card</t>
  </si>
  <si>
    <t>Direction and relative weight, never a percentage - a figure beside the pick's own probability reads as part of it, and these decompose a different model. Bar carries magnitude, a word carries sign, eyebrow reads WHAT THE FORM DATA SAYS rather than 'why the model called it'. Bars scale against the largest row, not the sum: scaling by share renders several balanced drivers as three stubs, reading as weak evidence when it means the opposite.</t>
  </si>
  <si>
    <t>Live at-risk rules: one rule set for the tag and the alert</t>
  </si>
  <si>
    <t>Pure functions over a scoreline (app/predictions/live_risk.py) so the badge and the notification cannot drift apart. Coverage is a data question, not a product one: football full (minute on 332/332 rows), tennis completed-sets only, basketball none until period is ingested, corners never (counts written at settlement). Those render NO tag and a neutral bar - an absent tag reads as not-applicable, a grey one as we-checked-and-its-fine.</t>
  </si>
  <si>
    <t>At-risk push for saved picks, deduped</t>
  </si>
  <si>
    <t>watchlist_items.at_risk_alerted_at fires it once per saved fixture: live scores poll every 5 minutes and an at-risk pick tends to stay at-risk, so without the stamp one bad scoreline sends six notifications about one match. Queued from the live poll rather than its own schedule - a new scoreline is the only thing that can change a verdict. LOST is never pushed, and nothing after minute 85.</t>
  </si>
  <si>
    <t>Live card: verdict tag and colour-coded progress bar</t>
  </si>
  <si>
    <t>Per the user's own framing: the bar's LENGTH stays elapsed time while its COLOUR becomes the verdict, so a list of live cards reads at a glance without parsing a tag. Neutral where no verdict exists rather than green.</t>
  </si>
  <si>
    <t>Re-derive at-risk thresholds against settled fixtures</t>
  </si>
  <si>
    <t>Done by replaying 4,001 settled fixtures minute by minute from API-Football /fixtures/events goal timings - our own fixture_live_state is updated in place, never versioned, so in-play history did not exist. NOTHING CROSSES THE 50% BAR, so by the criterion fixed before the run every threshold stands; changing them on numbers seen afterwards is the post-hoc fitting the bar exists to prevent. The markets that actually reach a card (double chance, h2h) fire on 36-51%, are wrong 2-15%, and catch 65-99% of losses at a median of 70-75'. Two bugs found on the way: an own goal is credited to the team that BENEFITS (my flip cost one goal per affected match and biased the drop set toward high-scoring games, 7.5% -&gt; 1.0%), and a broken join once printed 'every threshold clears the bar' over ZERO rows.</t>
  </si>
  <si>
    <t>Multi-select sport/tour filter; tapping again deselects</t>
  </si>
  <si>
    <t>2026-08-24 00:00:00</t>
  </si>
  <si>
    <t>Filtering moved client-side: /fixtures takes one slug and the selection is a set. Empty means no restriction.</t>
  </si>
  <si>
    <t>Watchlist receipt records the pick the CARD showed</t>
  </si>
  <si>
    <t>2026-08-25 00:00:00</t>
  </si>
  <si>
    <t>Saved 'HOME 1.55' read back as '1X 1.17': the card ranks candidates clearing the user's sliders, the server recomputed with none. Client now sends the shown pick; server confirms it against real candidates.</t>
  </si>
  <si>
    <t>Session survives launch: single-flight refresh, no logout on a network error</t>
  </si>
  <si>
    <t>Tokens were persisted and then DELETED. Measured: two concurrent /auth/refresh with one token -&gt; 200 and 401; and any failure (cold Render) cleared the session. Only 401/403 clears now.</t>
  </si>
  <si>
    <t>Recent form: last five W/D/L per team or player</t>
  </si>
  <si>
    <t>A sequence, not a count: win_streak cannot tell WWWLL from WWWWW. Costs no API call; all three adapters already held the completed matches.</t>
  </si>
  <si>
    <t>No-signal bar changes hands: corners barred, goals admitted</t>
  </si>
  <si>
    <t>2026-08-30 00:00:00</t>
  </si>
  <si>
    <t>Live Spearman -0.039 (n=232) vs +0.197 (n=234), read off market_signal.py's pre-registered thresholds. Counterfactual on 8 days of real cards: 0.617 -&gt; 0.653.</t>
  </si>
  <si>
    <t>Serving registry repairs itself when an artefact is missing</t>
  </si>
  <si>
    <t>2026-09-04 00:00:00</t>
  </si>
  <si>
    <t>Football dark for days: 1 of 190 upcoming fixtures predicted vs tennis 7/7. Registry named an artefact absent from the image. Runs in BOTH worker and API - the API redeployed in 3 min while the worker had not after 40.</t>
  </si>
  <si>
    <t>Cards frozen at kickoff; candidate set stored, sliders applied at read</t>
  </si>
  <si>
    <t>2026-09-09 00:00:00</t>
  </si>
  <si>
    <t>19% of published cards altered or deleted in five days (28 changed bet, 48 gone of 396). Freezing only the WINNER then deleted cards a slider rejected - 7 of 8 had a qualifying alternative - so the guarded CANDIDATES are frozen instead.</t>
  </si>
  <si>
    <t>ATP requests paced to 54/min so the GOAT-&gt;ALL-STAR downgrade is safe</t>
  </si>
  <si>
    <t>2026-09-15 00:00:00</t>
  </si>
  <si>
    <t>Limit falls 600-&gt;60/min per sport. Measured 17 requests per fixture. Verified live: 17 requests, zero 429s, 55.3/min. Saves $30/month.</t>
  </si>
  <si>
    <t>Six football leagues added on measured coverage</t>
  </si>
  <si>
    <t>Eredivisie, Primeira Liga, Belgian Pro, Super Lig, 2. Bundesliga, Serie B. 8-9 bookmakers pricing four markets, 11-13 seasons of stats, real xG. Seed list unified into app/sports/catalog.py; API seeds missing rows at startup.</t>
  </si>
  <si>
    <t>History collected for the six before Ultra expires 29 Sep</t>
  </si>
  <si>
    <t>2026-09-16 00:00:00</t>
  </si>
  <si>
    <t>20,558 game-log rows / 10,279 fixtures; corners 86-92% after the retry sweep; xG collection running. No retrain - promotion needs pre-registered criteria.</t>
  </si>
  <si>
    <t>Every probability labelled as model output, not a bare figure</t>
  </si>
  <si>
    <t>Feed, saved and live rows printed a bare '89%' beside a pick, which reads as a claim about the match. Now 'Model probability' / 'Market odds' inline, so card heights are unchanged: the two labelled rows replace the two unlabelled ones already there.</t>
  </si>
  <si>
    <t>Picks header: wordmark left, one filter control carrying an off-default dot</t>
  </si>
  <si>
    <t>The dot is the point -- a card can vanish because a slider sits where the user left it days ago, and with controls behind a sheet nothing said so. Theme toggle and hub button removed only after confirming both are still reachable from Profile. THE GLYPH TOOK TWO CORRECTIONS, both reported from a device: the spec's own "three stacked bars of descending width" was built and read as a hamburger, because stacked horizontal lines mean navigation whatever their widths; and three slider tracks left ~4px of air in a 36px button. Now two tracks with offset handles at 7 on 19 -- a handle over ~40% of its track reads as a toggle, not a slider. A glyph must be judged at the size and density it ships at; a 390px screenshot shows only that a button exists.</t>
  </si>
  <si>
    <t>Form chips re-coloured to clear AA contrast</t>
  </si>
  <si>
    <t>Tailwind bg-green-600/red-500/gray-400 put white 12px text at ~3.3/3.3/2.2 against white -- all three under AA, the grey badly. FORM_RUNS measures 5.7/7.6/6.0, confirmed by reading painted values from the browser. The spec's box-sizing item is a prototype-only bug; react-native-web already sets border-box.</t>
  </si>
  <si>
    <t>OTA published to preview; two weeks of mobile work had never shipped</t>
  </si>
  <si>
    <t>Reported as 'nothing's changed on the app'. Local web verification is not delivery: the last EAS update was 2 weeks old, so the Turkey flag and this task were both unshipped. Backend changes reach users through the API with no publish, which is what makes the gap easy to miss. Confirmed build f20f6b7c is on channel preview and EXPO_PUBLIC_API_URL exists in the preview environment before publishing.</t>
  </si>
  <si>
    <t>Fixture detail: Head to head / Meetings / Standings tabs</t>
  </si>
  <si>
    <t>design-upgrades.md §7.2, three tabs not four. Meetings cost no extra call -- the rows come from the /fixtures/headtohead payload the averages already use; the fetch widened 5-&gt;10 because one call returns either, while the per-meeting statistics calls and the published averages both stay on five.</t>
  </si>
  <si>
    <t>Team schedule drill-through from a team name or a standings row</t>
  </si>
  <si>
    <t>§7.3. Last 10 plus next 2 across ALL competitions, with a W/D/L run and a record. Standings rows carry our own team id where we hold one, so a club we have never ingested is plain text rather than a link that 404s.</t>
  </si>
  <si>
    <t>Standings and team-schedule reads, both cached</t>
  </si>
  <si>
    <t>MEASURED, NOT ASSUMED: zero teams in any league had 10 completed fixtures stored and EPL's median was three, so neither view could be built from our own tables -- and the provider also returns the cup ties and European nights we never ingest (10 fixtures across 5 competitions on the club checked). Standings cached a day, not a week: a table moves whenever any match finishes. Without caching the API bill scales with browsing rather than with league count.</t>
  </si>
  <si>
    <t>h2h cache write would have 500'd the fixture screen on a nested datetime</t>
  </si>
  <si>
    <t>Caught while adding meeting rows: json.dumps sits OUTSIDE h2h_cache's try block, so a datetime in the payload raises straight through a cache WRITE -- the opposite of that module's own contract that the cache is never a dependency. Serialised with default=str; the reader's existing unreadable-entry path migrates keys written before the field existed, so no flush is needed.</t>
  </si>
  <si>
    <t>Lineup tab NOT built -- no pre-match data exists</t>
  </si>
  <si>
    <t>§7.2's fourth tab, deliberately deferred with the user's agreement after measuring all three options. Best-XI-available needs a working injury join, recorded at 2.8% resolution with 92% of rows reporting everyone available. Confirmed XIs are published ~1h before kickoff -- probed live, zero rows for three upcoming fixtures including one five hours out -- so that tab would be blank for nearly the whole browsing window. Returns when the injury pipeline does.</t>
  </si>
  <si>
    <t>UEFA Nations League served -- the first national-team competition</t>
  </si>
  <si>
    <t>Closes the ~4 weeks a year the football feed went empty: every domestic league pauses for the international break and ucl/uel/uecl pause with it. Measured on the day -- 0 football fixtures 4-6 Oct, next slate the 9th. League 5, season 2026 (24 Sep - 17 Nov), odds/stats/standings all covered; 104 fixtures in a -10/+21 window, 5 live and 18 upcoming on exactly those empty days. NOT barred from headline picks, by explicit decision.</t>
  </si>
  <si>
    <t>Five collected leagues wired to serve: Brazil Serie B, Segunda Division, Argentina, Colombia, League Two</t>
  </si>
  <si>
    <t>Their parquet history had existed since 28 Sep while LEAGUE_IDS did not list them, so the app ingested nothing for any -- the collection-config/LEAGUE_IDS gap for the third time. Served ahead of the 33-league retrain on purpose: one model serves the sport. Three are calendar-year, checked against the provider's own season windows. 275 real fixtures across the six on first contact. 34 leagues now, both wirings agreeing.</t>
  </si>
  <si>
    <t>NBA regular season opens -- the provider carries no preseason at all</t>
  </si>
  <si>
    <t>BallDontLie has 0 NBA games before 20 Oct (3 that day, 11 on the 21st), so the preseason now under way is invisible to us. Fixtures reach the cards ~13 Oct on the 7-day lookahead. Opening night is expected to show NO picks: only 5 of 16 features can carry a value with zero games played (0.31 against the 0.35 completeness floor). Self-corrects from each team's second game, ~22-23 Oct.</t>
  </si>
  <si>
    <t>Android preview build rebuilt for a new test device</t>
  </si>
  <si>
    <t>The 25 Aug APK artefact had EXPIRED, not merely aged -- EAS keeps them 30 days and it 404'd at 40. Build 1fde61c0 on channel preview, runtime 1.0.0, commit 2516088; link expires 18 Oct. First attempt errored inside EAS (SERVER_ERROR uploading the archive, never compiled) and the retry succeeded unchanged.</t>
  </si>
  <si>
    <t>European basketball history collected on the free tier (7 competitions)</t>
  </si>
  <si>
    <t>API-Basketball answers to the SAME API-Sports key football already uses -- no new vendor. Free serves only 2022-2023..2024-2025 ("Free plans do not have access to this season, try from 2022 to 2024"), pinned by probing both neighbours. 5,980 games / 11,960 team-game rows across Spain ACB, France LNB, Germany BBL, Italy Lega A, Greece BL, Turkey BSL and the Euroleague, emitted in nba_api game-log shape so the real assemble_from_game_log consumes it. 233KB committed so the measurement survives an upstream plan change.</t>
  </si>
  <si>
    <t>NBA weights measured against European basketball -- all 3 pre-registered criteria pass</t>
  </si>
  <si>
    <t>Criteria fixed in the script before any number existed. On 1,926 held-out games: accuracy 0.6547 vs always-home 0.6121 (+4.26pp), Brier 0.2211 vs 0.2375 (PRIMARY, passed), ECE 0.0303 against a 0.10 bar. Better than the inputs predicted -- Europe scores 27.4% fewer points than the NBA and has 5.2pp more home advantage -- because the features that transfer are scale-free and the point-differential ones are within-league differences. Limits: Germany BBL is worse than its own baseline, the Euroleague loses on accuracy while winning on Brier, and the 0.9+ bucket claims 0.934 but delivers 0.788 on n=33.</t>
  </si>
  <si>
    <t>Eleven served leagues had no history in the Docker image</t>
  </si>
  <si>
    <t>Dockerfile COPYs ml/data/football_game_log_*.parquet and football_xg_*.parquet and .gitignore has exceptions so they are tracked -- but the six leagues added 15 Sep and the five served today were never committed. Silent because the glob still matches the 22 tracked frames, so the build succeeds and omits the rest: Docker COPY sees the git clone, not the working tree. Per the exception's own comment that is the difference between real retrodiction and every retrodicted prediction coming out as the flat prior. 1.1MB, 22 frames.</t>
  </si>
  <si>
    <t>European basketball SERVED -- Pro plan subscribed, adapter built</t>
  </si>
  <si>
    <t>Pro at $15/mo (7,500/day) chosen on a measured ~2,241/day need -- Ultra would have been 33x oversized. Both unverified claims checked BEFORE building: current season unlocked (306 ACB fixtures) and odds real (5-8 books a fixture). APIBasketballAdapter serves acb/lnb/bbl/lega_a/greek_bl/turkish_bsl/euroleague under Sport(nba). Four provider traps measured: odds market is Home/Away NOT 3Way Result (which prices regulation time and runs ~5% longer on home), AOT is a finished game, two season formats in one API with no current flag, unsorted seasons array. get_stats_adapter gained an optional league arg -- BallDontLie has no European coverage. Verified live: 7/7 leagues ingesting, 71 price rows, zero draw prices. 888 tests.</t>
  </si>
  <si>
    <t>WNBA transfer measured at last -- native-quality, all 3 criteria pass</t>
  </si>
  <si>
    <t>Run with the same instrument as the European test so the two populations are comparable, via API-Basketball "NBA W" (BallDontLie stays the live source). accuracy 0.6894 vs always-home 0.5455 = +14.39pp, CI [0.631,0.742]; Brier 0.2091 vs 0.2480; ECE 0.0288. Essentially native: +14.39pp here against +13.22pp on the model's own NBA test split, with a clean reliability table and none of Europe's overconfident 0.9+ tail. The caveat standing since August is answered favourably -- Europe is the weaker case, not the WNBA.</t>
  </si>
  <si>
    <t>Basketball base rates corrected -- a two-way market was judged on a three-way split</t>
  </si>
  <si>
    <t>Basketball had no _base_rate override so it borrowed football's, whose h2h home share is 0.4582 only because a quarter of football outcomes are DRAWS. Basketball has none, so home and away must sum to 1. Bars move home 0.5082-&gt;0.6006 and away 0.3379-&gt;0.4994. A 0.52 home pick was passing while BELOW the 0.5506 that backing every home team gets free -- 34 of 92 real home picks were at 0.523. Measured cost at the app default (min_probability 0.6): ZERO, checked before changing anything. Verified in prod AFTER deploying: zero published cards altered and zero upcoming picks lost -- all 31 still-below-bar picks are past kickoff, so pick_freeze.py serves them frozen and short-circuits the guards. My earlier "removes 34 picks, 29 settled" claim was wrong; it ignored the freeze.</t>
  </si>
  <si>
    <t>Three basketball bugs fixed on the first live morning</t>
  </si>
  <si>
    <t>Ingest had worked (83 European fixtures overnight, all 7 leagues); three faults sat on top. (1) LEAGUE_PICKER_MAX was 4, basketball went 2-&gt;9 and crossed it, so /sports returned an empty leagues array and the filter sheet lost the NBA and WNBA chips too -- raised to 12, not 9, so the next addition does not re-break it. (2) int(fixture.season) raises on "2026-2027", the domestic label, while the EuroLeague uses "2026": 0 of 52 scheduled domestic fixtures had a prediction against 10 of 10 EuroLeague. The per-league isolation swallowed it, so the leagues ingested perfectly and silently showed nothing. Now season_start_year, returning None rather than raising. (3) Every European fixture detail 500d -- h2h routed all sport=nba to BallDontLie, which cannot parse "ab:" ids, and the error was not an httpx.HTTPError so the panel try/except missed it. Verified in prod: picker shows 9, details 200, real h2h panel.</t>
  </si>
  <si>
    <t>Odds ingestion: per-league isolation, and an ABC signature guard</t>
  </si>
  <si>
    <t>Reported as no odds on any card. Newest odds write was 2026-10-04T02:15 -- ~31h and five scheduled runs stale -- while tennis stayed fresh because it runs on separate tasks. _ingest_odds had per-ADAPTER isolation inside the fetch but NONE per league, so everything after the fetch (resolve, orient, insert, redis, commit) ran unguarded and one league aborted every remaining league and sport. Now isolated and logged by name. Also fixed a signature bug introduced the day before: APIBasketballAdapter.fetch_odds omitted the ABC's `dates` param that the caller always passes, so the TypeError -- caught by neither except clause -- would have caused the same total outage. New test_adapter_abc_signatures.py pins all 7 adapters in both directions, verified to fail against the pre-fix source. 926 passed.</t>
  </si>
  <si>
    <t>Root cause of the 2-4 Oct odds stop still unidentified</t>
  </si>
  <si>
    <t>In progress</t>
  </si>
  <si>
    <t>Predates every commit in this work (no commits exist 29 Sep - 4 Oct), so it is data- or environment-driven rather than a code change. TheRundown was probed directly and returns cleanly without raising. The new per-league isolation names the failing league in logs instead of swallowing it, so the 12:10 UTC run is the first that can report it. Watch that run; if odds still do not write, the failure is BEFORE the league loop and needs the Render worker logs.</t>
  </si>
  <si>
    <t>Freeze was blanking cards: a placeholder midnight is not a kickoff</t>
  </si>
  <si>
    <t>Reported as scarcely seeing tennis cards. Features were FINE (median completeness back to 0.6818 from 0.0909 after the 6 Oct fix). Measured: of 26 past tennis fixtures with a prediction, 25 would get a pick from the live path and ZERO showed one -- all frozen with an empty candidate set, despite predictions written 4-9h BEFORE kickoff at 0.64-0.73 completeness. Two causes: (1) a tennis match with no scheduled_time is stored at MIDNIGHT of its match day, so freeze_started_fixtures treated it as past-kickoff from 00:00, hours before it was played -- estimated kickoffs now wait 24h; (2) a fixture with no prediction yet got the usual EMPTY candidate list, which apply_frozen treats as permanent and backfill_frozen_candidates never repairs (it repairs only NULL) -- now deferred a cycle, bounded by a 6h grace. Scale: tennis 138/231 (60%) blank, football 68/196 (35%). 931 passed.</t>
  </si>
  <si>
    <t>DECISION NEEDED: repair the ~138 tennis cards already frozen blank?</t>
  </si>
  <si>
    <t>The forward fix stops new ones; it does not repair existing. Re-deriving them would ADD picks that were never shown, which CLAUDE.md records as the same defect as deleting ones that were. The complication: users saw nothing BECAUSE OF THIS BUG, not because a guard refused, so an argument exists either way. backfill_frozen_candidates cannot do it as written -- it repairs NULL and these are empty. Left as a user call rather than a silent sweep.</t>
  </si>
  <si>
    <t>Legend</t>
  </si>
  <si>
    <t>SportIQ — End-to-End Architecture</t>
  </si>
  <si>
    <t>Data flows top to bottom.  Green = live and working   Amber = works with a real gap   Red = stubbed or blocked.  Offline training track shown separately at the foot.</t>
  </si>
  <si>
    <t>1 · EXTERNAL DATA PROVIDERS</t>
  </si>
  <si>
    <t>Vendors</t>
  </si>
  <si>
    <t>API-Football (Ultra)
fixtures • team stats • injuries
H2H • lineups • corners
ENDS 2026-09-29</t>
  </si>
  <si>
    <t>TheRundown
odds: NBA + 5 EU + MLS
HEALTHY 5,000/mon</t>
  </si>
  <si>
    <t>BallDontLie
NBA stats · ATP tennis
WTA 401 — unsubscribed</t>
  </si>
  <si>
    <t>TheStatsAPI
xG · shotmaps · shots
collection in progress</t>
  </si>
  <si>
    <t>RotoWire
NBA injuries
NO KEY PROVISIONED</t>
  </si>
  <si>
    <t>SportsDataIO / Highlightly
Phase 2 US sports · video
NOT INTEGRATED</t>
  </si>
  <si>
    <t>▼</t>
  </si>
  <si>
    <t>2 · ADAPTER LAYER  —  every provider call goes through here, never direct from a worker</t>
  </si>
  <si>
    <t>Abstraction</t>
  </si>
  <si>
    <t>DataSourceAdapter (ABC)
fetch_fixtures · fetch_odds
fetch_team_stats · fetch_injuries</t>
  </si>
  <si>
    <t>AdapterFactory
routes by sport slug
per-adapter error isolation</t>
  </si>
  <si>
    <t>3 · INGESTION &amp; INFERENCE WORKERS  (Celery + beat, Redis broker)</t>
  </si>
  <si>
    <t>Scheduled jobs</t>
  </si>
  <si>
    <t>ingest_fixtures
daily 02:00 UTC
±7 days · features · Elo</t>
  </si>
  <si>
    <t>ingest_odds
every 6h · 3-day window
only dates with fixtures</t>
  </si>
  <si>
    <t>ingest_live_scores
every 5 min
scores · status · settlement</t>
  </si>
  <si>
    <t>ingest_injuries
every 30 min
per-sport isolation (fixed)</t>
  </si>
  <si>
    <t>run_predictions
on new fixture
+ injury re-inference</t>
  </si>
  <si>
    <t>backfill_predictions
retrodiction
leakage-safe game log</t>
  </si>
  <si>
    <t>4 · STORAGE</t>
  </si>
  <si>
    <t>Persistence</t>
  </si>
  <si>
    <t>PostgreSQL 16
fixtures · teams · odds · predictions
outcomes · users · team_features</t>
  </si>
  <si>
    <t>Redis 7
pick cache · guest sessions (24h)
Celery broker</t>
  </si>
  <si>
    <t>models_registry
active model per sport
promotion = DB update</t>
  </si>
  <si>
    <t>ml/artifacts
joblib model files
(absolute path — deploy risk)</t>
  </si>
  <si>
    <t>▲  features read   ▼  predictions written</t>
  </si>
  <si>
    <t>5 · ML / INFERENCE</t>
  </si>
  <si>
    <t>Serving</t>
  </si>
  <si>
    <t>Feature assembly
football (18) • nba (16) • tennis (14)
train/serve parity enforced</t>
  </si>
  <si>
    <t>FootballModel
Poisson xG ×2 → XGB 1X2
+ corners regressors</t>
  </si>
  <si>
    <t>NBAModel / TennisModel
XGB binary + isotonic
2-outcome, no draw</t>
  </si>
  <si>
    <t>markets.py
double chance · O/U goals
O/U corners (Poisson)</t>
  </si>
  <si>
    <t>Calibration
isotonic per class
+ xG rate calibrators</t>
  </si>
  <si>
    <t>6 · API  —  FastAPI + Uvicorn</t>
  </si>
  <si>
    <t>REST</t>
  </si>
  <si>
    <t>/fixtures · /picks
best pick across 4 markets
min_probability · min_odds</t>
  </si>
  <si>
    <t>/history · /stats/model
settled performance
vs training metrics</t>
  </si>
  <si>
    <t>/auth · /guest · /user
Argon2id · JWT + refresh
guest → account migration</t>
  </si>
  <si>
    <t>7 · MOBILE CLIENT  —  Expo / React Native (the only client)</t>
  </si>
  <si>
    <t>App</t>
  </si>
  <si>
    <t>Picks tab
day navigator · sport / status
filters · league grouping</t>
  </si>
  <si>
    <t>Live tab
in-play fixtures</t>
  </si>
  <si>
    <t>Profile
prefs · theme · push · biometrics</t>
  </si>
  <si>
    <t>Fixture detail
probability bar · H2H panel
other markets</t>
  </si>
  <si>
    <t>Push notifications
code real • EAS project linked
no EXPO_ACCESS_TOKEN yet</t>
  </si>
  <si>
    <t>OFFLINE TRAINING TRACK  —  run locally, never from a production worker</t>
  </si>
  <si>
    <t>Pipeline</t>
  </si>
  <si>
    <t>collect_*_data.py
API-Football · BallDontLie
nba_api (local only)</t>
  </si>
  <si>
    <t>collect_thestatsapi_xg.py
xG + cross-provider join
date+score, name tiebreak</t>
  </si>
  <si>
    <t>ml/data/*.parquet
game logs · lineups
corners · xG</t>
  </si>
  <si>
    <t>train_*.py
Optuna → calibration
→ joblib artefact</t>
  </si>
  <si>
    <t>MLflow
runs · metrics
local store</t>
  </si>
  <si>
    <t>models_registry row
is_active flip promotes
no redeploy needed</t>
  </si>
  <si>
    <t>ARCHITECTURAL NOTES</t>
  </si>
  <si>
    <t>•  Sport-agnostic by design — every core table is keyed by sport_id; adding a sport is a config/data insert, not a schema change.</t>
  </si>
  <si>
    <t>•  Model promotion is a DB update (models_registry.is_active), never a redeploy — TDD §3.1.</t>
  </si>
  <si>
    <t>•  Train/serve parity is enforced in one module per sport: assemble_from_game_log and assemble_from_live_db must stay in lock-step.</t>
  </si>
  <si>
    <t>•  Historical (box-score) key-player logic is kept OUT of app/models_ml/ so it can never be imported into the live path — target-leakage guard.</t>
  </si>
  <si>
    <t>•  Per-item error isolation is now the default in every provider loop: one league or sport failing must not abort the rest.</t>
  </si>
  <si>
    <t>•  nba_api is offline-only — stats.nba.com blocks all cloud IPs, so it must never run from a production worker.</t>
  </si>
  <si>
    <t>⚠  DEPLOYMENT GAP: nothing is deployed. No infra/, artefact paths are absolute Windows paths, no monitoring, no EAS build.</t>
  </si>
  <si>
    <t>Live &amp; working</t>
  </si>
  <si>
    <t>Real gap</t>
  </si>
  <si>
    <t>Stubbed / blocked</t>
  </si>
  <si>
    <t>Datastore</t>
  </si>
  <si>
    <t>API / App</t>
  </si>
  <si>
    <t>8 • RUNTIME  •  Render (production, live 13 Aug 2026)</t>
  </si>
  <si>
    <t>Deployed</t>
  </si>
  <si>
    <t>sportpiq-api (web)
gunicorn • binds $PORT
alembic in preDeployCommand</t>
  </si>
  <si>
    <t>sportpiq-worker
Celery prefork
executes every task</t>
  </si>
  <si>
    <t>sportpiq-beat
EXACTLY ONE, ever
two would double-spend quota</t>
  </si>
  <si>
    <t>sportpiq-db (PG16)
sportpiq-redis
managed, private network</t>
  </si>
  <si>
    <t>Models baked into the image
stage_artefacts + manifest
seed_model_registry on a new DB</t>
  </si>
  <si>
    <t>Local celery must stay OFF while production runs: both hit the same metered providers, and TheRundown is 5,000 per MONTH. Promotion is no longer a DB flip -- retrain, stage, commit, redeploy, seed.</t>
  </si>
  <si>
    <t>Epic Summary</t>
  </si>
  <si>
    <t>Total</t>
  </si>
  <si>
    <t>In progress / Planned</t>
  </si>
  <si>
    <t>% Complete</t>
  </si>
  <si>
    <t>OVERALL</t>
  </si>
  <si>
    <t>Unassigned (should be 0)</t>
  </si>
  <si>
    <t>Auto-calculated from the Delivery Board. Add an epic here if 'Unassigned' is ever non-zero.</t>
  </si>
  <si>
    <t>SportIQ — Edge Measurement Plan (P0-P3)</t>
  </si>
  <si>
    <t>Tracks whether the predictions actually work, which the Delivery Board deliberately does not: that tracks what was BUILT. As of 2026-08-10 there is no demonstrated betting edge — football ROI -6.4% (n=38), CLV -3.58% (n=27, market moving away from our picks), tennis +1.6pp over 'always back the higher-ranked player'. Green CI is not evidence the predictions are good.</t>
  </si>
  <si>
    <t>Priority</t>
  </si>
  <si>
    <t>Depends on</t>
  </si>
  <si>
    <t>Why it matters / what it answers</t>
  </si>
  <si>
    <t>P0</t>
  </si>
  <si>
    <t>Separate real pre-game forecasts from retrodictions</t>
  </si>
  <si>
    <t>—</t>
  </si>
  <si>
    <t>DONE (7a611e9). predictions.kind = pre_match | retrodiction | unknown, set at write time by each path, never inferred. Timestamps could NOT substitute: regenerating 91 football predictions earlier that day reset created_at to after those kickoffs. The backfill is therefore one-directional — created_at &lt; kickoff proves a forecast, the reverse proves nothing, so those rows are UNKNOWN rather than guessed. UNKNOWN is also the column default, so a future path that forgets to set it is excluded from skill measurement rather than silently claiming to be a forecast. Result: football 283 pre_match / 90 unknown, tennis 146 / 453.</t>
  </si>
  <si>
    <t>Confirm capture_closing_odds is actually writing</t>
  </si>
  <si>
    <t>DONE — and it was already working. 19 task runs this session and 1,151 odds rows stamped within 45 min of kickoff, against the n=27 the -3.58% CLV figure rests on. So CLV was computed on a stale slice, not a thin one: this is a READ problem, not a capture problem, and needs analysis rather than a build.</t>
  </si>
  <si>
    <t>P1</t>
  </si>
  <si>
    <t>Spec what /history reports, before building it</t>
  </si>
  <si>
    <t>DONE — docs/history-metrics-spec.md, written before the endpoint exists so its shape cannot be chosen after seeing which cut looks best. Defines population (pre_match only, voids excluded, unknown counted not hidden), exact metric definitions, multiple-comparisons discipline, and a hard requirement that every metric carries n, a CI and its detectable effect. Also lists what would make the endpoint MISLEADING, so it can be checked against.</t>
  </si>
  <si>
    <t>Build GET /history over existing settled outcomes</t>
  </si>
  <si>
    <t>P0, spec</t>
  </si>
  <si>
    <t>DONE (53b7d2a) — and it was never a 501 stub; CLAUDE.md was stale. The endpoint has been LIVE and serving a contaminated number: /history/summary averaged both prediction paths, which measured football at 53.3% instead of 56.1% and tennis 61.7% instead of 63.6%. DOWNWARD, the opposite of the predicted direction — retrodictions score worse, not better, because assemble_from_game_log has a leakage guard and thinner features. Now pre_match by default, retrodictions behind an explicit ?kind=, excluded rows counted rather than dropped.</t>
  </si>
  <si>
    <t>Grade the pick that was SHOWN, not a recomputed one</t>
  </si>
  <si>
    <t>Resolved by pick_snapshots: /history will grade the stored snapshot rather than recomputing, so it measures the product users actually saw. Applies only to fixtures captured from 2026-08-10 onward.</t>
  </si>
  <si>
    <t>P2</t>
  </si>
  <si>
    <t>PRE-REGISTER the verdict thresholds (SETTLED 2026-08-11, spec §9): CLV primary over accuracy on sample size (n~223-396 vs ~1,650); edge = CI excluding 0; the no-edge response pre-committed; re-read 2026-09-15</t>
  </si>
  <si>
    <t>spec</t>
  </si>
  <si>
    <t>What counts as an edge, what counts as none, and what happens in each case - written before looking at results. Same discipline that made the Tier-1 and key-player calls trustworthy rather than fitted.</t>
  </si>
  <si>
    <t>MIN_REPORTABLE_N 30 -&gt; 93 to match the spec: the smallest n whose 95% Wilson interval is under 20 points. Excludes tennis (n=77), admits football (n=139) — set by the rule, not to fit the data</t>
  </si>
  <si>
    <t>pre-registration</t>
  </si>
  <si>
    <t>sufficient_sample split into sufficient_sample (safe to display) + conclusive (safe to act on). One flag read as "trustworthy" when it only meant "big enough to print"</t>
  </si>
  <si>
    <t>First honest read: per sport, per market, per league</t>
  </si>
  <si>
    <t>/history</t>
  </si>
  <si>
    <t>DONE 13 Aug. Per-league existed for 1X2 only and per-market pooled only; per_league_market_metrics now reports both cuts crossed. Goals under-3.5 Brier spans 0.168 (J1) to 0.261 (Veikkausliiga) against a pooled 0.2096.</t>
  </si>
  <si>
    <t>Re-read CLV at a real sample size</t>
  </si>
  <si>
    <t>P0 capture check</t>
  </si>
  <si>
    <t>DONE — and the CONTROL changed the reading. Favoured side -3.47% vs the side NOT favoured +0.83%, a -4.30pp gap (n=81 each). But football's control is ALSO negative (-2.40%), so a real part of the raw -3.61% is systematic price drift rather than the model. The control is not clean either: for a 3-way market it is the less-likely of home/away, usually the underdog, whose prices are longer and more volatile. Directional evidence against an edge; NOT a number to quote precisely. The naive -4.00% headline would have overstated it.</t>
  </si>
  <si>
    <t>Do confidence tiers mean anything?</t>
  </si>
  <si>
    <t>ANSWERED: no, and worse than no. HIGH claims 74.1% delivers 60.9% (n=69); MEDIUM claims 57.8% delivers 68.5% (n=89) — the badge pointed users at the WEAKER set. Intervals overlap so the inversion is not established; the calibration gap is. Badge hidden from mobile (7233029), field still stored as measurement data. The push gate still fires on HIGH and is knowingly left in place — n=69 is too thin to rewrite it on, and exactly one real token exists — but it MUST be resolved before push reaches real users.</t>
  </si>
  <si>
    <t>Re-run completeness-vs-correctness</t>
  </si>
  <si>
    <t>DONE: &lt;0.25 33.3% (n=9), 0.25-0.35 37.5% (n=16), &gt;=0.35 69.9% (n=123). The floor works, but the real break is at 0.35 — where mobile's own LOW_CONFIDENCE_COMPLETENESS already sits. The 0.25 choice was defensible on the extremeness evidence used at the time (85% of picks below it were &gt;=0.90 confident vs 6% above); correctness points higher. NOT changed: n=16 in the middle band, and the decision belongs with the pre-registration rather than to whoever is looking at the data.</t>
  </si>
  <si>
    <t>P3</t>
  </si>
  <si>
    <t>Decide Over/Under's future on the evidence — DONE 2026-08-11, and it split in two: goals_total n=242 r=+0.049 (0.2% of variance) is barred from winning the headline pick; corners_total n=234 r=+0.288 (8.3%, ~4.4 SE from zero) is KEPT. Decidable without the CLV read</t>
  </si>
  <si>
    <t>P2 read</t>
  </si>
  <si>
    <t>Already measured as near-base-rate (predicted xG vs actual goals r=+0.030). The open question is not how to improve it but whether to keep surfacing it as a confident pick.</t>
  </si>
  <si>
    <t>Let the measurement inform the 22 Sep renewal</t>
  </si>
  <si>
    <t>API-Football ends 2026-09-29. Renewing to collect more history is a different decision from renewing to serve a working product.</t>
  </si>
  <si>
    <t>HOLD</t>
  </si>
  <si>
    <t>No new leagues until measurement lands</t>
  </si>
  <si>
    <t>Hold</t>
  </si>
  <si>
    <t>Nine were added this week. More widens coverage of something whose value is unproven.</t>
  </si>
  <si>
    <t>No new markets until measurement lands</t>
  </si>
  <si>
    <t>Corners and O/U are already surfaced without evidence they are worth backing.</t>
  </si>
  <si>
    <t>No retrains chasing accuracy</t>
  </si>
  <si>
    <t>Three retrains in two days moved the headline by noise. The binding constraint is signal and evidence, not tuning.</t>
  </si>
  <si>
    <t>FINDING: the sample cannot yet answer the question</t>
  </si>
  <si>
    <t>power analysis</t>
  </si>
  <si>
    <t>Measured after closing P0. At 80% power, n=139 football detects only a 10.5pp edge and we believe ours is 4.1pp — 891 graded pre-match picks needed, 6x what exists. Tennis is far worse: 1.6pp believed edge needs ~5,406, against 79 (68x). CONSEQUENCE: the first /history read cannot conclude anything about edge. Build it as instrumentation that accumulates, and expect a real verdict in months, not days. Anyone reading an early number as proof either way is reading noise.</t>
  </si>
  <si>
    <t>Set expectations: /history is instrumentation, not a verdict</t>
  </si>
  <si>
    <t>the finding above</t>
  </si>
  <si>
    <t>DONE. Every accuracy now carries n, a 95% Wilson interval and its minimum detectable effect. Live: football n=139 acc 0.561 CI [0.478,0.641] detectable 0.105; tennis n=77 acc 0.636 CI [0.525,0.735] detectable 0.136. The intervals are the point — football's spans 16 points and its detectable effect dwarfs the 4.1pp edge we believe in, so the number cannot settle the question either way.</t>
  </si>
  <si>
    <t>FINDING: the pick we SHOW is never persisted</t>
  </si>
  <si>
    <t>spec §2b</t>
  </si>
  <si>
    <t>RESOLVED by pick_snapshots (8f794e0). Product-skill metrics accumulate from 2026-08-10; nothing before it is recoverable.</t>
  </si>
  <si>
    <t>Persist the pick at the moment it is shown</t>
  </si>
  <si>
    <t>DONE (8f794e0). pick_snapshots, captured hourly for fixtures 4-8 HOURS out — not next to the closing-odds capture, which would have made CLV meaningless by construction: taken/closing - 1 is ~0 when both prices are recorded fifteen minutes apart, so the metric would read reassuringly neutral while measuring nothing. Delegates to _bulk_best_picks, the feed's own selection, with a test asserting the delegation. One row per fixture. Verified live: an ATP pick at 2.17, p=0.536, T-7.3h. NOTE: nothing before this commit is recoverable — the ROI/CLV clock starts now.</t>
  </si>
  <si>
    <t>Push gate no longer uses the confidence tier</t>
  </si>
  <si>
    <t>DONE (6bd3582). Replaced with the FEED'S OWN selection (_bulk_best_picks), not a new threshold — n=69 was far too thin to invent one, and doing so was explicitly refused for the completeness floor on n=16. A push can now only be sent for a pick the app itself would surface. Removing the gate outright was not an option: best_outcome returns something for almost any priced fixture. Also fixed a real incoherence found while reading the flow — the old path used h2h-only best_outcome while the card shows the best pick ACROSS markets, so a push could say 'back home' while the app showed 'UNDER 3.5' for the same fixture.</t>
  </si>
  <si>
    <t>FINDING: the snapshot pipeline was never running. Worker and beat launched 3h BEFORE snapshot_picks.py was written, so the running beat had no snapshot entry — one row (a manual test call) in 24h. Third instance of the stale-process trap; restarted and verified through the real broker</t>
  </si>
  <si>
    <t>pick snapshots</t>
  </si>
  <si>
    <t>VALIDATED §9.7: 79% of upcoming fixtures yield a pick; 34% of settled ones carry odds, so ~53 CLV-eligible/week reaches n=223 in 4-5 weeks. The 2026-09-15 re-read date holds and is slightly conservative</t>
  </si>
  <si>
    <t>FINDING: odds coverage is fixture-binary and the whole gap was the 9 Tier-1 leagues (7 at ZERO). NOT a bug — added 08-09 with historically-backfilled fixtures that never passed a live odds window. All 9 report coverage.odds=true and 8 returned real prices on demand</t>
  </si>
  <si>
    <t>CLV sample size</t>
  </si>
  <si>
    <t>Beat now publishes its own code fingerprint (beat_init) and check_stale reports it. The blind spot was exactly where the damage was: only the worker published, so a stale SCHEDULER read as "ok". Both processes moved onto dev_worker.py, which restarts on change</t>
  </si>
  <si>
    <t>the snapshot finding</t>
  </si>
  <si>
    <t>Guard: every scheduled task must belong to a module the worker imports, and the snapshot entry is pinned by name — the whole pre-registration rests on one beat_schedule line whose absence is silent</t>
  </si>
  <si>
    <t>beat liveness</t>
  </si>
  <si>
    <t>Sentry wired into the Celery worker and beat, not just the API — it had only ever been initialised in create_app(), so every silent worker failure this project has had was unreportable. One shared initialiser; events tagged with component + loaded code fingerprint</t>
  </si>
  <si>
    <t>monitor_beat_tasks makes each beat_schedule entry a Sentry cron monitor, so a scheduled task that STOPS ARRIVING alerts. The one failure ordinary error reporting cannot catch: no exception, no failed task, no log line — the work just never happens</t>
  </si>
  <si>
    <t>Sentry wiring</t>
  </si>
  <si>
    <t>SENTRY_DSN_BACKEND now populated in backend/.env (gitignored). The DSN existed in keys.docx from the start — it had simply never reached the environment the app reads. Verified: init_sentry True, test event accepted, transport flushed</t>
  </si>
  <si>
    <t>user action</t>
  </si>
  <si>
    <t>Tennis odds were stale up to 6h: the hourly job used BallDontLie only (4 matches priced) while TheRundown (31 ATP events, all unmasked) arrived only on the shared 6-hourly run. Given its own 2-hourly job — ~720 calls/mo vs ~1,440 hourly, which would not fit alongside football's expected ~3,600. One day went 4 of 28 priced -&gt; 24 of 28</t>
  </si>
  <si>
    <t>odds coverage</t>
  </si>
  <si>
    <t>NOTE: odds make the feed SMALLER, not larger — that day went 8 fixtures to 4. min_odds can only apply where a price exists, and tennis favourites at ~0.70 price below a 1.50 floor. Those cards previously showed because the filter silently could not apply</t>
  </si>
  <si>
    <t>Football empty cards are NOT a fault: ODDS_LOOKAHEAD_DAYS=3 and no football fixture is currently inside 3 days. Recheck once the European seasons open on 21 Aug</t>
  </si>
  <si>
    <t>PERSON-name matching for tennis odds: the lookup was exact + case-sensitive, so 4 fixtures with real prices showed empty cards (SoonWoo vs Soonwoo; Wu Yibing vs Yibing Wu; Chak Lam Coleman Wong). Token-SET match needing &gt;=2 shared tokens, opt-in per sport. 24 of 28 -&gt; 28 of 28 priced; model/market agree on the favourite in 21 of 28</t>
  </si>
  <si>
    <t>TRAP: TheRundown's teams_normalized array ORDER is not home/away — read is_home. Comparing against [0] produced a false "orientation is broken" alarm that nearly became a fix; the pipeline was correct</t>
  </si>
  <si>
    <t>Fixtures that vanish from the provider are now retired to POSTPONED (12h past a known kickoff, 48h past a placeholder midnight). Neither provider emits "cancelled" — BallDontLie 404s the match, API-Football omits it — so a vanished fixture kept SCHEDULED forever and its card showed an active pick days later. 3 tennis + 1 football retired</t>
  </si>
  <si>
    <t>user report</t>
  </si>
  <si>
    <t>The 48h estimated-kickoff threshold is the load-bearing half: a Time-TBC fixture is stored at midnight, so one clock for both would retire most of a live tournament every morning. 21 of 21 that day correctly untouched</t>
  </si>
  <si>
    <t>Mobile crash reporting wired (@sentry/react-native, init at module level in the root layout so first-render errors are caught). Verified in a real browser: forcing one unhandled error produced exactly one envelope to the mobile project. Expo Go reports JS errors only — native crashes need an EAS build</t>
  </si>
  <si>
    <t>observability</t>
  </si>
  <si>
    <t>TRAP: killing uvicorn by command line does not work — a --reload child is spawned via multiprocessing so its cmdline says spawn_main, not uvicorn. Two orphans served stale code through four restarts while netstat blamed dead parent PIDs. check_stale.py caught it correctly throughout</t>
  </si>
  <si>
    <t>GAP: Sentry Expo plugin has no organization/project set, so production source maps will not upload and release stack traces would be minified. Moot until an EAS build exists</t>
  </si>
  <si>
    <t>mobile observability</t>
  </si>
  <si>
    <t>MODEL</t>
  </si>
  <si>
    <t>EXTERNAL CRITIQUE accepted: pooled model has no league feature and reports pooled metrics only; hyperparameters are effectively XGBoost defaults. Both verified true. HOLD on retrains deliberately lifted by the user to work through the fixes</t>
  </si>
  <si>
    <t>critique</t>
  </si>
  <si>
    <t>#1 PER-LEAGUE METRICS — train_football.py now reports 1X2 accuracy per league against THAT league's own always-home baseline, plus n and RPS, printed and logged to MLflow. Pooled +4.14pp hid a spread from -3.3pp to +14.0pp across 18 leagues</t>
  </si>
  <si>
    <t>#1</t>
  </si>
  <si>
    <t>FINDING: 4 of 18 leagues are WORSE than always-picking-home on the test set — ekstraklasa -3.3pp, brasileirao -1.6pp, austria_bundesliga -1.5pp, j1_league -0.3pp. Best are veikkausliiga +14.0pp, csl +11.3pp, seriea +9.5pp</t>
  </si>
  <si>
    <t>CORRECTION: the live-settled per-league read (brasileirao +26pp, csl -26.7pp) was NOISE at n=12-96 and the sign FLIPPED on the proper test set (brasileirao -1.6pp, csl +11.3pp). Do not quote the live table; n per league there is far below reportable</t>
  </si>
  <si>
    <t>#2 SEED + EXPLICIT HYPERPARAMETERS — RANDOM_SEED and XGB_COMMON pin n_estimators, max_depth, learning_rate, subsample, colsample, random_state across all 7 estimators. Pinned at the values already in effect, so the retrain reproduced the served model EXACTLY (0.4857/0.4443/0.2144)</t>
  </si>
  <si>
    <t>#2</t>
  </si>
  <si>
    <t>#3 LEAGUE BASELINES re-tested on the tripled pool and RE-ENABLED. Criteria fixed before the run: pooled gap +4.14-&gt;+4.16 (pass), under-3.5 buckets stayed monotonic (pass, this is what collapsed last time), leagues worse than always-home 4-&gt;3 (pass). Honest read: accuracy moved by ONE fixture in 5,487 and RPS went the wrong way 0.2144-&gt;0.2152 — 'no longer harmful', not 'helpful'. Kept for new-league generalisation, which the test set cannot measure</t>
  </si>
  <si>
    <t>#3</t>
  </si>
  <si>
    <t>#4 OPTUNA FOR FOOTBALL — done, and the biggest win of the four. 50 trials on Layer 2 against VALIDATION RPS: test accuracy 0.4859 -&gt; 0.5052 (gap over baseline +4.16 -&gt; +6.09pp), RPS 0.2152 -&gt; 0.2104, and leagues worse than always-home 3 -&gt; 1. The defaults were genuinely wrong: tuned to depth 2 (not 4) and lr 0.034 (not 0.3), i.e. far more regularised</t>
  </si>
  <si>
    <t>#4</t>
  </si>
  <si>
    <t>RPS regressed 0.2144-&gt;0.2152 with the league features. NOT in the pre-registered criteria and deliberately not added afterwards to flip the verdict — recorded so the trade-off is visible. Revisit if RPS matters more than new-league priors</t>
  </si>
  <si>
    <t>Layer 1 Poisson regressors tuned (home/away separately, vs validation Poisson deviance). xG MAE 0.9907-&gt;0.9723 home, 0.8876-&gt;0.8707 away; all four Over/Under Brier scores improved; under-4.5 buckets went from INVERTED to monotonic and under-3.5's spread widened. Trade: 1X2 accuracy 0.5052-&gt;0.5034 while RPS improved 0.2104-&gt;0.2097</t>
  </si>
  <si>
    <t>Seed now genuinely load-bearing: the tuned config uses subsample 0.88 / colsample 0.63, so training is stochastic for the first time. Pinning it in #2 before this landed is what keeps runs comparable</t>
  </si>
  <si>
    <t>#2/#4</t>
  </si>
  <si>
    <t>FOLLOW-UP: the corners Poisson regressors are still untuned (MAE unchanged at 2.156, which confirms the scoping). Same pattern as Layer 1 would apply</t>
  </si>
  <si>
    <t>#5</t>
  </si>
  <si>
    <t>DONE 13 Aug. Tuned against validation Poisson deviance, and the Over/Under CORNERS market got its first held-out evaluation at the same time - it had shipped judged by MAE alone while the product sold P(under 9.5).</t>
  </si>
  <si>
    <t>goals_total re-admission TRIGGER is now CHECKED AUTOMATICALLY, not remembered: app/predictions/market_signal.py holds the pre-registered thresholds (n&gt;=200, r&gt;=+0.15, 95% CI low &gt; +0.05 on SETTLED pre-match predictions from football_xgb_v20260812080921 onward) and a weekly Celery task reports status, logging WARNING + a Sentry message when met</t>
  </si>
  <si>
    <t>O/U</t>
  </si>
  <si>
    <t>The check deliberately does NOT lift the bar itself — re-admitting a market changes what users are told to back, so that stays a human decision. Pinned by a test that the worker never imports the pick-selection set</t>
  </si>
  <si>
    <t>Same correlation function now used by BOTH the training run (test-set read, printed + logged to MLflow) and the live trigger, so the two cannot drift and a market cannot be re-admitted on evidence that does not match the bar that barred it</t>
  </si>
  <si>
    <t>STATUS at wiring time: n=0 — the tuned model has no settled predictions yet. ~90 football fixtures settle per week and 125 are scheduled in the next 14 days, so the trigger becomes answerable around the 2026-09-15 CLV re-read</t>
  </si>
  <si>
    <t>MOBILE</t>
  </si>
  <si>
    <t>Missing country flags fixed — Norway, Finland, Denmark, Poland, Czech-Republic all rendered the globe fallback since the Tier-1 league expansion. Real PNGs added; verified in the running app on 9 Aug: 12 distinct flags render, ZERO globes remain</t>
  </si>
  <si>
    <t>Guard added (backend/tests/test_league_flags.py): every seeded league country must have a flag, and every referenced PNG must exist. Adding a league is a data insert by design, which is exactly why the flag gets forgotten — and a missing one produces no error, warning or log</t>
  </si>
  <si>
    <t>NOTE: the guard caught a real miss immediately — the normalising fallback for API-Football's hyphenated 'Czech-Republic' had silently failed to apply; only the exact map key landed. Flags worked, but the intended safety net did not exist</t>
  </si>
  <si>
    <t>FULL-SCORELINE LOG LOSS added to every training run, against two model-free references (empirical joint vs the same data with dependence removed). This was the good part of the bivariate-Poisson critique and it tests the CONDITIONAL claim that unconditional dispersion figures cannot</t>
  </si>
  <si>
    <t>O/U structure</t>
  </si>
  <si>
    <t>RESULT: value of modelling dependence AT ALL = +0.0005 nats — the ceiling for any bivariate Poisson or Dixon-Coles. Our model beats the dependence-aware reference by 0.0835, so per-fixture conditioning is worth ~167x the entire dependence structure. NO new score model</t>
  </si>
  <si>
    <t>Per-league dispersion re-measured on 27,914 fixtures: 9 of 18 leagues UNDERdispersed (incl. EPL, Serie A, Bundesliga) so a negative binomial is inadmissible; 15 of 18 have NEGATIVE home/away correlation so a bivariate Poisson cannot express the sign</t>
  </si>
  <si>
    <t>BUG</t>
  </si>
  <si>
    <t>THIRD recurrence of "cancelled game still active" fixed at the mechanism, not the symptom. Estimated-kickoff threshold 48h -&gt; 30h, and now DERIVED (24h for the day the placeholder stands for + 6h late-finish grace) rather than guessed. 48 allowed a full extra day after the day had already ended</t>
  </si>
  <si>
    <t>Self-monitoring added: _warn_if_stale_fixtures_remain counts fixtures the sweep should have caught and logs WARNING to Sentry. All three recurrences were invisible to us — a too-generous threshold looks exactly like a working sweep unless something counts leftovers</t>
  </si>
  <si>
    <t>NOTE: the provider was NOT the answer this time — BallDontLie still reported the cancelled match as scheduled 36h on, unlike earlier cases that 404d. "Ask the provider" would have been a fix that fixed nothing</t>
  </si>
  <si>
    <t>ROLLING WINDOW measured for the first time (3/5/10). It had never been tested: 5 came from a COLUMN NAME (form_pts_5) and NBA/tennis 10 from matching each other. n=10 wins on 7 of 8 measures — accuracy 0.5034-&gt;0.5096, gap +5.91-&gt;+6.53pp, scoreline LL 2.9406-&gt;2.9381. Live as football_xgb_v20260812204116</t>
  </si>
  <si>
    <t>windows</t>
  </si>
  <si>
    <t>n=3 loses outright and breaks under-3.5 bucket monotonicity (.744-&gt;.676) — the "shorter window is fresher" intuition is dead</t>
  </si>
  <si>
    <t>DEVIATION RECORDED: n=10 lost the ONE pre-registered criterion (RPS 0.2097-&gt;0.2098, 0.05% relative). The rule carried no tolerance and was badly specified; overriding it was a deliberate user-approved call, documented as an override rather than reinterpreted</t>
  </si>
  <si>
    <t>OPEN: NBA and tennis still use LAST_N_FORM=10 by inheritance, untested. Tennis is the more suspect — players compete in bursts, so 10 matches can span surfaces and months</t>
  </si>
  <si>
    <t>DONE 13 Aug. Both measured and both DEFENDED 10. All three sports now converge on 10.</t>
  </si>
  <si>
    <t>THE MEASUREMENT MEASURED THE WRONG OBJECT: /history and the notebook graded the 1X2 argmax while the product shows best_pick across four markets</t>
  </si>
  <si>
    <t>Football's settled card picks are 43 double chance + 19 corners and ZERO h2h, so the published football accuracy described a market football cards never show. Grading the card moves it 0.3651 -&gt; 0.7258 (n=62) - but the no-skill baseline rises with it to 0.6391, so the honest figure is +8.67pp against a 14.09pp detectable effect. Not conclusive.</t>
  </si>
  <si>
    <t>grade_pick ported from TypeScript so endpoint, notebook and card cannot disagree</t>
  </si>
  <si>
    <t>card grading</t>
  </si>
  <si>
    <t>The four-market rule existed once, in mobile/lib/pickFormat.ts, so only the phone could say whether a card had been right. Deliberate line-by-line port including the parts that look like bugs ('12' ungraded, an exact push losing both ways).</t>
  </si>
  <si>
    <t>1X2 got log loss / multiclass Brier / ECE / per-class reliability</t>
  </si>
  <si>
    <t>The flagship market had RPS and nothing else - Over/Under goals and corners each got a reliability table only after shipping wrong. FINDING: 92% of test fixtures get a draw probability in 0.2-0.3 (observed 0.257): right on average, no per-fixture information.</t>
  </si>
  <si>
    <t>CORRECTION: isotonic calibration on 1X2 DOES earn its place</t>
  </si>
  <si>
    <t>1X2 metrics</t>
  </si>
  <si>
    <t>Reported as not earning it on log loss (1.0179 vs 1.0148) and Brier (identical). Both are the wrong instrument - the product reads the probability VALUE through min_probability, the base-rate gates and EV. ECE 0.0143 vs 0.0195 uncalibrated. Judge a component on the metric it exists for.</t>
  </si>
  <si>
    <t>The draw finding needs no new guard - it is already contained</t>
  </si>
  <si>
    <t>MIN_EDGE_OVER_BASE_RATE requires a draw to reach 0.3038 and ZERO draw picks have ever reached a card, measured over the whole settled history.</t>
  </si>
  <si>
    <t>Per-fixture test outputs saved, so model comparisons are a join not a memory</t>
  </si>
  <si>
    <t>Every comparison had rested on printed headlines plus booster hashes - enough to prove scope, useless for attribution. It is what forced the caveat that corners MAE 2.167 -&gt; 2.157 was not an improvement because the test set grew 35%.</t>
  </si>
  <si>
    <t>TRAP: a training run promoted itself, and the losing arm went live</t>
  </si>
  <si>
    <t>The tennis n=5 arm scored worse on accuracy AND RPS and became the served model by finishing. Worse than a bad number: LAST_N_FORM reads back at 10 when serving, so a model trained on 5 would have been fed 10. --no-activate added to all three scripts.</t>
  </si>
  <si>
    <t>TRAP: --no-activate then stranded NBA with ZERO active models</t>
  </si>
  <si>
    <t>Mirror image of the above, from the same register-and-activate coupling. runner.py resolves the model from the registry, so the sport stops predicting with no exception anywhere. Caught only because /stats/model dropped NBA. Demotion now happens only when something replaces the incumbent.</t>
  </si>
  <si>
    <t>MIN_FEATURE_COMPLETENESS 0.25 -&gt; 0.35 deleted 21 already-published picks from past cards (9 Scottish Prem), because best_pick is recomputed per request. Not neutral: sub-0.35 picks run 0.2857 vs 0.5263 above, so filtering them made the record look BETTER than it is. Settled fixtures now exempt from that one guard.</t>
  </si>
  <si>
    <t>LIVE IN PRODUCTION - the measurement now has a real population to accumulate</t>
  </si>
  <si>
    <t>deploy</t>
  </si>
  <si>
    <t>Deployed 13 Aug. Every number measured so far is from the LOCAL database; production starts its own history from today, so /history there will read as a new model with no record until it accumulates.</t>
  </si>
  <si>
    <t>PRODUCTION AND LOCAL SHARE THE SAME METERED QUOTAS</t>
  </si>
  <si>
    <t>Local celery (2 workers + 2 beats) was killed on 13 Aug and the dev app repointed at production, so exactly one scheduler now spends TheRundown's 5,000/month. Running local beat alongside production double-spends it.</t>
  </si>
  <si>
    <t>EXCEPTION TAKEN to 'no new leagues until measurement lands': WNBA</t>
  </si>
  <si>
    <t>user request</t>
  </si>
  <si>
    <t>Recorded as an exception, not a precedent. The argument for it: a second basketball competition TESTS whether the NBA model generalises rather than merely widening coverage. Cost was near zero - no collection, no retrain, one adapter namespace switch. The HOLD otherwise stands.</t>
  </si>
  <si>
    <t>WNBA calibration against WNBA outcomes is UNMEASURED</t>
  </si>
  <si>
    <t>WNBA live</t>
  </si>
  <si>
    <t>The weights are NBA's. WNBA pace, scoring level and home advantage differ, so calibration may be off in either direction; the two priced fixtures both had the model BELOW the market, which is at least not the overconfidence failure mode. Needs settled WNBA fixtures to accumulate before anything can be said. A dedicated model is possible but small: ~312 games a season against NBA's ~1,230, on a 12-feature vector.</t>
  </si>
  <si>
    <t>External APIs, Quotas &amp; Expiry</t>
  </si>
  <si>
    <t>All figures read live from each provider at 2026-08-09. No credentials are stored in this file.</t>
  </si>
  <si>
    <t>Provider</t>
  </si>
  <si>
    <t>What we get from it</t>
  </si>
  <si>
    <t>Plan / tier</t>
  </si>
  <si>
    <t>Quota</t>
  </si>
  <si>
    <t>Used (as checked)</t>
  </si>
  <si>
    <t>Remaining</t>
  </si>
  <si>
    <t>Expiry / reset</t>
  </si>
  <si>
    <t>Notes &amp; constraints</t>
  </si>
  <si>
    <t>API-Football (v3, direct host)</t>
  </si>
  <si>
    <t>Football fixtures, team stats, injuries, lineups, corners, H2H, and Brasileirao odds. The primary football provider.</t>
  </si>
  <si>
    <t>Ultra</t>
  </si>
  <si>
    <t>75,000 / day (450 / minute)</t>
  </si>
  <si>
    <t>23,783 today</t>
  </si>
  <si>
    <t>51,217 today</t>
  </si>
  <si>
    <t>SUBSCRIPTION ENDS 2026-09-29</t>
  </si>
  <si>
    <t>HEALTHY</t>
  </si>
  <si>
    <t>Read live from GET /status on 2026-08-10: plan=Ultra, active=true, end=2026-09-29. CORRECTION: the sheet previously said Pro / 7,500 per day / ends 2026-08-29 and called it a 20-day hard deadline - the real end date is a month later. The 450/minute cap is the one that actually bites: a bulk collection run saturates it and then every OTHER caller gets HTTP 200 with an empty response and results=0, which reads exactly like 'this league has no data'. Do not run a live probe against a background collection.</t>
  </si>
  <si>
    <t>TheRundown (via RapidAPI)</t>
  </si>
  <si>
    <t>Odds: NBA, the 5 European football leagues, MLS, and ATP/WTA tennis. Only real source of game-totals lines.</t>
  </si>
  <si>
    <t>Pro</t>
  </si>
  <si>
    <t>5,000 / month</t>
  </si>
  <si>
    <t>68 this period</t>
  </si>
  <si>
    <t>4,932</t>
  </si>
  <si>
    <t>resets in ~27 days</t>
  </si>
  <si>
    <t>Upgraded from 1,000/month. Odds job stays at 6h: worst case at 3h is 134% of quota. No Brazil, Scotland or China coverage at all. Only 3 of ~15 affiliates return real prices; the rest send a 0.0001 masked sentinel.</t>
  </si>
  <si>
    <t>BallDontLie - ATP tennis</t>
  </si>
  <si>
    <t>Tennis fixtures, matches, match_stats (serve/return), odds (DraftKings + FanDuel), rankings, H2H.</t>
  </si>
  <si>
    <t>GOAT</t>
  </si>
  <si>
    <t>600 / minute</t>
  </si>
  <si>
    <t>1 (probe)</t>
  </si>
  <si>
    <t>599</t>
  </si>
  <si>
    <t>no expiry observed</t>
  </si>
  <si>
    <t>10x the ALL-STAR limit. /match_stats paginates by SEASON not per fixture, so bulk history is minutes not days. NOTE: season and match_ids filters are SILENTLY IGNORED on some endpoints - always test with a nonsense value.</t>
  </si>
  <si>
    <t>BallDontLie - WTA tennis</t>
  </si>
  <si>
    <t>Nothing usable. /rankings only.</t>
  </si>
  <si>
    <t>Free (not subscribed)</t>
  </si>
  <si>
    <t>5 / minute</t>
  </si>
  <si>
    <t>BLOCKED</t>
  </si>
  <si>
    <t>Every endpoint except /rankings returns 401. GOAT covers ATP ONLY - WTA needs its own subscription. Code is written and unit-tested; just point league='wta' once subscribed.</t>
  </si>
  <si>
    <t>BallDontLie - NBA</t>
  </si>
  <si>
    <t>NBA fixtures and team stats for live serving.</t>
  </si>
  <si>
    <t>Free</t>
  </si>
  <si>
    <t>4</t>
  </si>
  <si>
    <t>no expiry</t>
  </si>
  <si>
    <t>TIGHT</t>
  </si>
  <si>
    <t>/season_averages, /standings and /player_injuries all 401 on this tier. 5/min is why ingest caches per-run; fine for 30 teams, would not scale.</t>
  </si>
  <si>
    <t>TheStatsAPI</t>
  </si>
  <si>
    <t>Expected goals (xG) for football - the only xG source; API-Football supplies none at any tier.</t>
  </si>
  <si>
    <t>paid</t>
  </si>
  <si>
    <t>120 / minute (+ a monthly cap)</t>
  </si>
  <si>
    <t>0 (probe)</t>
  </si>
  <si>
    <t>120 this minute</t>
  </si>
  <si>
    <t>monthly cap not exposed in headers</t>
  </si>
  <si>
    <t>WATCH</t>
  </si>
  <si>
    <t>Monthly quota is real and has been hit before - it reports as 'season not found', which is misleading. Per-minute limit was raised 12 -&gt; 120; the collector now reads pacing from x-ratelimit-limit rather than a constant.</t>
  </si>
  <si>
    <t>nba_api (stats.nba.com)</t>
  </si>
  <si>
    <t>NBA historical training data only.</t>
  </si>
  <si>
    <t>free</t>
  </si>
  <si>
    <t>unthrottled</t>
  </si>
  <si>
    <t>none</t>
  </si>
  <si>
    <t>LOCAL ONLY</t>
  </si>
  <si>
    <t>Blocks ALL cloud-provider IPs at the network level. Must never be called from a production worker - offline training only.</t>
  </si>
  <si>
    <t>Expo Push API</t>
  </si>
  <si>
    <t>Delivering push notifications to devices.</t>
  </si>
  <si>
    <t>unauthenticated</t>
  </si>
  <si>
    <t>lower unauthenticated rate limit</t>
  </si>
  <si>
    <t>WORKS</t>
  </si>
  <si>
    <t>No EXPO_ACCESS_TOKEN provisioned. Sends work and were verified on a real device. Ticket is returned but the RECEIPT is never checked, so delivery failures are currently invisible.</t>
  </si>
  <si>
    <t>RotoWire</t>
  </si>
  <si>
    <t>NBA injuries (intended).</t>
  </si>
  <si>
    <t>never provisioned</t>
  </si>
  <si>
    <t>NOT PROVISIONED</t>
  </si>
  <si>
    <t>No key was ever obtained. Adapter is a stub, so NBA player_injury_status stays empty. Football injuries come from API-Football and are real.</t>
  </si>
  <si>
    <t>SportsDataIO</t>
  </si>
  <si>
    <t>Phase 2 US sports (NFL/NHL/MLB).</t>
  </si>
  <si>
    <t>Adapter is a stub. Not needed until Phase 2.</t>
  </si>
  <si>
    <t>Re-check by calling each provider's own status endpoint; do not trust these figures after the dates above. API-Football: GET /status. TheRundown: x-ratelimit-requests-* response headers. BallDontLie / TheStatsAPI: x-ratelimit-* response headers.</t>
  </si>
  <si>
    <t>13 Aug: PRODUCTION IS NOW LIVE AND SHARES EVERY QUOTA ABOVE. The figures here were read from a single local machine. Render's beat is now the only scheduler that should be running - local celery was stopped the same day, because two schedulers against the same providers double-spend metered quota and TheRundown is 5,000 per MONTH.</t>
  </si>
  <si>
    <t>13 Aug: BallDontLie /wnba/v1 confirmed live on the SAME key as NBA -- 200, mid-season, history past 2024. /season_averages is a 404 and /standings + /player_injuries 401, so WNBA carries no player-level data at all. TheRundown covers WNBA at sport_id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</si>
</sst>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
    <numFmt numFmtId="165" formatCode="yyyy\-mm\-dd\ h:mm:ss"/>
  </numFmts>
  <fonts count="90" x14ac:knownFonts="1">
    <font>
      <sz val="11"/>
      <color theme="1"/>
      <name val="Calibri"/>
      <family val="2"/>
      <scheme val="minor"/>
    </font>
    <font>
      <b/>
      <sz val="16"/>
      <color rgb="FFFFFFFF"/>
      <name val="Calibri"/>
    </font>
    <font>
      <sz val="9"/>
      <color rgb="FF4B5563"/>
      <name val="Calibri"/>
    </font>
    <font>
      <b/>
      <sz val="10"/>
      <color rgb="FFFFFFFF"/>
      <name val="Calibri"/>
    </font>
    <font>
      <b/>
      <sz val="8"/>
      <color rgb="FFFFFFFF"/>
      <name val="Calibri"/>
    </font>
    <font>
      <b/>
      <sz val="9"/>
      <color rgb="FF111827"/>
      <name val="Calibri"/>
    </font>
    <font>
      <sz val="9"/>
      <color rgb="FF111827"/>
      <name val="Calibri"/>
    </font>
    <font>
      <sz val="8"/>
      <color rgb="FF6B7280"/>
      <name val="Calibri"/>
    </font>
    <font>
      <b/>
      <sz val="9"/>
      <color rgb="FFFFFFFF"/>
      <name val="Calibri"/>
    </font>
    <font>
      <sz val="10"/>
      <color rgb="FF111827"/>
      <name val="Calibri"/>
    </font>
    <font>
      <b/>
      <sz val="10"/>
      <color rgb="FF111827"/>
      <name val="Calibri"/>
    </font>
    <font>
      <b/>
      <sz val="15"/>
      <color rgb="FFFFFFFF"/>
      <name val="Calibri"/>
    </font>
    <font>
      <b/>
      <sz val="11"/>
      <color rgb="FF111827"/>
      <name val="Calibri"/>
    </font>
    <font>
      <sz val="9"/>
      <color rgb="FF475569"/>
      <name val="Calibri"/>
    </font>
    <font>
      <b/>
      <sz val="9"/>
      <color rgb="FF374151"/>
      <name val="Calibri"/>
    </font>
    <font>
      <b/>
      <sz val="8.5"/>
      <color rgb="FFFFFFFF"/>
      <name val="Calibri"/>
    </font>
    <font>
      <b/>
      <sz val="10"/>
      <color rgb="FF64748B"/>
      <name val="Calibri"/>
    </font>
    <font>
      <sz val="9"/>
      <color rgb="FF334155"/>
      <name val="Calibri"/>
    </font>
    <font>
      <b/>
      <sz val="9"/>
      <color rgb="FFB91C1C"/>
      <name val="Calibri"/>
    </font>
    <font>
      <b/>
      <sz val="10"/>
      <name val="Calibri"/>
    </font>
    <font>
      <b/>
      <sz val="8"/>
      <color rgb="FF6B7280"/>
      <name val="Calibri"/>
    </font>
    <font>
      <b/>
      <sz val="9"/>
      <color rgb="FF6B7280"/>
      <name val="Calibri"/>
    </font>
    <font>
      <b/>
      <sz val="9"/>
      <color rgb="FF111827"/>
      <name val="Calibri"/>
    </font>
    <font>
      <sz val="9"/>
      <color rgb="FF111827"/>
      <name val="Calibri"/>
    </font>
    <font>
      <b/>
      <sz val="8"/>
      <color rgb="FFFFFFFF"/>
      <name val="Calibri"/>
    </font>
    <font>
      <sz val="8"/>
      <color rgb="FF6B7280"/>
      <name val="Calibri"/>
    </font>
    <font>
      <b/>
      <sz val="9"/>
      <color rgb="FF111827"/>
      <name val="Calibri"/>
    </font>
    <font>
      <sz val="9"/>
      <color rgb="FF111827"/>
      <name val="Calibri"/>
    </font>
    <font>
      <b/>
      <sz val="8"/>
      <color rgb="FFFFFFFF"/>
      <name val="Calibri"/>
    </font>
    <font>
      <sz val="8"/>
      <color rgb="FF6B7280"/>
      <name val="Calibri"/>
    </font>
    <font>
      <b/>
      <sz val="9"/>
      <color rgb="FF111827"/>
      <name val="Calibri"/>
    </font>
    <font>
      <sz val="9"/>
      <color rgb="FF111827"/>
      <name val="Calibri"/>
    </font>
    <font>
      <b/>
      <sz val="8"/>
      <color rgb="FFFFFFFF"/>
      <name val="Calibri"/>
    </font>
    <font>
      <sz val="8"/>
      <color rgb="FF6B7280"/>
      <name val="Calibri"/>
    </font>
    <font>
      <b/>
      <sz val="9"/>
      <color rgb="FF111827"/>
      <name val="Calibri"/>
    </font>
    <font>
      <sz val="9"/>
      <color rgb="FF111827"/>
      <name val="Calibri"/>
    </font>
    <font>
      <b/>
      <sz val="8"/>
      <color rgb="FFFFFFFF"/>
      <name val="Calibri"/>
    </font>
    <font>
      <sz val="8"/>
      <color rgb="FF6B7280"/>
      <name val="Calibri"/>
    </font>
    <font>
      <b/>
      <sz val="9"/>
      <color rgb="FF111827"/>
      <name val="Calibri"/>
    </font>
    <font>
      <sz val="9"/>
      <color rgb="FF111827"/>
      <name val="Calibri"/>
    </font>
    <font>
      <b/>
      <sz val="8"/>
      <color rgb="FFFFFFFF"/>
      <name val="Calibri"/>
    </font>
    <font>
      <sz val="8"/>
      <color rgb="FF6B7280"/>
      <name val="Calibri"/>
    </font>
    <font>
      <b/>
      <sz val="9"/>
      <color rgb="FF111827"/>
      <name val="Calibri"/>
    </font>
    <font>
      <sz val="9"/>
      <color rgb="FF111827"/>
      <name val="Calibri"/>
    </font>
    <font>
      <sz val="8"/>
      <color rgb="FF6B7280"/>
      <name val="Calibri"/>
    </font>
    <font>
      <b/>
      <sz val="9"/>
      <color rgb="FF111827"/>
      <name val="Calibri"/>
    </font>
    <font>
      <sz val="9"/>
      <color rgb="FF111827"/>
      <name val="Calibri"/>
    </font>
    <font>
      <b/>
      <sz val="8"/>
      <color rgb="FFFFFFFF"/>
      <name val="Calibri"/>
    </font>
    <font>
      <sz val="8"/>
      <color rgb="FF6B7280"/>
      <name val="Calibri"/>
    </font>
    <font>
      <b/>
      <sz val="9"/>
      <color rgb="FF111827"/>
      <name val="Calibri"/>
    </font>
    <font>
      <sz val="9"/>
      <color rgb="FF111827"/>
      <name val="Calibri"/>
    </font>
    <font>
      <b/>
      <sz val="8"/>
      <color rgb="FFFFFFFF"/>
      <name val="Calibri"/>
    </font>
    <font>
      <sz val="8"/>
      <color rgb="FF6B7280"/>
      <name val="Calibri"/>
    </font>
    <font>
      <sz val="9"/>
      <color rgb="FF111827"/>
      <name val="Calibri"/>
    </font>
    <font>
      <b/>
      <sz val="9"/>
      <color rgb="FF111827"/>
      <name val="Calibri"/>
    </font>
    <font>
      <b/>
      <sz val="8"/>
      <color rgb="FFFFFFFF"/>
      <name val="Calibri"/>
    </font>
    <font>
      <sz val="8"/>
      <color rgb="FF6B7280"/>
      <name val="Calibri"/>
    </font>
    <font>
      <b/>
      <sz val="9"/>
      <color rgb="FF111827"/>
      <name val="Calibri"/>
    </font>
    <font>
      <sz val="9"/>
      <color rgb="FF111827"/>
      <name val="Calibri"/>
    </font>
    <font>
      <b/>
      <sz val="8"/>
      <color rgb="FFFFFFFF"/>
      <name val="Calibri"/>
    </font>
    <font>
      <sz val="8"/>
      <color rgb="FF6B7280"/>
      <name val="Calibri"/>
    </font>
    <font>
      <b/>
      <sz val="9"/>
      <color rgb="FF111827"/>
      <name val="Calibri"/>
    </font>
    <font>
      <sz val="9"/>
      <color rgb="FF111827"/>
      <name val="Calibri"/>
    </font>
    <font>
      <b/>
      <sz val="8"/>
      <color rgb="FFFFFFFF"/>
      <name val="Calibri"/>
    </font>
    <font>
      <sz val="8"/>
      <color rgb="FF6B7280"/>
      <name val="Calibri"/>
    </font>
    <font>
      <b/>
      <sz val="9"/>
      <color rgb="FF111827"/>
      <name val="Calibri"/>
    </font>
    <font>
      <sz val="9"/>
      <color rgb="FF111827"/>
      <name val="Calibri"/>
    </font>
    <font>
      <b/>
      <sz val="8"/>
      <color rgb="FFFFFFFF"/>
      <name val="Calibri"/>
    </font>
    <font>
      <sz val="8"/>
      <color rgb="FF6B7280"/>
      <name val="Calibri"/>
    </font>
    <font>
      <b/>
      <sz val="14"/>
      <name val="Calibri"/>
    </font>
    <font>
      <i/>
      <sz val="9"/>
      <name val="Calibri"/>
    </font>
    <font>
      <b/>
      <sz val="11"/>
      <color rgb="FFFFFFFF"/>
      <name val="Calibri"/>
    </font>
    <font>
      <b/>
      <sz val="11"/>
      <name val="Calibri"/>
    </font>
    <font>
      <b/>
      <sz val="14"/>
      <name val="Calibri"/>
    </font>
    <font>
      <sz val="9"/>
      <name val="Calibri"/>
    </font>
    <font>
      <b/>
      <sz val="11"/>
      <color rgb="FFFFFFFF"/>
      <name val="Calibri"/>
    </font>
    <font>
      <b/>
      <sz val="11"/>
      <color rgb="FFFFFFFF"/>
      <name val="Calibri"/>
    </font>
    <font>
      <b/>
      <sz val="11"/>
      <name val="Calibri"/>
    </font>
    <font>
      <b/>
      <sz val="11"/>
      <color rgb="FFFFFFFF"/>
      <name val="Calibri"/>
    </font>
    <font>
      <b/>
      <sz val="11"/>
      <color rgb="FFFFFFFF"/>
      <name val="Calibri"/>
    </font>
    <font>
      <b/>
      <sz val="11"/>
      <color rgb="FFFFFFFF"/>
      <name val="Calibri"/>
    </font>
    <font>
      <b/>
      <sz val="11"/>
      <color rgb="FFFFFFFF"/>
      <name val="Calibri"/>
    </font>
    <font>
      <b/>
      <sz val="11"/>
      <color rgb="FFFFFFFF"/>
      <name val="Calibri"/>
    </font>
    <font>
      <b/>
      <sz val="11"/>
      <color rgb="FFFFFFFF"/>
      <name val="Calibri"/>
    </font>
    <font>
      <b/>
      <sz val="11"/>
      <color rgb="FFFFFFFF"/>
      <name val="Calibri"/>
    </font>
    <font>
      <b/>
      <sz val="11"/>
      <name val="Calibri"/>
    </font>
    <font>
      <b/>
      <sz val="11"/>
      <color rgb="FFFFFFFF"/>
      <name val="Calibri"/>
    </font>
    <font>
      <b/>
      <sz val="11"/>
      <color rgb="FFFFFFFF"/>
      <name val="Calibri"/>
    </font>
    <font>
      <b/>
      <sz val="11"/>
      <color rgb="FFFFFFFF"/>
      <name val="Calibri"/>
    </font>
    <font>
      <b/>
      <sz val="11"/>
      <color rgb="FFFFFFFF"/>
      <name val="Calibri"/>
    </font>
  </fonts>
  <fills count="80">
    <fill>
      <patternFill patternType="none"/>
    </fill>
    <fill>
      <patternFill patternType="gray125"/>
    </fill>
    <fill>
      <patternFill patternType="solid">
        <fgColor rgb="FF1F2937"/>
      </patternFill>
    </fill>
    <fill>
      <patternFill patternType="solid">
        <fgColor rgb="FFF1F5F9"/>
      </patternFill>
    </fill>
    <fill>
      <patternFill patternType="solid">
        <fgColor rgb="FF374151"/>
      </patternFill>
    </fill>
    <fill>
      <patternFill patternType="solid">
        <fgColor rgb="FFFFFFFF"/>
      </patternFill>
    </fill>
    <fill>
      <patternFill patternType="solid">
        <fgColor rgb="FF16A34A"/>
      </patternFill>
    </fill>
    <fill>
      <patternFill patternType="solid">
        <fgColor rgb="FFF8FAFC"/>
      </patternFill>
    </fill>
    <fill>
      <patternFill patternType="solid">
        <fgColor rgb="FF2563EB"/>
      </patternFill>
    </fill>
    <fill>
      <patternFill patternType="solid">
        <fgColor rgb="FF94A3B8"/>
      </patternFill>
    </fill>
    <fill>
      <patternFill patternType="solid">
        <fgColor rgb="FFB45309"/>
      </patternFill>
    </fill>
    <fill>
      <patternFill patternType="solid">
        <fgColor rgb="FFDC2626"/>
      </patternFill>
    </fill>
    <fill>
      <patternFill patternType="solid">
        <fgColor rgb="FF9CA3AF"/>
      </patternFill>
    </fill>
    <fill>
      <patternFill patternType="solid">
        <fgColor rgb="FFD97706"/>
      </patternFill>
    </fill>
    <fill>
      <patternFill patternType="solid">
        <fgColor rgb="FF7C3AED"/>
      </patternFill>
    </fill>
    <fill>
      <patternFill patternType="solid">
        <fgColor rgb="FF0891B2"/>
      </patternFill>
    </fill>
    <fill>
      <patternFill patternType="solid">
        <fgColor rgb="FFF8FAFC"/>
      </patternFill>
    </fill>
    <fill>
      <patternFill patternType="solid">
        <fgColor rgb="FF16A34A"/>
      </patternFill>
    </fill>
    <fill>
      <patternFill patternType="solid">
        <fgColor rgb="FFFFFFFF"/>
      </patternFill>
    </fill>
    <fill>
      <patternFill patternType="solid">
        <fgColor rgb="FF94A3B8"/>
      </patternFill>
    </fill>
    <fill>
      <patternFill patternType="solid">
        <fgColor rgb="FFF8FAFC"/>
      </patternFill>
    </fill>
    <fill>
      <patternFill patternType="solid">
        <fgColor rgb="FF16A34A"/>
      </patternFill>
    </fill>
    <fill>
      <patternFill patternType="solid">
        <fgColor rgb="FFFFFFFF"/>
      </patternFill>
    </fill>
    <fill>
      <patternFill patternType="solid">
        <fgColor rgb="FFB45309"/>
      </patternFill>
    </fill>
    <fill>
      <patternFill patternType="solid">
        <fgColor rgb="FF94A3B8"/>
      </patternFill>
    </fill>
    <fill>
      <patternFill patternType="solid">
        <fgColor rgb="FFF8FAFC"/>
      </patternFill>
    </fill>
    <fill>
      <patternFill patternType="solid">
        <fgColor rgb="FF16A34A"/>
      </patternFill>
    </fill>
    <fill>
      <patternFill patternType="solid">
        <fgColor rgb="FF94A3B8"/>
      </patternFill>
    </fill>
    <fill>
      <patternFill patternType="solid">
        <fgColor rgb="FFFFFFFF"/>
      </patternFill>
    </fill>
    <fill>
      <patternFill patternType="solid">
        <fgColor rgb="FF16A34A"/>
      </patternFill>
    </fill>
    <fill>
      <patternFill patternType="solid">
        <fgColor rgb="FFF8FAFC"/>
      </patternFill>
    </fill>
    <fill>
      <patternFill patternType="solid">
        <fgColor rgb="FF94A3B8"/>
      </patternFill>
    </fill>
    <fill>
      <patternFill patternType="solid">
        <fgColor rgb="FFFFFFFF"/>
      </patternFill>
    </fill>
    <fill>
      <patternFill patternType="solid">
        <fgColor rgb="FF16A34A"/>
      </patternFill>
    </fill>
    <fill>
      <patternFill patternType="solid">
        <fgColor rgb="FFF8FAFC"/>
      </patternFill>
    </fill>
    <fill>
      <patternFill patternType="solid">
        <fgColor rgb="FF94A3B8"/>
      </patternFill>
    </fill>
    <fill>
      <patternFill patternType="solid">
        <fgColor rgb="FFFFFFFF"/>
      </patternFill>
    </fill>
    <fill>
      <patternFill patternType="solid">
        <fgColor rgb="FF16A34A"/>
      </patternFill>
    </fill>
    <fill>
      <patternFill patternType="solid">
        <fgColor rgb="FFF8FAFC"/>
      </patternFill>
    </fill>
    <fill>
      <patternFill patternType="solid">
        <fgColor rgb="FF94A3B8"/>
      </patternFill>
    </fill>
    <fill>
      <patternFill patternType="solid">
        <fgColor rgb="FFFFFFFF"/>
      </patternFill>
    </fill>
    <fill>
      <patternFill patternType="solid">
        <fgColor rgb="FFB45309"/>
      </patternFill>
    </fill>
    <fill>
      <patternFill patternType="solid">
        <fgColor rgb="FFF8FAFC"/>
      </patternFill>
    </fill>
    <fill>
      <patternFill patternType="solid">
        <fgColor rgb="FF16A34A"/>
      </patternFill>
    </fill>
    <fill>
      <patternFill patternType="solid">
        <fgColor rgb="FF94A3B8"/>
      </patternFill>
    </fill>
    <fill>
      <patternFill patternType="solid">
        <fgColor rgb="FFFFFFFF"/>
      </patternFill>
    </fill>
    <fill>
      <patternFill patternType="solid">
        <fgColor rgb="FF16A34A"/>
      </patternFill>
    </fill>
    <fill>
      <patternFill patternType="solid">
        <fgColor rgb="FFF8FAFC"/>
      </patternFill>
    </fill>
    <fill>
      <patternFill patternType="solid">
        <fgColor rgb="FFDC2626"/>
      </patternFill>
    </fill>
    <fill>
      <patternFill patternType="solid">
        <fgColor rgb="FF94A3B8"/>
      </patternFill>
    </fill>
    <fill>
      <patternFill patternType="solid">
        <fgColor rgb="FFF8FAFC"/>
      </patternFill>
    </fill>
    <fill>
      <patternFill patternType="solid">
        <fgColor rgb="FFFFFFFF"/>
      </patternFill>
    </fill>
    <fill>
      <patternFill patternType="solid">
        <fgColor rgb="FF94A3B8"/>
      </patternFill>
    </fill>
    <fill>
      <patternFill patternType="solid">
        <fgColor rgb="FFB45309"/>
      </patternFill>
    </fill>
    <fill>
      <patternFill patternType="solid">
        <fgColor rgb="FFF8FAFC"/>
      </patternFill>
    </fill>
    <fill>
      <patternFill patternType="solid">
        <fgColor rgb="FF16A34A"/>
      </patternFill>
    </fill>
    <fill>
      <patternFill patternType="solid">
        <fgColor rgb="FFB45309"/>
      </patternFill>
    </fill>
    <fill>
      <patternFill patternType="solid">
        <fgColor rgb="FFFFFFFF"/>
      </patternFill>
    </fill>
    <fill>
      <patternFill patternType="solid">
        <fgColor rgb="FF94A3B8"/>
      </patternFill>
    </fill>
    <fill>
      <patternFill patternType="solid">
        <fgColor rgb="FFFFFFFF"/>
      </patternFill>
    </fill>
    <fill>
      <patternFill patternType="solid">
        <fgColor rgb="FFB45309"/>
      </patternFill>
    </fill>
    <fill>
      <patternFill patternType="solid">
        <fgColor rgb="FFF8FAFC"/>
      </patternFill>
    </fill>
    <fill>
      <patternFill patternType="solid">
        <fgColor rgb="FF16A34A"/>
      </patternFill>
    </fill>
    <fill>
      <patternFill patternType="solid">
        <fgColor rgb="FF94A3B8"/>
      </patternFill>
    </fill>
    <fill>
      <patternFill patternType="solid">
        <fgColor rgb="FFF8FAFC"/>
      </patternFill>
    </fill>
    <fill>
      <patternFill patternType="solid">
        <fgColor rgb="FF16A34A"/>
      </patternFill>
    </fill>
    <fill>
      <patternFill patternType="solid">
        <fgColor rgb="FFFFFFFF"/>
      </patternFill>
    </fill>
    <fill>
      <patternFill patternType="solid">
        <fgColor rgb="FFB45309"/>
      </patternFill>
    </fill>
    <fill>
      <patternFill patternType="solid">
        <fgColor rgb="FF94A3B8"/>
      </patternFill>
    </fill>
    <fill>
      <patternFill patternType="solid">
        <fgColor rgb="FFDC2626"/>
      </patternFill>
    </fill>
    <fill>
      <patternFill patternType="solid">
        <fgColor rgb="FF1F3864"/>
      </patternFill>
    </fill>
    <fill>
      <patternFill patternType="solid">
        <fgColor rgb="FFF8CBAD"/>
      </patternFill>
    </fill>
    <fill>
      <patternFill patternType="solid">
        <fgColor rgb="FFE2EFDA"/>
      </patternFill>
    </fill>
    <fill>
      <patternFill patternType="solid">
        <fgColor rgb="FFFFF2CC"/>
      </patternFill>
    </fill>
    <fill>
      <patternFill patternType="solid">
        <fgColor rgb="FF64748B"/>
      </patternFill>
    </fill>
    <fill>
      <patternFill patternType="solid">
        <fgColor rgb="FF334155"/>
      </patternFill>
    </fill>
    <fill>
      <patternFill patternType="solid">
        <fgColor rgb="FF16A34A"/>
        <bgColor rgb="FF16A34A"/>
      </patternFill>
    </fill>
    <fill>
      <patternFill patternType="solid">
        <fgColor rgb="FFB45309"/>
        <bgColor rgb="FFB45309"/>
      </patternFill>
    </fill>
    <fill>
      <patternFill patternType="solid">
        <fgColor rgb="FF2563EB"/>
        <bgColor rgb="FF2563EB"/>
      </patternFill>
    </fill>
    <fill>
      <patternFill patternType="solid">
        <fgColor rgb="FF94A3B8"/>
        <bgColor rgb="FF94A3B8"/>
      </patternFill>
    </fill>
  </fills>
  <borders count="19">
    <border>
      <left/>
      <right/>
      <top/>
      <bottom/>
      <diagonal/>
    </border>
    <border>
      <left style="thin">
        <color rgb="FFD1D5DB"/>
      </left>
      <right style="thin">
        <color rgb="FFD1D5DB"/>
      </right>
      <top style="thin">
        <color rgb="FFD1D5DB"/>
      </top>
      <bottom style="thin">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style="thin">
        <color rgb="FFCBD5E1"/>
      </left>
      <right style="thin">
        <color rgb="FFCBD5E1"/>
      </right>
      <top style="thin">
        <color rgb="FFCBD5E1"/>
      </top>
      <bottom style="thin">
        <color rgb="FFCBD5E1"/>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316">
    <xf numFmtId="0" fontId="0" fillId="0" borderId="0" xfId="0"/>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5" fillId="5" borderId="1" xfId="0" applyFont="1" applyFill="1" applyBorder="1" applyAlignment="1">
      <alignment horizontal="left" vertical="center"/>
    </xf>
    <xf numFmtId="0" fontId="6" fillId="5" borderId="1" xfId="0" applyFont="1" applyFill="1" applyBorder="1" applyAlignment="1">
      <alignment horizontal="left" vertical="center"/>
    </xf>
    <xf numFmtId="0" fontId="4" fillId="6" borderId="1" xfId="0" applyFont="1" applyFill="1" applyBorder="1" applyAlignment="1">
      <alignment horizontal="center" vertical="center"/>
    </xf>
    <xf numFmtId="0" fontId="6" fillId="5" borderId="1" xfId="0" applyFont="1" applyFill="1" applyBorder="1" applyAlignment="1">
      <alignment horizontal="center" vertical="center"/>
    </xf>
    <xf numFmtId="164" fontId="6" fillId="5" borderId="1" xfId="0" applyNumberFormat="1" applyFont="1" applyFill="1" applyBorder="1" applyAlignment="1">
      <alignment horizontal="center" vertical="center"/>
    </xf>
    <xf numFmtId="0" fontId="8" fillId="6" borderId="1" xfId="0" applyFont="1" applyFill="1" applyBorder="1" applyAlignment="1">
      <alignment horizontal="center" vertical="center"/>
    </xf>
    <xf numFmtId="0" fontId="9" fillId="5" borderId="1" xfId="0" applyFont="1" applyFill="1" applyBorder="1" applyAlignment="1">
      <alignment horizontal="left" vertical="center"/>
    </xf>
    <xf numFmtId="0" fontId="6" fillId="7" borderId="1" xfId="0" applyFont="1" applyFill="1" applyBorder="1" applyAlignment="1">
      <alignment horizontal="left" vertical="center"/>
    </xf>
    <xf numFmtId="0" fontId="6" fillId="7" borderId="1" xfId="0" applyFont="1" applyFill="1" applyBorder="1" applyAlignment="1">
      <alignment horizontal="center" vertical="center"/>
    </xf>
    <xf numFmtId="164" fontId="6" fillId="7" borderId="1" xfId="0" applyNumberFormat="1" applyFont="1" applyFill="1" applyBorder="1" applyAlignment="1">
      <alignment horizontal="center" vertical="center"/>
    </xf>
    <xf numFmtId="0" fontId="9" fillId="7" borderId="1" xfId="0" applyFont="1" applyFill="1" applyBorder="1" applyAlignment="1">
      <alignment horizontal="left" vertical="center"/>
    </xf>
    <xf numFmtId="0" fontId="5" fillId="7" borderId="1" xfId="0" applyFont="1" applyFill="1" applyBorder="1" applyAlignment="1">
      <alignment horizontal="left" vertical="center"/>
    </xf>
    <xf numFmtId="0" fontId="4" fillId="8" borderId="1" xfId="0" applyFont="1" applyFill="1" applyBorder="1" applyAlignment="1">
      <alignment horizontal="center" vertical="center"/>
    </xf>
    <xf numFmtId="0" fontId="8"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8" fillId="9" borderId="1" xfId="0" applyFont="1" applyFill="1" applyBorder="1" applyAlignment="1">
      <alignment horizontal="center" vertical="center"/>
    </xf>
    <xf numFmtId="0" fontId="4" fillId="10" borderId="1" xfId="0" applyFont="1" applyFill="1" applyBorder="1" applyAlignment="1">
      <alignment horizontal="center" vertical="center"/>
    </xf>
    <xf numFmtId="0" fontId="8" fillId="10" borderId="1" xfId="0" applyFont="1" applyFill="1" applyBorder="1" applyAlignment="1">
      <alignment horizontal="center" vertical="center"/>
    </xf>
    <xf numFmtId="0" fontId="4" fillId="11" borderId="1" xfId="0" applyFont="1" applyFill="1" applyBorder="1" applyAlignment="1">
      <alignment horizontal="center" vertical="center"/>
    </xf>
    <xf numFmtId="0" fontId="8" fillId="11" borderId="1" xfId="0" applyFont="1" applyFill="1" applyBorder="1" applyAlignment="1">
      <alignment horizontal="center" vertical="center"/>
    </xf>
    <xf numFmtId="0" fontId="10" fillId="0" borderId="1" xfId="0" applyFont="1" applyBorder="1" applyAlignment="1">
      <alignment horizontal="left" vertical="center"/>
    </xf>
    <xf numFmtId="0" fontId="9" fillId="0" borderId="1" xfId="0" applyFont="1" applyBorder="1" applyAlignment="1">
      <alignment horizontal="center" vertical="center"/>
    </xf>
    <xf numFmtId="9" fontId="10" fillId="0" borderId="1" xfId="0" applyNumberFormat="1" applyFont="1" applyBorder="1" applyAlignment="1">
      <alignment horizontal="center" vertical="center"/>
    </xf>
    <xf numFmtId="0" fontId="12" fillId="3" borderId="1" xfId="0" applyFont="1" applyFill="1" applyBorder="1" applyAlignment="1">
      <alignment horizontal="left" vertical="center"/>
    </xf>
    <xf numFmtId="0" fontId="10" fillId="3" borderId="1" xfId="0" applyFont="1" applyFill="1" applyBorder="1" applyAlignment="1">
      <alignment horizontal="center" vertical="center"/>
    </xf>
    <xf numFmtId="9" fontId="12" fillId="3"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5" fillId="7"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4" fillId="12" borderId="1" xfId="0" applyFont="1" applyFill="1" applyBorder="1" applyAlignment="1">
      <alignment horizontal="center" vertical="center"/>
    </xf>
    <xf numFmtId="0" fontId="14" fillId="3" borderId="4" xfId="0" applyFont="1" applyFill="1" applyBorder="1" applyAlignment="1">
      <alignment horizontal="right" vertical="center" wrapText="1" indent="1"/>
    </xf>
    <xf numFmtId="0" fontId="19" fillId="0" borderId="0" xfId="0" applyFont="1"/>
    <xf numFmtId="0" fontId="6" fillId="6" borderId="1" xfId="0" applyFont="1" applyFill="1" applyBorder="1" applyAlignment="1">
      <alignment horizontal="left" vertical="center"/>
    </xf>
    <xf numFmtId="0" fontId="6" fillId="10" borderId="1" xfId="0" applyFont="1" applyFill="1" applyBorder="1" applyAlignment="1">
      <alignment horizontal="left" vertical="center"/>
    </xf>
    <xf numFmtId="0" fontId="6" fillId="9" borderId="1" xfId="0" applyFont="1" applyFill="1" applyBorder="1" applyAlignment="1">
      <alignment horizontal="left" vertical="center"/>
    </xf>
    <xf numFmtId="0" fontId="20" fillId="0" borderId="1" xfId="0" applyFont="1" applyBorder="1" applyAlignment="1">
      <alignment horizontal="left" vertical="center"/>
    </xf>
    <xf numFmtId="0" fontId="21" fillId="0" borderId="1" xfId="0" applyFont="1" applyBorder="1" applyAlignment="1">
      <alignment horizontal="left" vertical="center"/>
    </xf>
    <xf numFmtId="0" fontId="6" fillId="0" borderId="1" xfId="0" applyFont="1" applyBorder="1" applyAlignment="1">
      <alignment horizontal="center" vertical="center"/>
    </xf>
    <xf numFmtId="0" fontId="7" fillId="0" borderId="1" xfId="0" applyFont="1" applyBorder="1" applyAlignment="1">
      <alignment horizontal="left" vertical="center"/>
    </xf>
    <xf numFmtId="0" fontId="22" fillId="16" borderId="7" xfId="0" applyFont="1" applyFill="1" applyBorder="1" applyAlignment="1">
      <alignment horizontal="left" vertical="center"/>
    </xf>
    <xf numFmtId="0" fontId="23" fillId="16" borderId="7" xfId="0" applyFont="1" applyFill="1" applyBorder="1" applyAlignment="1">
      <alignment horizontal="left" vertical="center"/>
    </xf>
    <xf numFmtId="0" fontId="23" fillId="16" borderId="7" xfId="0" applyFont="1" applyFill="1" applyBorder="1" applyAlignment="1">
      <alignment horizontal="center" vertical="center"/>
    </xf>
    <xf numFmtId="164" fontId="23" fillId="16" borderId="7" xfId="0" applyNumberFormat="1" applyFont="1" applyFill="1" applyBorder="1" applyAlignment="1">
      <alignment horizontal="center" vertical="center"/>
    </xf>
    <xf numFmtId="0" fontId="23" fillId="17" borderId="7" xfId="0" applyFont="1" applyFill="1" applyBorder="1" applyAlignment="1">
      <alignment horizontal="left" vertical="center"/>
    </xf>
    <xf numFmtId="0" fontId="22" fillId="18" borderId="7" xfId="0" applyFont="1" applyFill="1" applyBorder="1" applyAlignment="1">
      <alignment horizontal="left" vertical="center"/>
    </xf>
    <xf numFmtId="0" fontId="23" fillId="18" borderId="7" xfId="0" applyFont="1" applyFill="1" applyBorder="1" applyAlignment="1">
      <alignment horizontal="left" vertical="center"/>
    </xf>
    <xf numFmtId="0" fontId="23" fillId="18" borderId="7" xfId="0" applyFont="1" applyFill="1" applyBorder="1" applyAlignment="1">
      <alignment horizontal="center" vertical="center"/>
    </xf>
    <xf numFmtId="164" fontId="23" fillId="18" borderId="7" xfId="0" applyNumberFormat="1" applyFont="1" applyFill="1" applyBorder="1" applyAlignment="1">
      <alignment horizontal="center" vertical="center"/>
    </xf>
    <xf numFmtId="0" fontId="22" fillId="18" borderId="7" xfId="0" applyFont="1" applyFill="1" applyBorder="1" applyAlignment="1">
      <alignment horizontal="left" vertical="center" wrapText="1"/>
    </xf>
    <xf numFmtId="0" fontId="24" fillId="19" borderId="7" xfId="0" applyFont="1" applyFill="1" applyBorder="1" applyAlignment="1">
      <alignment horizontal="center" vertical="center"/>
    </xf>
    <xf numFmtId="0" fontId="23" fillId="18" borderId="7" xfId="0" applyFont="1" applyFill="1" applyBorder="1" applyAlignment="1">
      <alignment horizontal="left" vertical="center" wrapText="1"/>
    </xf>
    <xf numFmtId="0" fontId="22" fillId="16" borderId="7" xfId="0" applyFont="1" applyFill="1" applyBorder="1" applyAlignment="1">
      <alignment horizontal="left" vertical="center" wrapText="1"/>
    </xf>
    <xf numFmtId="0" fontId="23" fillId="16" borderId="7" xfId="0" applyFont="1" applyFill="1" applyBorder="1" applyAlignment="1">
      <alignment horizontal="left" vertical="center" wrapText="1"/>
    </xf>
    <xf numFmtId="0" fontId="26" fillId="20" borderId="8" xfId="0" applyFont="1" applyFill="1" applyBorder="1" applyAlignment="1">
      <alignment horizontal="left" vertical="center"/>
    </xf>
    <xf numFmtId="0" fontId="27" fillId="20" borderId="8" xfId="0" applyFont="1" applyFill="1" applyBorder="1" applyAlignment="1">
      <alignment horizontal="left" vertical="center"/>
    </xf>
    <xf numFmtId="0" fontId="27" fillId="20" borderId="8" xfId="0" applyFont="1" applyFill="1" applyBorder="1" applyAlignment="1">
      <alignment horizontal="center" vertical="center"/>
    </xf>
    <xf numFmtId="164" fontId="27" fillId="20" borderId="8" xfId="0" applyNumberFormat="1" applyFont="1" applyFill="1" applyBorder="1" applyAlignment="1">
      <alignment horizontal="center" vertical="center"/>
    </xf>
    <xf numFmtId="0" fontId="27" fillId="21" borderId="8" xfId="0" applyFont="1" applyFill="1" applyBorder="1" applyAlignment="1">
      <alignment horizontal="left" vertical="center"/>
    </xf>
    <xf numFmtId="0" fontId="26" fillId="22" borderId="8" xfId="0" applyFont="1" applyFill="1" applyBorder="1" applyAlignment="1">
      <alignment horizontal="left" vertical="center"/>
    </xf>
    <xf numFmtId="0" fontId="27" fillId="22" borderId="8" xfId="0" applyFont="1" applyFill="1" applyBorder="1" applyAlignment="1">
      <alignment horizontal="left" vertical="center"/>
    </xf>
    <xf numFmtId="0" fontId="27" fillId="22" borderId="8" xfId="0" applyFont="1" applyFill="1" applyBorder="1" applyAlignment="1">
      <alignment horizontal="center" vertical="center"/>
    </xf>
    <xf numFmtId="164" fontId="27" fillId="22" borderId="8" xfId="0" applyNumberFormat="1" applyFont="1" applyFill="1" applyBorder="1" applyAlignment="1">
      <alignment horizontal="center" vertical="center"/>
    </xf>
    <xf numFmtId="0" fontId="28" fillId="23" borderId="8" xfId="0" applyFont="1" applyFill="1" applyBorder="1" applyAlignment="1">
      <alignment horizontal="center" vertical="center"/>
    </xf>
    <xf numFmtId="0" fontId="27" fillId="23" borderId="8" xfId="0" applyFont="1" applyFill="1" applyBorder="1" applyAlignment="1">
      <alignment horizontal="left" vertical="center"/>
    </xf>
    <xf numFmtId="0" fontId="28" fillId="24" borderId="8" xfId="0" applyFont="1" applyFill="1" applyBorder="1" applyAlignment="1">
      <alignment horizontal="center" vertical="center"/>
    </xf>
    <xf numFmtId="0" fontId="27" fillId="24" borderId="8" xfId="0" applyFont="1" applyFill="1" applyBorder="1" applyAlignment="1">
      <alignment horizontal="left" vertical="center"/>
    </xf>
    <xf numFmtId="0" fontId="26" fillId="20" borderId="8" xfId="0" applyFont="1" applyFill="1" applyBorder="1" applyAlignment="1">
      <alignment horizontal="left" vertical="center" wrapText="1"/>
    </xf>
    <xf numFmtId="0" fontId="26" fillId="22" borderId="8" xfId="0" applyFont="1" applyFill="1" applyBorder="1" applyAlignment="1">
      <alignment horizontal="left" vertical="center" wrapText="1"/>
    </xf>
    <xf numFmtId="0" fontId="30" fillId="25" borderId="9" xfId="0" applyFont="1" applyFill="1" applyBorder="1" applyAlignment="1">
      <alignment horizontal="left" vertical="center"/>
    </xf>
    <xf numFmtId="0" fontId="31" fillId="25" borderId="9" xfId="0" applyFont="1" applyFill="1" applyBorder="1" applyAlignment="1">
      <alignment horizontal="left" vertical="center"/>
    </xf>
    <xf numFmtId="0" fontId="31" fillId="25" borderId="9" xfId="0" applyFont="1" applyFill="1" applyBorder="1" applyAlignment="1">
      <alignment horizontal="center" vertical="center"/>
    </xf>
    <xf numFmtId="164" fontId="31" fillId="25" borderId="9" xfId="0" applyNumberFormat="1" applyFont="1" applyFill="1" applyBorder="1" applyAlignment="1">
      <alignment horizontal="center" vertical="center"/>
    </xf>
    <xf numFmtId="0" fontId="31" fillId="26" borderId="9" xfId="0" applyFont="1" applyFill="1" applyBorder="1" applyAlignment="1">
      <alignment horizontal="left" vertical="center"/>
    </xf>
    <xf numFmtId="0" fontId="30" fillId="25" borderId="9" xfId="0" applyFont="1" applyFill="1" applyBorder="1" applyAlignment="1">
      <alignment horizontal="left" vertical="center" wrapText="1"/>
    </xf>
    <xf numFmtId="0" fontId="32" fillId="27" borderId="9" xfId="0" applyFont="1" applyFill="1" applyBorder="1" applyAlignment="1">
      <alignment horizontal="center" vertical="center"/>
    </xf>
    <xf numFmtId="0" fontId="31" fillId="25" borderId="9" xfId="0" applyFont="1" applyFill="1" applyBorder="1" applyAlignment="1">
      <alignment horizontal="left" vertical="center" wrapText="1"/>
    </xf>
    <xf numFmtId="0" fontId="34" fillId="28" borderId="10" xfId="0" applyFont="1" applyFill="1" applyBorder="1" applyAlignment="1">
      <alignment horizontal="left" vertical="center"/>
    </xf>
    <xf numFmtId="0" fontId="35" fillId="28" borderId="10" xfId="0" applyFont="1" applyFill="1" applyBorder="1" applyAlignment="1">
      <alignment horizontal="left" vertical="center"/>
    </xf>
    <xf numFmtId="0" fontId="35" fillId="28" borderId="10" xfId="0" applyFont="1" applyFill="1" applyBorder="1" applyAlignment="1">
      <alignment horizontal="center" vertical="center"/>
    </xf>
    <xf numFmtId="164" fontId="35" fillId="28" borderId="10" xfId="0" applyNumberFormat="1" applyFont="1" applyFill="1" applyBorder="1" applyAlignment="1">
      <alignment horizontal="center" vertical="center"/>
    </xf>
    <xf numFmtId="0" fontId="35" fillId="29" borderId="10" xfId="0" applyFont="1" applyFill="1" applyBorder="1" applyAlignment="1">
      <alignment horizontal="left" vertical="center"/>
    </xf>
    <xf numFmtId="0" fontId="34" fillId="30" borderId="10" xfId="0" applyFont="1" applyFill="1" applyBorder="1" applyAlignment="1">
      <alignment horizontal="left" vertical="center"/>
    </xf>
    <xf numFmtId="0" fontId="35" fillId="30" borderId="10" xfId="0" applyFont="1" applyFill="1" applyBorder="1" applyAlignment="1">
      <alignment horizontal="left" vertical="center"/>
    </xf>
    <xf numFmtId="0" fontId="35" fillId="30" borderId="10" xfId="0" applyFont="1" applyFill="1" applyBorder="1" applyAlignment="1">
      <alignment horizontal="center" vertical="center"/>
    </xf>
    <xf numFmtId="164" fontId="35" fillId="30" borderId="10" xfId="0" applyNumberFormat="1" applyFont="1" applyFill="1" applyBorder="1" applyAlignment="1">
      <alignment horizontal="center" vertical="center"/>
    </xf>
    <xf numFmtId="0" fontId="36" fillId="31" borderId="10" xfId="0" applyFont="1" applyFill="1" applyBorder="1" applyAlignment="1">
      <alignment horizontal="center" vertical="center"/>
    </xf>
    <xf numFmtId="0" fontId="35" fillId="31" borderId="10" xfId="0" applyFont="1" applyFill="1" applyBorder="1" applyAlignment="1">
      <alignment horizontal="left" vertical="center"/>
    </xf>
    <xf numFmtId="0" fontId="34" fillId="28" borderId="10" xfId="0" applyFont="1" applyFill="1" applyBorder="1" applyAlignment="1">
      <alignment horizontal="left" vertical="center" wrapText="1"/>
    </xf>
    <xf numFmtId="0" fontId="35" fillId="28" borderId="10" xfId="0" applyFont="1" applyFill="1" applyBorder="1" applyAlignment="1">
      <alignment horizontal="left" vertical="center" wrapText="1"/>
    </xf>
    <xf numFmtId="0" fontId="35" fillId="30" borderId="10" xfId="0" applyFont="1" applyFill="1" applyBorder="1" applyAlignment="1">
      <alignment horizontal="left" vertical="center" wrapText="1"/>
    </xf>
    <xf numFmtId="0" fontId="38" fillId="32" borderId="11" xfId="0" applyFont="1" applyFill="1" applyBorder="1" applyAlignment="1">
      <alignment horizontal="left" vertical="center"/>
    </xf>
    <xf numFmtId="0" fontId="39" fillId="32" borderId="11" xfId="0" applyFont="1" applyFill="1" applyBorder="1" applyAlignment="1">
      <alignment horizontal="left" vertical="center"/>
    </xf>
    <xf numFmtId="0" fontId="39" fillId="32" borderId="11" xfId="0" applyFont="1" applyFill="1" applyBorder="1" applyAlignment="1">
      <alignment horizontal="center" vertical="center"/>
    </xf>
    <xf numFmtId="164" fontId="39" fillId="32" borderId="11" xfId="0" applyNumberFormat="1" applyFont="1" applyFill="1" applyBorder="1" applyAlignment="1">
      <alignment horizontal="center" vertical="center"/>
    </xf>
    <xf numFmtId="0" fontId="39" fillId="33" borderId="11" xfId="0" applyFont="1" applyFill="1" applyBorder="1" applyAlignment="1">
      <alignment horizontal="left" vertical="center"/>
    </xf>
    <xf numFmtId="0" fontId="38" fillId="34" borderId="11" xfId="0" applyFont="1" applyFill="1" applyBorder="1" applyAlignment="1">
      <alignment horizontal="left" vertical="center"/>
    </xf>
    <xf numFmtId="0" fontId="39" fillId="34" borderId="11" xfId="0" applyFont="1" applyFill="1" applyBorder="1" applyAlignment="1">
      <alignment horizontal="left" vertical="center"/>
    </xf>
    <xf numFmtId="0" fontId="39" fillId="34" borderId="11" xfId="0" applyFont="1" applyFill="1" applyBorder="1" applyAlignment="1">
      <alignment horizontal="center" vertical="center"/>
    </xf>
    <xf numFmtId="164" fontId="39" fillId="34" borderId="11" xfId="0" applyNumberFormat="1" applyFont="1" applyFill="1" applyBorder="1" applyAlignment="1">
      <alignment horizontal="center" vertical="center"/>
    </xf>
    <xf numFmtId="0" fontId="40" fillId="35" borderId="11" xfId="0" applyFont="1" applyFill="1" applyBorder="1" applyAlignment="1">
      <alignment horizontal="center" vertical="center"/>
    </xf>
    <xf numFmtId="0" fontId="39" fillId="35" borderId="11" xfId="0" applyFont="1" applyFill="1" applyBorder="1" applyAlignment="1">
      <alignment horizontal="left" vertical="center"/>
    </xf>
    <xf numFmtId="0" fontId="38" fillId="34" borderId="11" xfId="0" applyFont="1" applyFill="1" applyBorder="1" applyAlignment="1">
      <alignment horizontal="left" vertical="center" wrapText="1"/>
    </xf>
    <xf numFmtId="0" fontId="39" fillId="34" borderId="11" xfId="0" applyFont="1" applyFill="1" applyBorder="1" applyAlignment="1">
      <alignment horizontal="left" vertical="center" wrapText="1"/>
    </xf>
    <xf numFmtId="0" fontId="38" fillId="32" borderId="11" xfId="0" applyFont="1" applyFill="1" applyBorder="1" applyAlignment="1">
      <alignment horizontal="left" vertical="center" wrapText="1"/>
    </xf>
    <xf numFmtId="0" fontId="39" fillId="32" borderId="11" xfId="0" applyFont="1" applyFill="1" applyBorder="1" applyAlignment="1">
      <alignment horizontal="left" vertical="center" wrapText="1"/>
    </xf>
    <xf numFmtId="0" fontId="42" fillId="36" borderId="12" xfId="0" applyFont="1" applyFill="1" applyBorder="1" applyAlignment="1">
      <alignment horizontal="left" vertical="center"/>
    </xf>
    <xf numFmtId="0" fontId="43" fillId="36" borderId="12" xfId="0" applyFont="1" applyFill="1" applyBorder="1" applyAlignment="1">
      <alignment horizontal="left" vertical="center"/>
    </xf>
    <xf numFmtId="0" fontId="43" fillId="36" borderId="12" xfId="0" applyFont="1" applyFill="1" applyBorder="1" applyAlignment="1">
      <alignment horizontal="center" vertical="center"/>
    </xf>
    <xf numFmtId="164" fontId="43" fillId="36" borderId="12" xfId="0" applyNumberFormat="1" applyFont="1" applyFill="1" applyBorder="1" applyAlignment="1">
      <alignment horizontal="center" vertical="center"/>
    </xf>
    <xf numFmtId="0" fontId="43" fillId="37" borderId="12" xfId="0" applyFont="1" applyFill="1" applyBorder="1" applyAlignment="1">
      <alignment horizontal="left" vertical="center"/>
    </xf>
    <xf numFmtId="0" fontId="42" fillId="38" borderId="12" xfId="0" applyFont="1" applyFill="1" applyBorder="1" applyAlignment="1">
      <alignment horizontal="left" vertical="center"/>
    </xf>
    <xf numFmtId="0" fontId="43" fillId="38" borderId="12" xfId="0" applyFont="1" applyFill="1" applyBorder="1" applyAlignment="1">
      <alignment horizontal="left" vertical="center"/>
    </xf>
    <xf numFmtId="0" fontId="43" fillId="38" borderId="12" xfId="0" applyFont="1" applyFill="1" applyBorder="1" applyAlignment="1">
      <alignment horizontal="center" vertical="center"/>
    </xf>
    <xf numFmtId="164" fontId="43" fillId="38" borderId="12" xfId="0" applyNumberFormat="1" applyFont="1" applyFill="1" applyBorder="1" applyAlignment="1">
      <alignment horizontal="center" vertical="center"/>
    </xf>
    <xf numFmtId="0" fontId="43" fillId="39" borderId="12" xfId="0" applyFont="1" applyFill="1" applyBorder="1" applyAlignment="1">
      <alignment horizontal="left" vertical="center"/>
    </xf>
    <xf numFmtId="0" fontId="45" fillId="40" borderId="13" xfId="0" applyFont="1" applyFill="1" applyBorder="1" applyAlignment="1">
      <alignment horizontal="left" vertical="center"/>
    </xf>
    <xf numFmtId="0" fontId="46" fillId="40" borderId="13" xfId="0" applyFont="1" applyFill="1" applyBorder="1" applyAlignment="1">
      <alignment horizontal="left" vertical="center"/>
    </xf>
    <xf numFmtId="0" fontId="47" fillId="41" borderId="13" xfId="0" applyFont="1" applyFill="1" applyBorder="1" applyAlignment="1">
      <alignment horizontal="center" vertical="center"/>
    </xf>
    <xf numFmtId="0" fontId="46" fillId="40" borderId="13" xfId="0" applyFont="1" applyFill="1" applyBorder="1" applyAlignment="1">
      <alignment horizontal="center" vertical="center"/>
    </xf>
    <xf numFmtId="164" fontId="46" fillId="40" borderId="13" xfId="0" applyNumberFormat="1" applyFont="1" applyFill="1" applyBorder="1" applyAlignment="1">
      <alignment horizontal="center" vertical="center"/>
    </xf>
    <xf numFmtId="0" fontId="46" fillId="41" borderId="13" xfId="0" applyFont="1" applyFill="1" applyBorder="1" applyAlignment="1">
      <alignment horizontal="left" vertical="center"/>
    </xf>
    <xf numFmtId="0" fontId="45" fillId="42" borderId="13" xfId="0" applyFont="1" applyFill="1" applyBorder="1" applyAlignment="1">
      <alignment horizontal="left" vertical="center"/>
    </xf>
    <xf numFmtId="0" fontId="46" fillId="42" borderId="13" xfId="0" applyFont="1" applyFill="1" applyBorder="1" applyAlignment="1">
      <alignment horizontal="left" vertical="center"/>
    </xf>
    <xf numFmtId="0" fontId="46" fillId="42" borderId="13" xfId="0" applyFont="1" applyFill="1" applyBorder="1" applyAlignment="1">
      <alignment horizontal="center" vertical="center"/>
    </xf>
    <xf numFmtId="164" fontId="46" fillId="42" borderId="13" xfId="0" applyNumberFormat="1" applyFont="1" applyFill="1" applyBorder="1" applyAlignment="1">
      <alignment horizontal="center" vertical="center"/>
    </xf>
    <xf numFmtId="0" fontId="46" fillId="43" borderId="13" xfId="0" applyFont="1" applyFill="1" applyBorder="1" applyAlignment="1">
      <alignment horizontal="left" vertical="center"/>
    </xf>
    <xf numFmtId="0" fontId="47" fillId="44" borderId="13" xfId="0" applyFont="1" applyFill="1" applyBorder="1" applyAlignment="1">
      <alignment horizontal="center" vertical="center"/>
    </xf>
    <xf numFmtId="0" fontId="46" fillId="44" borderId="13" xfId="0" applyFont="1" applyFill="1" applyBorder="1" applyAlignment="1">
      <alignment horizontal="left" vertical="center"/>
    </xf>
    <xf numFmtId="0" fontId="45" fillId="42" borderId="13" xfId="0" applyFont="1" applyFill="1" applyBorder="1" applyAlignment="1">
      <alignment horizontal="left" vertical="center" wrapText="1"/>
    </xf>
    <xf numFmtId="0" fontId="46" fillId="42" borderId="13" xfId="0" applyFont="1" applyFill="1" applyBorder="1" applyAlignment="1">
      <alignment horizontal="left" vertical="center" wrapText="1"/>
    </xf>
    <xf numFmtId="0" fontId="45" fillId="40" borderId="13" xfId="0" applyFont="1" applyFill="1" applyBorder="1" applyAlignment="1">
      <alignment horizontal="left" vertical="center" wrapText="1"/>
    </xf>
    <xf numFmtId="0" fontId="46" fillId="40" borderId="13" xfId="0" applyFont="1" applyFill="1" applyBorder="1" applyAlignment="1">
      <alignment horizontal="left" vertical="center" wrapText="1"/>
    </xf>
    <xf numFmtId="0" fontId="49" fillId="45" borderId="14" xfId="0" applyFont="1" applyFill="1" applyBorder="1" applyAlignment="1">
      <alignment horizontal="left" vertical="center"/>
    </xf>
    <xf numFmtId="0" fontId="50" fillId="45" borderId="14" xfId="0" applyFont="1" applyFill="1" applyBorder="1" applyAlignment="1">
      <alignment horizontal="left" vertical="center"/>
    </xf>
    <xf numFmtId="0" fontId="50" fillId="45" borderId="14" xfId="0" applyFont="1" applyFill="1" applyBorder="1" applyAlignment="1">
      <alignment horizontal="center" vertical="center"/>
    </xf>
    <xf numFmtId="164" fontId="50" fillId="45" borderId="14" xfId="0" applyNumberFormat="1" applyFont="1" applyFill="1" applyBorder="1" applyAlignment="1">
      <alignment horizontal="center" vertical="center"/>
    </xf>
    <xf numFmtId="0" fontId="50" fillId="46" borderId="14" xfId="0" applyFont="1" applyFill="1" applyBorder="1" applyAlignment="1">
      <alignment horizontal="left" vertical="center"/>
    </xf>
    <xf numFmtId="0" fontId="49" fillId="47" borderId="14" xfId="0" applyFont="1" applyFill="1" applyBorder="1" applyAlignment="1">
      <alignment horizontal="left" vertical="center"/>
    </xf>
    <xf numFmtId="0" fontId="50" fillId="47" borderId="14" xfId="0" applyFont="1" applyFill="1" applyBorder="1" applyAlignment="1">
      <alignment horizontal="left" vertical="center"/>
    </xf>
    <xf numFmtId="0" fontId="50" fillId="47" borderId="14" xfId="0" applyFont="1" applyFill="1" applyBorder="1" applyAlignment="1">
      <alignment horizontal="center" vertical="center"/>
    </xf>
    <xf numFmtId="164" fontId="50" fillId="47" borderId="14" xfId="0" applyNumberFormat="1" applyFont="1" applyFill="1" applyBorder="1" applyAlignment="1">
      <alignment horizontal="center" vertical="center"/>
    </xf>
    <xf numFmtId="0" fontId="49" fillId="47" borderId="14" xfId="0" applyFont="1" applyFill="1" applyBorder="1" applyAlignment="1">
      <alignment horizontal="left" vertical="center" wrapText="1"/>
    </xf>
    <xf numFmtId="0" fontId="51" fillId="48" borderId="14" xfId="0" applyFont="1" applyFill="1" applyBorder="1" applyAlignment="1">
      <alignment horizontal="center" vertical="center"/>
    </xf>
    <xf numFmtId="0" fontId="50" fillId="47" borderId="14" xfId="0" applyFont="1" applyFill="1" applyBorder="1" applyAlignment="1">
      <alignment horizontal="left" vertical="center" wrapText="1"/>
    </xf>
    <xf numFmtId="0" fontId="49" fillId="45" borderId="14" xfId="0" applyFont="1" applyFill="1" applyBorder="1" applyAlignment="1">
      <alignment horizontal="left" vertical="center" wrapText="1"/>
    </xf>
    <xf numFmtId="0" fontId="51" fillId="49" borderId="14" xfId="0" applyFont="1" applyFill="1" applyBorder="1" applyAlignment="1">
      <alignment horizontal="center" vertical="center"/>
    </xf>
    <xf numFmtId="0" fontId="50" fillId="45" borderId="14" xfId="0" applyFont="1" applyFill="1" applyBorder="1" applyAlignment="1">
      <alignment horizontal="left" vertical="center" wrapText="1"/>
    </xf>
    <xf numFmtId="0" fontId="53" fillId="50" borderId="15" xfId="0" applyFont="1" applyFill="1" applyBorder="1" applyAlignment="1">
      <alignment horizontal="left" vertical="center" wrapText="1"/>
    </xf>
    <xf numFmtId="0" fontId="54" fillId="51" borderId="15" xfId="0" applyFont="1" applyFill="1" applyBorder="1" applyAlignment="1">
      <alignment horizontal="left" vertical="center"/>
    </xf>
    <xf numFmtId="0" fontId="53" fillId="51" borderId="15" xfId="0" applyFont="1" applyFill="1" applyBorder="1" applyAlignment="1">
      <alignment horizontal="left" vertical="center"/>
    </xf>
    <xf numFmtId="0" fontId="55" fillId="52" borderId="15" xfId="0" applyFont="1" applyFill="1" applyBorder="1" applyAlignment="1">
      <alignment horizontal="center" vertical="center"/>
    </xf>
    <xf numFmtId="0" fontId="53" fillId="51" borderId="15" xfId="0" applyFont="1" applyFill="1" applyBorder="1" applyAlignment="1">
      <alignment horizontal="center" vertical="center"/>
    </xf>
    <xf numFmtId="164" fontId="53" fillId="51" borderId="15" xfId="0" applyNumberFormat="1" applyFont="1" applyFill="1" applyBorder="1" applyAlignment="1">
      <alignment horizontal="center" vertical="center"/>
    </xf>
    <xf numFmtId="0" fontId="53" fillId="52" borderId="15" xfId="0" applyFont="1" applyFill="1" applyBorder="1" applyAlignment="1">
      <alignment horizontal="left" vertical="center"/>
    </xf>
    <xf numFmtId="0" fontId="54" fillId="51" borderId="15" xfId="0" applyFont="1" applyFill="1" applyBorder="1" applyAlignment="1">
      <alignment horizontal="left" vertical="center" wrapText="1"/>
    </xf>
    <xf numFmtId="0" fontId="55" fillId="53" borderId="15" xfId="0" applyFont="1" applyFill="1" applyBorder="1" applyAlignment="1">
      <alignment horizontal="center" vertical="center"/>
    </xf>
    <xf numFmtId="0" fontId="53" fillId="51" borderId="15" xfId="0" applyFont="1" applyFill="1" applyBorder="1" applyAlignment="1">
      <alignment horizontal="left" vertical="center" wrapText="1"/>
    </xf>
    <xf numFmtId="0" fontId="57" fillId="54" borderId="16" xfId="0" applyFont="1" applyFill="1" applyBorder="1" applyAlignment="1">
      <alignment horizontal="left" vertical="center"/>
    </xf>
    <xf numFmtId="0" fontId="58" fillId="54" borderId="16" xfId="0" applyFont="1" applyFill="1" applyBorder="1" applyAlignment="1">
      <alignment horizontal="left" vertical="center"/>
    </xf>
    <xf numFmtId="0" fontId="58" fillId="54" borderId="16" xfId="0" applyFont="1" applyFill="1" applyBorder="1" applyAlignment="1">
      <alignment horizontal="center" vertical="center"/>
    </xf>
    <xf numFmtId="164" fontId="58" fillId="54" borderId="16" xfId="0" applyNumberFormat="1" applyFont="1" applyFill="1" applyBorder="1" applyAlignment="1">
      <alignment horizontal="center" vertical="center"/>
    </xf>
    <xf numFmtId="0" fontId="58" fillId="55" borderId="16" xfId="0" applyFont="1" applyFill="1" applyBorder="1" applyAlignment="1">
      <alignment horizontal="left" vertical="center"/>
    </xf>
    <xf numFmtId="0" fontId="57" fillId="54" borderId="16" xfId="0" applyFont="1" applyFill="1" applyBorder="1" applyAlignment="1">
      <alignment horizontal="left" vertical="center" wrapText="1"/>
    </xf>
    <xf numFmtId="0" fontId="59" fillId="56" borderId="16" xfId="0" applyFont="1" applyFill="1" applyBorder="1" applyAlignment="1">
      <alignment horizontal="center" vertical="center"/>
    </xf>
    <xf numFmtId="0" fontId="58" fillId="54" borderId="16" xfId="0" applyFont="1" applyFill="1" applyBorder="1" applyAlignment="1">
      <alignment horizontal="left" vertical="center" wrapText="1"/>
    </xf>
    <xf numFmtId="0" fontId="57" fillId="57" borderId="16" xfId="0" applyFont="1" applyFill="1" applyBorder="1" applyAlignment="1">
      <alignment horizontal="left" vertical="center" wrapText="1"/>
    </xf>
    <xf numFmtId="0" fontId="58" fillId="57" borderId="16" xfId="0" applyFont="1" applyFill="1" applyBorder="1" applyAlignment="1">
      <alignment horizontal="center" vertical="center"/>
    </xf>
    <xf numFmtId="0" fontId="59" fillId="58" borderId="16" xfId="0" applyFont="1" applyFill="1" applyBorder="1" applyAlignment="1">
      <alignment horizontal="center" vertical="center"/>
    </xf>
    <xf numFmtId="0" fontId="58" fillId="57" borderId="16" xfId="0" applyFont="1" applyFill="1" applyBorder="1" applyAlignment="1">
      <alignment horizontal="left" vertical="center" wrapText="1"/>
    </xf>
    <xf numFmtId="0" fontId="61" fillId="59" borderId="17" xfId="0" applyFont="1" applyFill="1" applyBorder="1" applyAlignment="1">
      <alignment horizontal="left" vertical="center"/>
    </xf>
    <xf numFmtId="0" fontId="62" fillId="59" borderId="17" xfId="0" applyFont="1" applyFill="1" applyBorder="1" applyAlignment="1">
      <alignment horizontal="left" vertical="center"/>
    </xf>
    <xf numFmtId="0" fontId="63" fillId="60" borderId="17" xfId="0" applyFont="1" applyFill="1" applyBorder="1" applyAlignment="1">
      <alignment horizontal="center" vertical="center"/>
    </xf>
    <xf numFmtId="0" fontId="62" fillId="59" borderId="17" xfId="0" applyFont="1" applyFill="1" applyBorder="1" applyAlignment="1">
      <alignment horizontal="center" vertical="center"/>
    </xf>
    <xf numFmtId="164" fontId="62" fillId="59" borderId="17" xfId="0" applyNumberFormat="1" applyFont="1" applyFill="1" applyBorder="1" applyAlignment="1">
      <alignment horizontal="center" vertical="center"/>
    </xf>
    <xf numFmtId="0" fontId="62" fillId="60" borderId="17" xfId="0" applyFont="1" applyFill="1" applyBorder="1" applyAlignment="1">
      <alignment horizontal="left" vertical="center"/>
    </xf>
    <xf numFmtId="0" fontId="61" fillId="61" borderId="17" xfId="0" applyFont="1" applyFill="1" applyBorder="1" applyAlignment="1">
      <alignment horizontal="left" vertical="center"/>
    </xf>
    <xf numFmtId="0" fontId="62" fillId="61" borderId="17" xfId="0" applyFont="1" applyFill="1" applyBorder="1" applyAlignment="1">
      <alignment horizontal="left" vertical="center"/>
    </xf>
    <xf numFmtId="0" fontId="62" fillId="61" borderId="17" xfId="0" applyFont="1" applyFill="1" applyBorder="1" applyAlignment="1">
      <alignment horizontal="center" vertical="center"/>
    </xf>
    <xf numFmtId="164" fontId="62" fillId="61" borderId="17" xfId="0" applyNumberFormat="1" applyFont="1" applyFill="1" applyBorder="1" applyAlignment="1">
      <alignment horizontal="center" vertical="center"/>
    </xf>
    <xf numFmtId="0" fontId="62" fillId="62" borderId="17" xfId="0" applyFont="1" applyFill="1" applyBorder="1" applyAlignment="1">
      <alignment horizontal="left" vertical="center"/>
    </xf>
    <xf numFmtId="0" fontId="63" fillId="63" borderId="17" xfId="0" applyFont="1" applyFill="1" applyBorder="1" applyAlignment="1">
      <alignment horizontal="center" vertical="center"/>
    </xf>
    <xf numFmtId="0" fontId="62" fillId="63" borderId="17" xfId="0" applyFont="1" applyFill="1" applyBorder="1" applyAlignment="1">
      <alignment horizontal="left" vertical="center"/>
    </xf>
    <xf numFmtId="0" fontId="61" fillId="61" borderId="17" xfId="0" applyFont="1" applyFill="1" applyBorder="1" applyAlignment="1">
      <alignment horizontal="left" vertical="center" wrapText="1"/>
    </xf>
    <xf numFmtId="0" fontId="62" fillId="61" borderId="17" xfId="0" applyFont="1" applyFill="1" applyBorder="1" applyAlignment="1">
      <alignment horizontal="left" vertical="center" wrapText="1"/>
    </xf>
    <xf numFmtId="0" fontId="61" fillId="59" borderId="17" xfId="0" applyFont="1" applyFill="1" applyBorder="1" applyAlignment="1">
      <alignment horizontal="left" vertical="center" wrapText="1"/>
    </xf>
    <xf numFmtId="0" fontId="62" fillId="59" borderId="17" xfId="0" applyFont="1" applyFill="1" applyBorder="1" applyAlignment="1">
      <alignment horizontal="left" vertical="center" wrapText="1"/>
    </xf>
    <xf numFmtId="0" fontId="65" fillId="64" borderId="18" xfId="0" applyFont="1" applyFill="1" applyBorder="1" applyAlignment="1">
      <alignment horizontal="left" vertical="center"/>
    </xf>
    <xf numFmtId="0" fontId="66" fillId="64" borderId="18" xfId="0" applyFont="1" applyFill="1" applyBorder="1" applyAlignment="1">
      <alignment horizontal="left" vertical="center"/>
    </xf>
    <xf numFmtId="0" fontId="66" fillId="64" borderId="18" xfId="0" applyFont="1" applyFill="1" applyBorder="1" applyAlignment="1">
      <alignment horizontal="center" vertical="center"/>
    </xf>
    <xf numFmtId="164" fontId="66" fillId="64" borderId="18" xfId="0" applyNumberFormat="1" applyFont="1" applyFill="1" applyBorder="1" applyAlignment="1">
      <alignment horizontal="center" vertical="center"/>
    </xf>
    <xf numFmtId="0" fontId="66" fillId="65" borderId="18" xfId="0" applyFont="1" applyFill="1" applyBorder="1" applyAlignment="1">
      <alignment horizontal="left" vertical="center"/>
    </xf>
    <xf numFmtId="0" fontId="65" fillId="66" borderId="18" xfId="0" applyFont="1" applyFill="1" applyBorder="1" applyAlignment="1">
      <alignment horizontal="left" vertical="center"/>
    </xf>
    <xf numFmtId="0" fontId="66" fillId="66" borderId="18" xfId="0" applyFont="1" applyFill="1" applyBorder="1" applyAlignment="1">
      <alignment horizontal="left" vertical="center"/>
    </xf>
    <xf numFmtId="0" fontId="67" fillId="67" borderId="18" xfId="0" applyFont="1" applyFill="1" applyBorder="1" applyAlignment="1">
      <alignment horizontal="center" vertical="center"/>
    </xf>
    <xf numFmtId="0" fontId="66" fillId="66" borderId="18" xfId="0" applyFont="1" applyFill="1" applyBorder="1" applyAlignment="1">
      <alignment horizontal="center" vertical="center"/>
    </xf>
    <xf numFmtId="164" fontId="66" fillId="66" borderId="18" xfId="0" applyNumberFormat="1" applyFont="1" applyFill="1" applyBorder="1" applyAlignment="1">
      <alignment horizontal="center" vertical="center"/>
    </xf>
    <xf numFmtId="0" fontId="66" fillId="67" borderId="18" xfId="0" applyFont="1" applyFill="1" applyBorder="1" applyAlignment="1">
      <alignment horizontal="left" vertical="center"/>
    </xf>
    <xf numFmtId="0" fontId="67" fillId="68" borderId="18" xfId="0" applyFont="1" applyFill="1" applyBorder="1" applyAlignment="1">
      <alignment horizontal="center" vertical="center"/>
    </xf>
    <xf numFmtId="0" fontId="66" fillId="68" borderId="18" xfId="0" applyFont="1" applyFill="1" applyBorder="1" applyAlignment="1">
      <alignment horizontal="left" vertical="center"/>
    </xf>
    <xf numFmtId="0" fontId="66" fillId="69" borderId="18" xfId="0" applyFont="1" applyFill="1" applyBorder="1" applyAlignment="1">
      <alignment horizontal="left" vertical="center"/>
    </xf>
    <xf numFmtId="0" fontId="65" fillId="64" borderId="18" xfId="0" applyFont="1" applyFill="1" applyBorder="1" applyAlignment="1">
      <alignment horizontal="left" vertical="center" wrapText="1"/>
    </xf>
    <xf numFmtId="0" fontId="66" fillId="64" borderId="18" xfId="0" applyFont="1" applyFill="1" applyBorder="1" applyAlignment="1">
      <alignment horizontal="left" vertical="center" wrapText="1"/>
    </xf>
    <xf numFmtId="0" fontId="65" fillId="66" borderId="18" xfId="0" applyFont="1" applyFill="1" applyBorder="1" applyAlignment="1">
      <alignment horizontal="left" vertical="center" wrapText="1"/>
    </xf>
    <xf numFmtId="0" fontId="66" fillId="66" borderId="18" xfId="0" applyFont="1" applyFill="1" applyBorder="1" applyAlignment="1">
      <alignment horizontal="left" vertical="center" wrapText="1"/>
    </xf>
    <xf numFmtId="165" fontId="0" fillId="0" borderId="0" xfId="0" applyNumberFormat="1"/>
    <xf numFmtId="0" fontId="69" fillId="0" borderId="0" xfId="0" applyFont="1"/>
    <xf numFmtId="0" fontId="70" fillId="0" borderId="0" xfId="0" applyFont="1"/>
    <xf numFmtId="0" fontId="71" fillId="70" borderId="0" xfId="0" applyFont="1" applyFill="1" applyAlignment="1">
      <alignment vertical="center" wrapText="1"/>
    </xf>
    <xf numFmtId="0" fontId="72" fillId="0" borderId="0" xfId="0" applyFont="1" applyAlignment="1">
      <alignment vertical="top" wrapText="1"/>
    </xf>
    <xf numFmtId="0" fontId="0" fillId="0" borderId="0" xfId="0" applyAlignment="1">
      <alignment vertical="top" wrapText="1"/>
    </xf>
    <xf numFmtId="0" fontId="72" fillId="71" borderId="0" xfId="0" applyFont="1" applyFill="1" applyAlignment="1">
      <alignment vertical="top" wrapText="1"/>
    </xf>
    <xf numFmtId="0" fontId="72" fillId="72" borderId="0" xfId="0" applyFont="1" applyFill="1" applyAlignment="1">
      <alignment vertical="top" wrapText="1"/>
    </xf>
    <xf numFmtId="0" fontId="72" fillId="73" borderId="0" xfId="0" applyFont="1" applyFill="1" applyAlignment="1">
      <alignment vertical="top" wrapText="1"/>
    </xf>
    <xf numFmtId="0" fontId="73" fillId="0" borderId="0" xfId="0" applyFont="1"/>
    <xf numFmtId="0" fontId="75" fillId="70" borderId="0" xfId="0" applyFont="1" applyFill="1" applyAlignment="1">
      <alignment vertical="center"/>
    </xf>
    <xf numFmtId="0" fontId="76" fillId="69" borderId="0" xfId="0" applyFont="1" applyFill="1" applyAlignment="1">
      <alignment horizontal="center" vertical="top"/>
    </xf>
    <xf numFmtId="0" fontId="76" fillId="68" borderId="0" xfId="0" applyFont="1" applyFill="1" applyAlignment="1">
      <alignment horizontal="center" vertical="top"/>
    </xf>
    <xf numFmtId="0" fontId="76" fillId="67" borderId="0" xfId="0" applyFont="1" applyFill="1" applyAlignment="1">
      <alignment horizontal="center" vertical="top"/>
    </xf>
    <xf numFmtId="0" fontId="76" fillId="8" borderId="0" xfId="0" applyFont="1" applyFill="1" applyAlignment="1">
      <alignment horizontal="center" vertical="top"/>
    </xf>
    <xf numFmtId="0" fontId="76" fillId="74" borderId="0" xfId="0" applyFont="1" applyFill="1" applyAlignment="1">
      <alignment horizontal="center" vertical="top"/>
    </xf>
    <xf numFmtId="0" fontId="76" fillId="75" borderId="0" xfId="0" applyFont="1" applyFill="1" applyAlignment="1">
      <alignment horizontal="center" vertical="top"/>
    </xf>
    <xf numFmtId="0" fontId="77" fillId="0" borderId="0" xfId="0" applyFont="1"/>
    <xf numFmtId="0" fontId="78" fillId="65" borderId="0" xfId="0" applyFont="1" applyFill="1" applyAlignment="1">
      <alignment horizontal="center" vertical="top"/>
    </xf>
    <xf numFmtId="0" fontId="78" fillId="69" borderId="0" xfId="0" applyFont="1" applyFill="1" applyAlignment="1">
      <alignment horizontal="center" vertical="top"/>
    </xf>
    <xf numFmtId="0" fontId="78" fillId="67" borderId="0" xfId="0" applyFont="1" applyFill="1" applyAlignment="1">
      <alignment horizontal="center" vertical="top"/>
    </xf>
    <xf numFmtId="0" fontId="79" fillId="67" borderId="0" xfId="0" applyFont="1" applyFill="1" applyAlignment="1">
      <alignment horizontal="center" vertical="top"/>
    </xf>
    <xf numFmtId="0" fontId="79" fillId="65" borderId="0" xfId="0" applyFont="1" applyFill="1" applyAlignment="1">
      <alignment horizontal="center" vertical="top"/>
    </xf>
    <xf numFmtId="0" fontId="80" fillId="65" borderId="0" xfId="0" applyFont="1" applyFill="1" applyAlignment="1">
      <alignment horizontal="center" vertical="top"/>
    </xf>
    <xf numFmtId="0" fontId="81" fillId="65" borderId="0" xfId="0" applyFont="1" applyFill="1" applyAlignment="1">
      <alignment horizontal="center" vertical="top"/>
    </xf>
    <xf numFmtId="0" fontId="82" fillId="8" borderId="0" xfId="0" applyFont="1" applyFill="1" applyAlignment="1">
      <alignment horizontal="center" vertical="top"/>
    </xf>
    <xf numFmtId="0" fontId="82" fillId="65" borderId="0" xfId="0" applyFont="1" applyFill="1" applyAlignment="1">
      <alignment horizontal="center" vertical="top"/>
    </xf>
    <xf numFmtId="0" fontId="83" fillId="65" borderId="0" xfId="0" applyFont="1" applyFill="1" applyAlignment="1">
      <alignment horizontal="center" vertical="top"/>
    </xf>
    <xf numFmtId="0" fontId="84" fillId="65" borderId="1" xfId="0" applyFont="1" applyFill="1" applyBorder="1" applyAlignment="1">
      <alignment horizontal="center" vertical="top"/>
    </xf>
    <xf numFmtId="0" fontId="7" fillId="5" borderId="1" xfId="0" applyFont="1" applyFill="1" applyBorder="1" applyAlignment="1">
      <alignment vertical="top" wrapText="1"/>
    </xf>
    <xf numFmtId="0" fontId="7" fillId="7" borderId="1" xfId="0" applyFont="1" applyFill="1" applyBorder="1" applyAlignment="1">
      <alignment vertical="top" wrapText="1"/>
    </xf>
    <xf numFmtId="0" fontId="84" fillId="65" borderId="7" xfId="0" applyFont="1" applyFill="1" applyBorder="1" applyAlignment="1">
      <alignment horizontal="center" vertical="top"/>
    </xf>
    <xf numFmtId="0" fontId="25" fillId="16" borderId="7" xfId="0" applyFont="1" applyFill="1" applyBorder="1" applyAlignment="1">
      <alignment vertical="top" wrapText="1"/>
    </xf>
    <xf numFmtId="0" fontId="25" fillId="18" borderId="7" xfId="0" applyFont="1" applyFill="1" applyBorder="1" applyAlignment="1">
      <alignment vertical="top" wrapText="1"/>
    </xf>
    <xf numFmtId="0" fontId="84" fillId="65" borderId="8" xfId="0" applyFont="1" applyFill="1" applyBorder="1" applyAlignment="1">
      <alignment horizontal="center" vertical="top"/>
    </xf>
    <xf numFmtId="0" fontId="29" fillId="20" borderId="8" xfId="0" applyFont="1" applyFill="1" applyBorder="1" applyAlignment="1">
      <alignment vertical="top" wrapText="1"/>
    </xf>
    <xf numFmtId="0" fontId="29" fillId="22" borderId="8" xfId="0" applyFont="1" applyFill="1" applyBorder="1" applyAlignment="1">
      <alignment vertical="top" wrapText="1"/>
    </xf>
    <xf numFmtId="0" fontId="84" fillId="65" borderId="9" xfId="0" applyFont="1" applyFill="1" applyBorder="1" applyAlignment="1">
      <alignment horizontal="center" vertical="top"/>
    </xf>
    <xf numFmtId="0" fontId="33" fillId="25" borderId="9" xfId="0" applyFont="1" applyFill="1" applyBorder="1" applyAlignment="1">
      <alignment vertical="top" wrapText="1"/>
    </xf>
    <xf numFmtId="0" fontId="84" fillId="65" borderId="10" xfId="0" applyFont="1" applyFill="1" applyBorder="1" applyAlignment="1">
      <alignment horizontal="center" vertical="top"/>
    </xf>
    <xf numFmtId="0" fontId="37" fillId="28" borderId="10" xfId="0" applyFont="1" applyFill="1" applyBorder="1" applyAlignment="1">
      <alignment vertical="top" wrapText="1"/>
    </xf>
    <xf numFmtId="0" fontId="37" fillId="30" borderId="10" xfId="0" applyFont="1" applyFill="1" applyBorder="1" applyAlignment="1">
      <alignment vertical="top" wrapText="1"/>
    </xf>
    <xf numFmtId="0" fontId="84" fillId="65" borderId="11" xfId="0" applyFont="1" applyFill="1" applyBorder="1" applyAlignment="1">
      <alignment horizontal="center" vertical="top"/>
    </xf>
    <xf numFmtId="0" fontId="41" fillId="32" borderId="11" xfId="0" applyFont="1" applyFill="1" applyBorder="1" applyAlignment="1">
      <alignment vertical="top" wrapText="1"/>
    </xf>
    <xf numFmtId="0" fontId="41" fillId="34" borderId="11" xfId="0" applyFont="1" applyFill="1" applyBorder="1" applyAlignment="1">
      <alignment vertical="top" wrapText="1"/>
    </xf>
    <xf numFmtId="0" fontId="84" fillId="65" borderId="12" xfId="0" applyFont="1" applyFill="1" applyBorder="1" applyAlignment="1">
      <alignment horizontal="center" vertical="top"/>
    </xf>
    <xf numFmtId="0" fontId="44" fillId="36" borderId="12" xfId="0" applyFont="1" applyFill="1" applyBorder="1" applyAlignment="1">
      <alignment vertical="top" wrapText="1"/>
    </xf>
    <xf numFmtId="0" fontId="44" fillId="38" borderId="12" xfId="0" applyFont="1" applyFill="1" applyBorder="1" applyAlignment="1">
      <alignment vertical="top" wrapText="1"/>
    </xf>
    <xf numFmtId="0" fontId="48" fillId="40" borderId="13" xfId="0" applyFont="1" applyFill="1" applyBorder="1" applyAlignment="1">
      <alignment vertical="top" wrapText="1"/>
    </xf>
    <xf numFmtId="0" fontId="84" fillId="65" borderId="13" xfId="0" applyFont="1" applyFill="1" applyBorder="1" applyAlignment="1">
      <alignment horizontal="center" vertical="top"/>
    </xf>
    <xf numFmtId="0" fontId="48" fillId="42" borderId="13" xfId="0" applyFont="1" applyFill="1" applyBorder="1" applyAlignment="1">
      <alignment vertical="top" wrapText="1"/>
    </xf>
    <xf numFmtId="0" fontId="84" fillId="65" borderId="14" xfId="0" applyFont="1" applyFill="1" applyBorder="1" applyAlignment="1">
      <alignment horizontal="center" vertical="top"/>
    </xf>
    <xf numFmtId="0" fontId="52" fillId="45" borderId="14" xfId="0" applyFont="1" applyFill="1" applyBorder="1" applyAlignment="1">
      <alignment vertical="top" wrapText="1"/>
    </xf>
    <xf numFmtId="0" fontId="52" fillId="47" borderId="14" xfId="0" applyFont="1" applyFill="1" applyBorder="1" applyAlignment="1">
      <alignment vertical="top" wrapText="1"/>
    </xf>
    <xf numFmtId="0" fontId="56" fillId="51" borderId="15" xfId="0" applyFont="1" applyFill="1" applyBorder="1" applyAlignment="1">
      <alignment vertical="top" wrapText="1"/>
    </xf>
    <xf numFmtId="0" fontId="84" fillId="65" borderId="16" xfId="0" applyFont="1" applyFill="1" applyBorder="1" applyAlignment="1">
      <alignment horizontal="center" vertical="top"/>
    </xf>
    <xf numFmtId="0" fontId="60" fillId="54" borderId="16" xfId="0" applyFont="1" applyFill="1" applyBorder="1" applyAlignment="1">
      <alignment vertical="top" wrapText="1"/>
    </xf>
    <xf numFmtId="0" fontId="64" fillId="59" borderId="17" xfId="0" applyFont="1" applyFill="1" applyBorder="1" applyAlignment="1">
      <alignment vertical="top" wrapText="1"/>
    </xf>
    <xf numFmtId="0" fontId="84" fillId="65" borderId="17" xfId="0" applyFont="1" applyFill="1" applyBorder="1" applyAlignment="1">
      <alignment horizontal="center" vertical="top"/>
    </xf>
    <xf numFmtId="0" fontId="64" fillId="61" borderId="17" xfId="0" applyFont="1" applyFill="1" applyBorder="1" applyAlignment="1">
      <alignment vertical="top" wrapText="1"/>
    </xf>
    <xf numFmtId="0" fontId="84" fillId="65" borderId="18" xfId="0" applyFont="1" applyFill="1" applyBorder="1" applyAlignment="1">
      <alignment horizontal="center" vertical="top"/>
    </xf>
    <xf numFmtId="0" fontId="68" fillId="64" borderId="18" xfId="0" applyFont="1" applyFill="1" applyBorder="1" applyAlignment="1">
      <alignment vertical="top" wrapText="1"/>
    </xf>
    <xf numFmtId="0" fontId="68" fillId="66" borderId="18" xfId="0" applyFont="1" applyFill="1" applyBorder="1" applyAlignment="1">
      <alignment vertical="top" wrapText="1"/>
    </xf>
    <xf numFmtId="0" fontId="84" fillId="65" borderId="0" xfId="0" applyFont="1" applyFill="1" applyAlignment="1">
      <alignment horizontal="center" vertical="top"/>
    </xf>
    <xf numFmtId="0" fontId="85" fillId="0" borderId="0" xfId="0" applyFont="1"/>
    <xf numFmtId="0" fontId="3" fillId="4" borderId="0" xfId="0" applyFont="1" applyFill="1" applyAlignment="1">
      <alignment horizontal="left" vertical="center" indent="1"/>
    </xf>
    <xf numFmtId="0" fontId="15" fillId="8" borderId="4" xfId="0" applyFont="1" applyFill="1" applyBorder="1" applyAlignment="1">
      <alignment horizontal="center" vertical="center" wrapText="1"/>
    </xf>
    <xf numFmtId="0" fontId="13" fillId="3" borderId="0" xfId="0" applyFont="1" applyFill="1" applyAlignment="1">
      <alignment horizontal="left" vertical="center" indent="1"/>
    </xf>
    <xf numFmtId="0" fontId="0" fillId="0" borderId="0" xfId="0" applyAlignment="1">
      <alignment wrapText="1"/>
    </xf>
    <xf numFmtId="0" fontId="86" fillId="65" borderId="0" xfId="0" applyFont="1" applyFill="1" applyAlignment="1">
      <alignment horizontal="center" vertical="top"/>
    </xf>
    <xf numFmtId="0" fontId="87" fillId="65" borderId="0" xfId="0" applyFont="1" applyFill="1" applyAlignment="1">
      <alignment horizontal="center" vertical="top"/>
    </xf>
    <xf numFmtId="0" fontId="88" fillId="65" borderId="0" xfId="0" applyFont="1" applyFill="1" applyAlignment="1">
      <alignment horizontal="center" vertical="top"/>
    </xf>
    <xf numFmtId="0" fontId="89" fillId="65" borderId="0" xfId="0" applyFont="1" applyFill="1" applyAlignment="1">
      <alignment horizontal="center" vertical="top"/>
    </xf>
    <xf numFmtId="0" fontId="89" fillId="76" borderId="0" xfId="0" applyFont="1" applyFill="1" applyAlignment="1">
      <alignment horizontal="center" vertical="top"/>
    </xf>
    <xf numFmtId="0" fontId="89" fillId="77" borderId="0" xfId="0" applyFont="1" applyFill="1" applyAlignment="1">
      <alignment horizontal="center" vertical="top"/>
    </xf>
    <xf numFmtId="0" fontId="89" fillId="78" borderId="0" xfId="0" applyFont="1" applyFill="1" applyAlignment="1">
      <alignment horizontal="center" vertical="top"/>
    </xf>
    <xf numFmtId="0" fontId="89" fillId="79" borderId="0" xfId="0" applyFont="1" applyFill="1" applyAlignment="1">
      <alignment horizontal="center" vertical="top"/>
    </xf>
    <xf numFmtId="0" fontId="11" fillId="2" borderId="18" xfId="0" applyFont="1" applyFill="1" applyBorder="1" applyAlignment="1">
      <alignment horizontal="left" vertical="center"/>
    </xf>
    <xf numFmtId="0" fontId="0" fillId="0" borderId="2" xfId="0" applyBorder="1"/>
    <xf numFmtId="0" fontId="0" fillId="0" borderId="3" xfId="0" applyBorder="1"/>
    <xf numFmtId="0" fontId="2" fillId="3" borderId="18" xfId="0" applyFont="1" applyFill="1" applyBorder="1" applyAlignment="1">
      <alignment horizontal="left" vertical="center"/>
    </xf>
    <xf numFmtId="0" fontId="1" fillId="2" borderId="18" xfId="0" applyFont="1" applyFill="1" applyBorder="1" applyAlignment="1">
      <alignment horizontal="left" vertical="center"/>
    </xf>
    <xf numFmtId="0" fontId="15" fillId="6" borderId="4" xfId="0" applyFont="1" applyFill="1" applyBorder="1" applyAlignment="1">
      <alignment horizontal="center" vertical="center" wrapText="1"/>
    </xf>
    <xf numFmtId="0" fontId="0" fillId="0" borderId="5" xfId="0" applyBorder="1"/>
    <xf numFmtId="0" fontId="0" fillId="0" borderId="6" xfId="0" applyBorder="1"/>
    <xf numFmtId="0" fontId="16" fillId="0" borderId="0" xfId="0" applyFont="1" applyAlignment="1">
      <alignment horizontal="center" vertical="center"/>
    </xf>
    <xf numFmtId="0" fontId="0" fillId="0" borderId="0" xfId="0"/>
    <xf numFmtId="0" fontId="15" fillId="13" borderId="4" xfId="0" applyFont="1" applyFill="1" applyBorder="1" applyAlignment="1">
      <alignment horizontal="center" vertical="center" wrapText="1"/>
    </xf>
    <xf numFmtId="0" fontId="17" fillId="0" borderId="0" xfId="0" applyFont="1" applyAlignment="1">
      <alignment horizontal="left" vertical="center" indent="1"/>
    </xf>
    <xf numFmtId="0" fontId="15" fillId="11" borderId="4" xfId="0" applyFont="1" applyFill="1" applyBorder="1" applyAlignment="1">
      <alignment horizontal="center" vertical="center" wrapText="1"/>
    </xf>
    <xf numFmtId="0" fontId="15" fillId="14" borderId="4" xfId="0" applyFont="1" applyFill="1" applyBorder="1" applyAlignment="1">
      <alignment horizontal="center" vertical="center" wrapText="1"/>
    </xf>
    <xf numFmtId="0" fontId="15" fillId="15" borderId="4" xfId="0" applyFont="1" applyFill="1" applyBorder="1" applyAlignment="1">
      <alignment horizontal="center" vertical="center" wrapText="1"/>
    </xf>
    <xf numFmtId="0" fontId="3" fillId="4" borderId="0" xfId="0" applyFont="1" applyFill="1" applyAlignment="1">
      <alignment horizontal="left" vertical="center" indent="1"/>
    </xf>
    <xf numFmtId="0" fontId="15" fillId="8" borderId="4" xfId="0" applyFont="1" applyFill="1" applyBorder="1" applyAlignment="1">
      <alignment horizontal="center" vertical="center" wrapText="1"/>
    </xf>
    <xf numFmtId="0" fontId="15" fillId="15" borderId="0" xfId="0" applyFont="1" applyFill="1" applyAlignment="1">
      <alignment horizontal="center" vertical="center"/>
    </xf>
    <xf numFmtId="0" fontId="15" fillId="4" borderId="4" xfId="0" applyFont="1" applyFill="1" applyBorder="1" applyAlignment="1">
      <alignment horizontal="center" vertical="center" wrapText="1"/>
    </xf>
    <xf numFmtId="0" fontId="15" fillId="14" borderId="0" xfId="0" applyFont="1" applyFill="1" applyAlignment="1">
      <alignment horizontal="center" vertical="center"/>
    </xf>
    <xf numFmtId="0" fontId="1" fillId="2" borderId="0" xfId="0" applyFont="1" applyFill="1" applyAlignment="1">
      <alignment horizontal="left" vertical="center" indent="1"/>
    </xf>
    <xf numFmtId="0" fontId="3" fillId="2" borderId="0" xfId="0" applyFont="1" applyFill="1" applyAlignment="1">
      <alignment horizontal="left" vertical="center" indent="1"/>
    </xf>
    <xf numFmtId="0" fontId="18" fillId="0" borderId="0" xfId="0" applyFont="1" applyAlignment="1">
      <alignment horizontal="left" vertical="center" indent="1"/>
    </xf>
    <xf numFmtId="0" fontId="15" fillId="13" borderId="0" xfId="0" applyFont="1" applyFill="1" applyAlignment="1">
      <alignment horizontal="center" vertical="center"/>
    </xf>
    <xf numFmtId="0" fontId="15" fillId="8" borderId="0" xfId="0" applyFont="1" applyFill="1" applyAlignment="1">
      <alignment horizontal="center" vertical="center"/>
    </xf>
    <xf numFmtId="0" fontId="15" fillId="6" borderId="0" xfId="0" applyFont="1" applyFill="1" applyAlignment="1">
      <alignment horizontal="center" vertical="center"/>
    </xf>
    <xf numFmtId="0" fontId="15" fillId="11" borderId="0" xfId="0" applyFont="1" applyFill="1" applyAlignment="1">
      <alignment horizontal="center" vertical="center"/>
    </xf>
    <xf numFmtId="0" fontId="13" fillId="3" borderId="0" xfId="0" applyFont="1" applyFill="1" applyAlignment="1">
      <alignment horizontal="left" vertical="center" indent="1"/>
    </xf>
    <xf numFmtId="0" fontId="74" fillId="0" borderId="0" xfId="0" applyFont="1" applyAlignment="1">
      <alignment vertical="top" wrapText="1"/>
    </xf>
    <xf numFmtId="0" fontId="70" fillId="0" borderId="0" xfId="0" applyFont="1"/>
  </cellXfs>
  <cellStyles count="1">
    <cellStyle name="Normal" xfId="0" builtinId="0"/>
  </cellStyles>
  <dxfs count="2">
    <dxf>
      <fill>
        <patternFill patternType="solid">
          <fgColor rgb="FFFEE2E2"/>
        </patternFill>
      </fill>
    </dxf>
    <dxf>
      <fill>
        <patternFill patternType="solid">
          <f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93"/>
  <sheetViews>
    <sheetView workbookViewId="0">
      <pane xSplit="7" ySplit="4" topLeftCell="H199" activePane="bottomRight" state="frozen"/>
      <selection pane="topRight"/>
      <selection pane="bottomLeft"/>
      <selection pane="bottomRight" activeCell="I154" sqref="I154"/>
    </sheetView>
  </sheetViews>
  <sheetFormatPr defaultRowHeight="14.4" x14ac:dyDescent="0.55000000000000004"/>
  <cols>
    <col min="1" max="1" width="20" customWidth="1"/>
    <col min="2" max="2" width="44" customWidth="1"/>
    <col min="3" max="3" width="12" customWidth="1"/>
    <col min="4" max="4" width="10" customWidth="1"/>
    <col min="5" max="6" width="9" customWidth="1"/>
    <col min="7" max="7" width="56.3671875" bestFit="1" customWidth="1"/>
    <col min="8" max="17" width="5.41796875" customWidth="1"/>
    <col min="18" max="18" width="13" hidden="1" customWidth="1"/>
  </cols>
  <sheetData>
    <row r="1" spans="1:18" ht="30" customHeight="1" x14ac:dyDescent="0.55000000000000004">
      <c r="A1" s="290" t="s">
        <v>256</v>
      </c>
      <c r="B1" s="287"/>
      <c r="C1" s="287"/>
      <c r="D1" s="287"/>
      <c r="E1" s="287"/>
      <c r="F1" s="287"/>
      <c r="G1" s="287"/>
      <c r="H1" s="287"/>
      <c r="I1" s="287"/>
      <c r="J1" s="287"/>
      <c r="K1" s="287"/>
      <c r="L1" s="287"/>
      <c r="M1" s="287"/>
      <c r="N1" s="287"/>
      <c r="O1" s="287"/>
      <c r="P1" s="287"/>
      <c r="Q1" s="288"/>
    </row>
    <row r="2" spans="1:18" ht="18" customHeight="1" x14ac:dyDescent="0.55000000000000004">
      <c r="A2" s="289" t="s">
        <v>257</v>
      </c>
      <c r="B2" s="287"/>
      <c r="C2" s="287"/>
      <c r="D2" s="287"/>
      <c r="E2" s="287"/>
      <c r="F2" s="287"/>
      <c r="G2" s="287"/>
      <c r="H2" s="287"/>
      <c r="I2" s="287"/>
      <c r="J2" s="287"/>
      <c r="K2" s="287"/>
      <c r="L2" s="287"/>
      <c r="M2" s="287"/>
      <c r="N2" s="287"/>
      <c r="O2" s="287"/>
      <c r="P2" s="287"/>
      <c r="Q2" s="288"/>
    </row>
    <row r="4" spans="1:18" x14ac:dyDescent="0.55000000000000004">
      <c r="A4" s="1" t="s">
        <v>258</v>
      </c>
      <c r="B4" s="1" t="s">
        <v>259</v>
      </c>
      <c r="C4" s="1" t="s">
        <v>4</v>
      </c>
      <c r="D4" s="1" t="s">
        <v>260</v>
      </c>
      <c r="E4" s="1" t="s">
        <v>261</v>
      </c>
      <c r="F4" s="1" t="s">
        <v>262</v>
      </c>
      <c r="G4" s="1" t="s">
        <v>263</v>
      </c>
      <c r="H4" s="2" t="s">
        <v>264</v>
      </c>
      <c r="I4" s="2" t="s">
        <v>265</v>
      </c>
      <c r="J4" s="2" t="s">
        <v>266</v>
      </c>
      <c r="K4" s="2" t="s">
        <v>267</v>
      </c>
      <c r="L4" s="2" t="s">
        <v>268</v>
      </c>
      <c r="M4" s="2" t="s">
        <v>269</v>
      </c>
      <c r="N4" s="2" t="s">
        <v>270</v>
      </c>
      <c r="O4" s="2" t="s">
        <v>271</v>
      </c>
      <c r="P4" s="2" t="s">
        <v>272</v>
      </c>
      <c r="Q4" s="2" t="s">
        <v>273</v>
      </c>
      <c r="R4" s="40" t="s">
        <v>274</v>
      </c>
    </row>
    <row r="5" spans="1:18" x14ac:dyDescent="0.55000000000000004">
      <c r="A5" s="3" t="s">
        <v>275</v>
      </c>
      <c r="B5" s="4" t="s">
        <v>276</v>
      </c>
      <c r="C5" s="237" t="s">
        <v>277</v>
      </c>
      <c r="D5" s="6" t="s">
        <v>278</v>
      </c>
      <c r="E5" s="7">
        <v>46231</v>
      </c>
      <c r="F5" s="7">
        <v>46231</v>
      </c>
      <c r="G5" s="238" t="s">
        <v>279</v>
      </c>
      <c r="H5" s="8"/>
      <c r="I5" s="9"/>
      <c r="J5" s="9"/>
      <c r="K5" s="9"/>
      <c r="L5" s="9"/>
      <c r="M5" s="9"/>
      <c r="N5" s="9"/>
      <c r="O5" s="9"/>
      <c r="P5" s="9"/>
      <c r="Q5" s="9"/>
      <c r="R5" t="str">
        <f t="shared" ref="R5:R68" si="0">IF($A5&lt;&gt;"",$A5,R4)</f>
        <v>E1 Foundation</v>
      </c>
    </row>
    <row r="6" spans="1:18" x14ac:dyDescent="0.55000000000000004">
      <c r="A6" s="10"/>
      <c r="B6" s="10" t="s">
        <v>280</v>
      </c>
      <c r="C6" s="237" t="s">
        <v>277</v>
      </c>
      <c r="D6" s="11" t="s">
        <v>278</v>
      </c>
      <c r="E6" s="12">
        <v>46231</v>
      </c>
      <c r="F6" s="12">
        <v>46232</v>
      </c>
      <c r="G6" s="239" t="s">
        <v>281</v>
      </c>
      <c r="H6" s="8"/>
      <c r="I6" s="13"/>
      <c r="J6" s="13"/>
      <c r="K6" s="13"/>
      <c r="L6" s="13"/>
      <c r="M6" s="13"/>
      <c r="N6" s="13"/>
      <c r="O6" s="13"/>
      <c r="P6" s="13"/>
      <c r="Q6" s="13"/>
      <c r="R6" t="str">
        <f t="shared" si="0"/>
        <v>E1 Foundation</v>
      </c>
    </row>
    <row r="7" spans="1:18" x14ac:dyDescent="0.55000000000000004">
      <c r="A7" s="4"/>
      <c r="B7" s="4" t="s">
        <v>282</v>
      </c>
      <c r="C7" s="237" t="s">
        <v>277</v>
      </c>
      <c r="D7" s="6" t="s">
        <v>278</v>
      </c>
      <c r="E7" s="7">
        <v>46231</v>
      </c>
      <c r="F7" s="7">
        <v>46231</v>
      </c>
      <c r="G7" s="238" t="s">
        <v>283</v>
      </c>
      <c r="H7" s="8"/>
      <c r="I7" s="9"/>
      <c r="J7" s="9"/>
      <c r="K7" s="9"/>
      <c r="L7" s="9"/>
      <c r="M7" s="9"/>
      <c r="N7" s="9"/>
      <c r="O7" s="9"/>
      <c r="P7" s="9"/>
      <c r="Q7" s="9"/>
      <c r="R7" t="str">
        <f t="shared" si="0"/>
        <v>E1 Foundation</v>
      </c>
    </row>
    <row r="8" spans="1:18" x14ac:dyDescent="0.55000000000000004">
      <c r="A8" s="10"/>
      <c r="B8" s="10" t="s">
        <v>284</v>
      </c>
      <c r="C8" s="237" t="s">
        <v>277</v>
      </c>
      <c r="D8" s="11" t="s">
        <v>278</v>
      </c>
      <c r="E8" s="12">
        <v>46233</v>
      </c>
      <c r="F8" s="12">
        <v>46233</v>
      </c>
      <c r="G8" s="239" t="s">
        <v>285</v>
      </c>
      <c r="H8" s="8"/>
      <c r="I8" s="13"/>
      <c r="J8" s="13"/>
      <c r="K8" s="13"/>
      <c r="L8" s="13"/>
      <c r="M8" s="13"/>
      <c r="N8" s="13"/>
      <c r="O8" s="13"/>
      <c r="P8" s="13"/>
      <c r="Q8" s="13"/>
      <c r="R8" t="str">
        <f t="shared" si="0"/>
        <v>E1 Foundation</v>
      </c>
    </row>
    <row r="9" spans="1:18" x14ac:dyDescent="0.55000000000000004">
      <c r="A9" s="3" t="s">
        <v>286</v>
      </c>
      <c r="B9" s="4" t="s">
        <v>287</v>
      </c>
      <c r="C9" s="237" t="s">
        <v>277</v>
      </c>
      <c r="D9" s="6" t="s">
        <v>288</v>
      </c>
      <c r="E9" s="7">
        <v>46231</v>
      </c>
      <c r="F9" s="7">
        <v>46231</v>
      </c>
      <c r="G9" s="238" t="s">
        <v>289</v>
      </c>
      <c r="H9" s="8"/>
      <c r="I9" s="9"/>
      <c r="J9" s="9"/>
      <c r="K9" s="9"/>
      <c r="L9" s="9"/>
      <c r="M9" s="9"/>
      <c r="N9" s="9"/>
      <c r="O9" s="9"/>
      <c r="P9" s="9"/>
      <c r="Q9" s="9"/>
      <c r="R9" t="str">
        <f t="shared" si="0"/>
        <v>E2 Ingestion</v>
      </c>
    </row>
    <row r="10" spans="1:18" x14ac:dyDescent="0.55000000000000004">
      <c r="A10" s="10"/>
      <c r="B10" s="10" t="s">
        <v>290</v>
      </c>
      <c r="C10" s="237" t="s">
        <v>277</v>
      </c>
      <c r="D10" s="11" t="s">
        <v>288</v>
      </c>
      <c r="E10" s="12">
        <v>46232</v>
      </c>
      <c r="F10" s="12">
        <v>46232</v>
      </c>
      <c r="G10" s="239" t="s">
        <v>291</v>
      </c>
      <c r="H10" s="8"/>
      <c r="I10" s="13"/>
      <c r="J10" s="13"/>
      <c r="K10" s="13"/>
      <c r="L10" s="13"/>
      <c r="M10" s="13"/>
      <c r="N10" s="13"/>
      <c r="O10" s="13"/>
      <c r="P10" s="13"/>
      <c r="Q10" s="13"/>
      <c r="R10" t="str">
        <f t="shared" si="0"/>
        <v>E2 Ingestion</v>
      </c>
    </row>
    <row r="11" spans="1:18" x14ac:dyDescent="0.55000000000000004">
      <c r="A11" s="4"/>
      <c r="B11" s="4" t="s">
        <v>292</v>
      </c>
      <c r="C11" s="237" t="s">
        <v>277</v>
      </c>
      <c r="D11" s="6" t="s">
        <v>288</v>
      </c>
      <c r="E11" s="7">
        <v>46232</v>
      </c>
      <c r="F11" s="7">
        <v>46233</v>
      </c>
      <c r="G11" s="238" t="s">
        <v>293</v>
      </c>
      <c r="H11" s="8"/>
      <c r="I11" s="9"/>
      <c r="J11" s="9"/>
      <c r="K11" s="9"/>
      <c r="L11" s="9"/>
      <c r="M11" s="9"/>
      <c r="N11" s="9"/>
      <c r="O11" s="9"/>
      <c r="P11" s="9"/>
      <c r="Q11" s="9"/>
      <c r="R11" t="str">
        <f t="shared" si="0"/>
        <v>E2 Ingestion</v>
      </c>
    </row>
    <row r="12" spans="1:18" x14ac:dyDescent="0.55000000000000004">
      <c r="A12" s="10"/>
      <c r="B12" s="10" t="s">
        <v>294</v>
      </c>
      <c r="C12" s="237" t="s">
        <v>277</v>
      </c>
      <c r="D12" s="11" t="s">
        <v>288</v>
      </c>
      <c r="E12" s="12">
        <v>46233</v>
      </c>
      <c r="F12" s="12">
        <v>46234</v>
      </c>
      <c r="G12" s="239" t="s">
        <v>295</v>
      </c>
      <c r="H12" s="8"/>
      <c r="I12" s="13"/>
      <c r="J12" s="13"/>
      <c r="K12" s="13"/>
      <c r="L12" s="13"/>
      <c r="M12" s="13"/>
      <c r="N12" s="13"/>
      <c r="O12" s="13"/>
      <c r="P12" s="13"/>
      <c r="Q12" s="13"/>
      <c r="R12" t="str">
        <f t="shared" si="0"/>
        <v>E2 Ingestion</v>
      </c>
    </row>
    <row r="13" spans="1:18" x14ac:dyDescent="0.55000000000000004">
      <c r="A13" s="4"/>
      <c r="B13" s="4" t="s">
        <v>296</v>
      </c>
      <c r="C13" s="237" t="s">
        <v>277</v>
      </c>
      <c r="D13" s="6" t="s">
        <v>288</v>
      </c>
      <c r="E13" s="7">
        <v>46236</v>
      </c>
      <c r="F13" s="7">
        <v>46237</v>
      </c>
      <c r="G13" s="238" t="s">
        <v>297</v>
      </c>
      <c r="H13" s="8"/>
      <c r="I13" s="8"/>
      <c r="J13" s="9"/>
      <c r="K13" s="9"/>
      <c r="L13" s="9"/>
      <c r="M13" s="9"/>
      <c r="N13" s="9"/>
      <c r="O13" s="9"/>
      <c r="P13" s="9"/>
      <c r="Q13" s="9"/>
      <c r="R13" t="str">
        <f t="shared" si="0"/>
        <v>E2 Ingestion</v>
      </c>
    </row>
    <row r="14" spans="1:18" x14ac:dyDescent="0.55000000000000004">
      <c r="A14" s="14" t="s">
        <v>298</v>
      </c>
      <c r="B14" s="10" t="s">
        <v>299</v>
      </c>
      <c r="C14" s="237" t="s">
        <v>277</v>
      </c>
      <c r="D14" s="11" t="s">
        <v>300</v>
      </c>
      <c r="E14" s="12">
        <v>46231</v>
      </c>
      <c r="F14" s="12">
        <v>46232</v>
      </c>
      <c r="G14" s="239" t="s">
        <v>301</v>
      </c>
      <c r="H14" s="8"/>
      <c r="I14" s="13"/>
      <c r="J14" s="13"/>
      <c r="K14" s="13"/>
      <c r="L14" s="13"/>
      <c r="M14" s="13"/>
      <c r="N14" s="13"/>
      <c r="O14" s="13"/>
      <c r="P14" s="13"/>
      <c r="Q14" s="13"/>
      <c r="R14" t="str">
        <f t="shared" si="0"/>
        <v>E3 ML NBA</v>
      </c>
    </row>
    <row r="15" spans="1:18" x14ac:dyDescent="0.55000000000000004">
      <c r="A15" s="4"/>
      <c r="B15" s="4" t="s">
        <v>302</v>
      </c>
      <c r="C15" s="237" t="s">
        <v>277</v>
      </c>
      <c r="D15" s="6" t="s">
        <v>300</v>
      </c>
      <c r="E15" s="7">
        <v>46232</v>
      </c>
      <c r="F15" s="7">
        <v>46232</v>
      </c>
      <c r="G15" s="238" t="s">
        <v>303</v>
      </c>
      <c r="H15" s="8"/>
      <c r="I15" s="9"/>
      <c r="J15" s="9"/>
      <c r="K15" s="9"/>
      <c r="L15" s="9"/>
      <c r="M15" s="9"/>
      <c r="N15" s="9"/>
      <c r="O15" s="9"/>
      <c r="P15" s="9"/>
      <c r="Q15" s="9"/>
      <c r="R15" t="str">
        <f t="shared" si="0"/>
        <v>E3 ML NBA</v>
      </c>
    </row>
    <row r="16" spans="1:18" x14ac:dyDescent="0.55000000000000004">
      <c r="A16" s="10"/>
      <c r="B16" s="10" t="s">
        <v>304</v>
      </c>
      <c r="C16" s="237" t="s">
        <v>277</v>
      </c>
      <c r="D16" s="11" t="s">
        <v>300</v>
      </c>
      <c r="E16" s="12">
        <v>46232</v>
      </c>
      <c r="F16" s="12">
        <v>46233</v>
      </c>
      <c r="G16" s="239" t="s">
        <v>305</v>
      </c>
      <c r="H16" s="8"/>
      <c r="I16" s="13"/>
      <c r="J16" s="13"/>
      <c r="K16" s="13"/>
      <c r="L16" s="13"/>
      <c r="M16" s="13"/>
      <c r="N16" s="13"/>
      <c r="O16" s="13"/>
      <c r="P16" s="13"/>
      <c r="Q16" s="13"/>
      <c r="R16" t="str">
        <f t="shared" si="0"/>
        <v>E3 ML NBA</v>
      </c>
    </row>
    <row r="17" spans="1:18" x14ac:dyDescent="0.55000000000000004">
      <c r="A17" s="3" t="s">
        <v>306</v>
      </c>
      <c r="B17" s="4" t="s">
        <v>307</v>
      </c>
      <c r="C17" s="237" t="s">
        <v>277</v>
      </c>
      <c r="D17" s="6" t="s">
        <v>300</v>
      </c>
      <c r="E17" s="7">
        <v>46232</v>
      </c>
      <c r="F17" s="7">
        <v>46233</v>
      </c>
      <c r="G17" s="238" t="s">
        <v>308</v>
      </c>
      <c r="H17" s="8"/>
      <c r="I17" s="9"/>
      <c r="J17" s="9"/>
      <c r="K17" s="9"/>
      <c r="L17" s="9"/>
      <c r="M17" s="9"/>
      <c r="N17" s="9"/>
      <c r="O17" s="9"/>
      <c r="P17" s="9"/>
      <c r="Q17" s="9"/>
      <c r="R17" t="str">
        <f t="shared" si="0"/>
        <v>E4 ML Football</v>
      </c>
    </row>
    <row r="18" spans="1:18" x14ac:dyDescent="0.55000000000000004">
      <c r="A18" s="10"/>
      <c r="B18" s="10" t="s">
        <v>309</v>
      </c>
      <c r="C18" s="237" t="s">
        <v>277</v>
      </c>
      <c r="D18" s="11" t="s">
        <v>300</v>
      </c>
      <c r="E18" s="12">
        <v>46233</v>
      </c>
      <c r="F18" s="12">
        <v>46233</v>
      </c>
      <c r="G18" s="239" t="s">
        <v>310</v>
      </c>
      <c r="H18" s="8"/>
      <c r="I18" s="13"/>
      <c r="J18" s="13"/>
      <c r="K18" s="13"/>
      <c r="L18" s="13"/>
      <c r="M18" s="13"/>
      <c r="N18" s="13"/>
      <c r="O18" s="13"/>
      <c r="P18" s="13"/>
      <c r="Q18" s="13"/>
      <c r="R18" t="str">
        <f t="shared" si="0"/>
        <v>E4 ML Football</v>
      </c>
    </row>
    <row r="19" spans="1:18" x14ac:dyDescent="0.55000000000000004">
      <c r="A19" s="4"/>
      <c r="B19" s="4" t="s">
        <v>311</v>
      </c>
      <c r="C19" s="237" t="s">
        <v>277</v>
      </c>
      <c r="D19" s="6" t="s">
        <v>300</v>
      </c>
      <c r="E19" s="7">
        <v>46233</v>
      </c>
      <c r="F19" s="7">
        <v>46233</v>
      </c>
      <c r="G19" s="238" t="s">
        <v>312</v>
      </c>
      <c r="H19" s="8"/>
      <c r="I19" s="9"/>
      <c r="J19" s="9"/>
      <c r="K19" s="9"/>
      <c r="L19" s="9"/>
      <c r="M19" s="9"/>
      <c r="N19" s="9"/>
      <c r="O19" s="9"/>
      <c r="P19" s="9"/>
      <c r="Q19" s="9"/>
      <c r="R19" t="str">
        <f t="shared" si="0"/>
        <v>E4 ML Football</v>
      </c>
    </row>
    <row r="20" spans="1:18" x14ac:dyDescent="0.55000000000000004">
      <c r="A20" s="10"/>
      <c r="B20" s="10" t="s">
        <v>313</v>
      </c>
      <c r="C20" s="237" t="s">
        <v>277</v>
      </c>
      <c r="D20" s="11" t="s">
        <v>300</v>
      </c>
      <c r="E20" s="12">
        <v>46236</v>
      </c>
      <c r="F20" s="12">
        <v>46236</v>
      </c>
      <c r="G20" s="239" t="s">
        <v>314</v>
      </c>
      <c r="H20" s="8"/>
      <c r="I20" s="13"/>
      <c r="J20" s="13"/>
      <c r="K20" s="13"/>
      <c r="L20" s="13"/>
      <c r="M20" s="13"/>
      <c r="N20" s="13"/>
      <c r="O20" s="13"/>
      <c r="P20" s="13"/>
      <c r="Q20" s="13"/>
      <c r="R20" t="str">
        <f t="shared" si="0"/>
        <v>E4 ML Football</v>
      </c>
    </row>
    <row r="21" spans="1:18" x14ac:dyDescent="0.55000000000000004">
      <c r="A21" s="4"/>
      <c r="B21" s="4" t="s">
        <v>315</v>
      </c>
      <c r="C21" s="237" t="s">
        <v>277</v>
      </c>
      <c r="D21" s="6" t="s">
        <v>300</v>
      </c>
      <c r="E21" s="7">
        <v>46234</v>
      </c>
      <c r="F21" s="7">
        <v>46234</v>
      </c>
      <c r="G21" s="238" t="s">
        <v>316</v>
      </c>
      <c r="H21" s="8"/>
      <c r="I21" s="9"/>
      <c r="J21" s="9"/>
      <c r="K21" s="9"/>
      <c r="L21" s="9"/>
      <c r="M21" s="9"/>
      <c r="N21" s="9"/>
      <c r="O21" s="9"/>
      <c r="P21" s="9"/>
      <c r="Q21" s="9"/>
      <c r="R21" t="str">
        <f t="shared" si="0"/>
        <v>E4 ML Football</v>
      </c>
    </row>
    <row r="22" spans="1:18" x14ac:dyDescent="0.55000000000000004">
      <c r="A22" s="14" t="s">
        <v>317</v>
      </c>
      <c r="B22" s="10" t="s">
        <v>318</v>
      </c>
      <c r="C22" s="237" t="s">
        <v>277</v>
      </c>
      <c r="D22" s="11" t="s">
        <v>300</v>
      </c>
      <c r="E22" s="12">
        <v>46235</v>
      </c>
      <c r="F22" s="12">
        <v>46235</v>
      </c>
      <c r="G22" s="239" t="s">
        <v>319</v>
      </c>
      <c r="H22" s="8"/>
      <c r="I22" s="13"/>
      <c r="J22" s="13"/>
      <c r="K22" s="13"/>
      <c r="L22" s="13"/>
      <c r="M22" s="13"/>
      <c r="N22" s="13"/>
      <c r="O22" s="13"/>
      <c r="P22" s="13"/>
      <c r="Q22" s="13"/>
      <c r="R22" t="str">
        <f t="shared" si="0"/>
        <v>E5 ML Tennis</v>
      </c>
    </row>
    <row r="23" spans="1:18" x14ac:dyDescent="0.55000000000000004">
      <c r="A23" s="4"/>
      <c r="B23" s="4" t="s">
        <v>320</v>
      </c>
      <c r="C23" s="237" t="s">
        <v>277</v>
      </c>
      <c r="D23" s="6" t="s">
        <v>300</v>
      </c>
      <c r="E23" s="7">
        <v>46235</v>
      </c>
      <c r="F23" s="7">
        <v>46235</v>
      </c>
      <c r="G23" s="238" t="s">
        <v>321</v>
      </c>
      <c r="H23" s="8"/>
      <c r="I23" s="9"/>
      <c r="J23" s="9"/>
      <c r="K23" s="9"/>
      <c r="L23" s="9"/>
      <c r="M23" s="9"/>
      <c r="N23" s="9"/>
      <c r="O23" s="9"/>
      <c r="P23" s="9"/>
      <c r="Q23" s="9"/>
      <c r="R23" t="str">
        <f t="shared" si="0"/>
        <v>E5 ML Tennis</v>
      </c>
    </row>
    <row r="24" spans="1:18" x14ac:dyDescent="0.55000000000000004">
      <c r="A24" s="10"/>
      <c r="B24" s="10" t="s">
        <v>322</v>
      </c>
      <c r="C24" s="237" t="s">
        <v>277</v>
      </c>
      <c r="D24" s="11" t="s">
        <v>300</v>
      </c>
      <c r="E24" s="12">
        <v>46235</v>
      </c>
      <c r="F24" s="12">
        <v>46235</v>
      </c>
      <c r="G24" s="239" t="s">
        <v>323</v>
      </c>
      <c r="H24" s="8"/>
      <c r="I24" s="13"/>
      <c r="J24" s="13"/>
      <c r="K24" s="13"/>
      <c r="L24" s="13"/>
      <c r="M24" s="13"/>
      <c r="N24" s="13"/>
      <c r="O24" s="13"/>
      <c r="P24" s="13"/>
      <c r="Q24" s="13"/>
      <c r="R24" t="str">
        <f t="shared" si="0"/>
        <v>E5 ML Tennis</v>
      </c>
    </row>
    <row r="25" spans="1:18" x14ac:dyDescent="0.55000000000000004">
      <c r="A25" s="4"/>
      <c r="B25" s="4" t="s">
        <v>324</v>
      </c>
      <c r="C25" s="237" t="s">
        <v>277</v>
      </c>
      <c r="D25" s="6" t="s">
        <v>300</v>
      </c>
      <c r="E25" s="7">
        <v>46236</v>
      </c>
      <c r="F25" s="7">
        <v>46236</v>
      </c>
      <c r="G25" s="238" t="s">
        <v>325</v>
      </c>
      <c r="H25" s="8"/>
      <c r="I25" s="9"/>
      <c r="J25" s="9"/>
      <c r="K25" s="9"/>
      <c r="L25" s="9"/>
      <c r="M25" s="9"/>
      <c r="N25" s="9"/>
      <c r="O25" s="9"/>
      <c r="P25" s="9"/>
      <c r="Q25" s="9"/>
      <c r="R25" t="str">
        <f t="shared" si="0"/>
        <v>E5 ML Tennis</v>
      </c>
    </row>
    <row r="26" spans="1:18" x14ac:dyDescent="0.55000000000000004">
      <c r="A26" s="10"/>
      <c r="B26" s="10" t="s">
        <v>326</v>
      </c>
      <c r="C26" s="237" t="s">
        <v>277</v>
      </c>
      <c r="D26" s="11" t="s">
        <v>288</v>
      </c>
      <c r="E26" s="12">
        <v>46237</v>
      </c>
      <c r="F26" s="12">
        <v>46237</v>
      </c>
      <c r="G26" s="239" t="s">
        <v>327</v>
      </c>
      <c r="H26" s="13"/>
      <c r="I26" s="8"/>
      <c r="J26" s="13"/>
      <c r="K26" s="13"/>
      <c r="L26" s="13"/>
      <c r="M26" s="13"/>
      <c r="N26" s="13"/>
      <c r="O26" s="13"/>
      <c r="P26" s="13"/>
      <c r="Q26" s="13"/>
      <c r="R26" t="str">
        <f t="shared" si="0"/>
        <v>E5 ML Tennis</v>
      </c>
    </row>
    <row r="27" spans="1:18" x14ac:dyDescent="0.55000000000000004">
      <c r="A27" s="3" t="s">
        <v>328</v>
      </c>
      <c r="B27" s="4" t="s">
        <v>329</v>
      </c>
      <c r="C27" s="237" t="s">
        <v>277</v>
      </c>
      <c r="D27" s="6" t="s">
        <v>330</v>
      </c>
      <c r="E27" s="7">
        <v>46232</v>
      </c>
      <c r="F27" s="7">
        <v>46233</v>
      </c>
      <c r="G27" s="238" t="s">
        <v>331</v>
      </c>
      <c r="H27" s="8"/>
      <c r="I27" s="9"/>
      <c r="J27" s="9"/>
      <c r="K27" s="9"/>
      <c r="L27" s="9"/>
      <c r="M27" s="9"/>
      <c r="N27" s="9"/>
      <c r="O27" s="9"/>
      <c r="P27" s="9"/>
      <c r="Q27" s="9"/>
      <c r="R27" t="str">
        <f t="shared" si="0"/>
        <v>E6 Picks</v>
      </c>
    </row>
    <row r="28" spans="1:18" x14ac:dyDescent="0.55000000000000004">
      <c r="A28" s="10"/>
      <c r="B28" s="10" t="s">
        <v>332</v>
      </c>
      <c r="C28" s="237" t="s">
        <v>277</v>
      </c>
      <c r="D28" s="11" t="s">
        <v>330</v>
      </c>
      <c r="E28" s="12">
        <v>46234</v>
      </c>
      <c r="F28" s="12">
        <v>46235</v>
      </c>
      <c r="G28" s="239" t="s">
        <v>333</v>
      </c>
      <c r="H28" s="8"/>
      <c r="I28" s="13"/>
      <c r="J28" s="13"/>
      <c r="K28" s="13"/>
      <c r="L28" s="13"/>
      <c r="M28" s="13"/>
      <c r="N28" s="13"/>
      <c r="O28" s="13"/>
      <c r="P28" s="13"/>
      <c r="Q28" s="13"/>
      <c r="R28" t="str">
        <f t="shared" si="0"/>
        <v>E6 Picks</v>
      </c>
    </row>
    <row r="29" spans="1:18" x14ac:dyDescent="0.55000000000000004">
      <c r="A29" s="4"/>
      <c r="B29" s="4" t="s">
        <v>334</v>
      </c>
      <c r="C29" s="237" t="s">
        <v>277</v>
      </c>
      <c r="D29" s="6" t="s">
        <v>330</v>
      </c>
      <c r="E29" s="7">
        <v>46236</v>
      </c>
      <c r="F29" s="7">
        <v>46236</v>
      </c>
      <c r="G29" s="238" t="s">
        <v>335</v>
      </c>
      <c r="H29" s="8"/>
      <c r="I29" s="9"/>
      <c r="J29" s="9"/>
      <c r="K29" s="9"/>
      <c r="L29" s="9"/>
      <c r="M29" s="9"/>
      <c r="N29" s="9"/>
      <c r="O29" s="9"/>
      <c r="P29" s="9"/>
      <c r="Q29" s="9"/>
      <c r="R29" t="str">
        <f t="shared" si="0"/>
        <v>E6 Picks</v>
      </c>
    </row>
    <row r="30" spans="1:18" x14ac:dyDescent="0.55000000000000004">
      <c r="A30" s="10"/>
      <c r="B30" s="10" t="s">
        <v>336</v>
      </c>
      <c r="C30" s="237" t="s">
        <v>277</v>
      </c>
      <c r="D30" s="11" t="s">
        <v>330</v>
      </c>
      <c r="E30" s="12">
        <v>46236</v>
      </c>
      <c r="F30" s="12">
        <v>46236</v>
      </c>
      <c r="G30" s="239" t="s">
        <v>337</v>
      </c>
      <c r="H30" s="8"/>
      <c r="I30" s="13"/>
      <c r="J30" s="13"/>
      <c r="K30" s="13"/>
      <c r="L30" s="13"/>
      <c r="M30" s="13"/>
      <c r="N30" s="13"/>
      <c r="O30" s="13"/>
      <c r="P30" s="13"/>
      <c r="Q30" s="13"/>
      <c r="R30" t="str">
        <f t="shared" si="0"/>
        <v>E6 Picks</v>
      </c>
    </row>
    <row r="31" spans="1:18" x14ac:dyDescent="0.55000000000000004">
      <c r="A31" s="3" t="s">
        <v>338</v>
      </c>
      <c r="B31" s="4" t="s">
        <v>339</v>
      </c>
      <c r="C31" s="237" t="s">
        <v>277</v>
      </c>
      <c r="D31" s="6" t="s">
        <v>340</v>
      </c>
      <c r="E31" s="7">
        <v>46233</v>
      </c>
      <c r="F31" s="7">
        <v>46234</v>
      </c>
      <c r="G31" s="238" t="s">
        <v>341</v>
      </c>
      <c r="H31" s="8"/>
      <c r="I31" s="9"/>
      <c r="J31" s="9"/>
      <c r="K31" s="9"/>
      <c r="L31" s="9"/>
      <c r="M31" s="9"/>
      <c r="N31" s="9"/>
      <c r="O31" s="9"/>
      <c r="P31" s="9"/>
      <c r="Q31" s="9"/>
      <c r="R31" t="str">
        <f t="shared" si="0"/>
        <v>E7 Mobile</v>
      </c>
    </row>
    <row r="32" spans="1:18" x14ac:dyDescent="0.55000000000000004">
      <c r="A32" s="10"/>
      <c r="B32" s="10" t="s">
        <v>342</v>
      </c>
      <c r="C32" s="237" t="s">
        <v>277</v>
      </c>
      <c r="D32" s="11" t="s">
        <v>340</v>
      </c>
      <c r="E32" s="12">
        <v>46234</v>
      </c>
      <c r="F32" s="12">
        <v>46234</v>
      </c>
      <c r="G32" s="239" t="s">
        <v>343</v>
      </c>
      <c r="H32" s="8"/>
      <c r="I32" s="13"/>
      <c r="J32" s="13"/>
      <c r="K32" s="13"/>
      <c r="L32" s="13"/>
      <c r="M32" s="13"/>
      <c r="N32" s="13"/>
      <c r="O32" s="13"/>
      <c r="P32" s="13"/>
      <c r="Q32" s="13"/>
      <c r="R32" t="str">
        <f t="shared" si="0"/>
        <v>E7 Mobile</v>
      </c>
    </row>
    <row r="33" spans="1:18" x14ac:dyDescent="0.55000000000000004">
      <c r="A33" s="4"/>
      <c r="B33" s="4" t="s">
        <v>344</v>
      </c>
      <c r="C33" s="237" t="s">
        <v>277</v>
      </c>
      <c r="D33" s="6" t="s">
        <v>340</v>
      </c>
      <c r="E33" s="7">
        <v>46235</v>
      </c>
      <c r="F33" s="7">
        <v>46236</v>
      </c>
      <c r="G33" s="238" t="s">
        <v>345</v>
      </c>
      <c r="H33" s="8"/>
      <c r="I33" s="9"/>
      <c r="J33" s="9"/>
      <c r="K33" s="9"/>
      <c r="L33" s="9"/>
      <c r="M33" s="9"/>
      <c r="N33" s="9"/>
      <c r="O33" s="9"/>
      <c r="P33" s="9"/>
      <c r="Q33" s="9"/>
      <c r="R33" t="str">
        <f t="shared" si="0"/>
        <v>E7 Mobile</v>
      </c>
    </row>
    <row r="34" spans="1:18" x14ac:dyDescent="0.55000000000000004">
      <c r="A34" s="10"/>
      <c r="B34" s="10" t="s">
        <v>346</v>
      </c>
      <c r="C34" s="237" t="s">
        <v>277</v>
      </c>
      <c r="D34" s="11" t="s">
        <v>340</v>
      </c>
      <c r="E34" s="12">
        <v>46237</v>
      </c>
      <c r="F34" s="12">
        <v>46237</v>
      </c>
      <c r="G34" s="239" t="s">
        <v>347</v>
      </c>
      <c r="H34" s="13"/>
      <c r="I34" s="8"/>
      <c r="J34" s="13"/>
      <c r="K34" s="13"/>
      <c r="L34" s="13"/>
      <c r="M34" s="13"/>
      <c r="N34" s="13"/>
      <c r="O34" s="13"/>
      <c r="P34" s="13"/>
      <c r="Q34" s="13"/>
      <c r="R34" t="str">
        <f t="shared" si="0"/>
        <v>E7 Mobile</v>
      </c>
    </row>
    <row r="35" spans="1:18" x14ac:dyDescent="0.55000000000000004">
      <c r="A35" s="4"/>
      <c r="B35" s="4" t="s">
        <v>348</v>
      </c>
      <c r="C35" s="237" t="s">
        <v>277</v>
      </c>
      <c r="D35" s="6" t="s">
        <v>340</v>
      </c>
      <c r="E35" s="7">
        <v>46237</v>
      </c>
      <c r="F35" s="7">
        <v>46237</v>
      </c>
      <c r="G35" s="238" t="s">
        <v>349</v>
      </c>
      <c r="H35" s="9"/>
      <c r="I35" s="8"/>
      <c r="J35" s="9"/>
      <c r="K35" s="9"/>
      <c r="L35" s="9"/>
      <c r="M35" s="9"/>
      <c r="N35" s="9"/>
      <c r="O35" s="9"/>
      <c r="P35" s="9"/>
      <c r="Q35" s="9"/>
      <c r="R35" t="str">
        <f t="shared" si="0"/>
        <v>E7 Mobile</v>
      </c>
    </row>
    <row r="36" spans="1:18" x14ac:dyDescent="0.55000000000000004">
      <c r="A36" s="10"/>
      <c r="B36" s="10" t="s">
        <v>350</v>
      </c>
      <c r="C36" s="237" t="s">
        <v>277</v>
      </c>
      <c r="D36" s="11" t="s">
        <v>340</v>
      </c>
      <c r="E36" s="12">
        <v>46238</v>
      </c>
      <c r="F36" s="12">
        <v>46238</v>
      </c>
      <c r="G36" s="239" t="s">
        <v>351</v>
      </c>
      <c r="H36" s="13"/>
      <c r="I36" s="8"/>
      <c r="J36" s="13"/>
      <c r="K36" s="13"/>
      <c r="L36" s="13"/>
      <c r="M36" s="13"/>
      <c r="N36" s="13"/>
      <c r="O36" s="13"/>
      <c r="P36" s="13"/>
      <c r="Q36" s="13"/>
      <c r="R36" t="str">
        <f t="shared" si="0"/>
        <v>E7 Mobile</v>
      </c>
    </row>
    <row r="37" spans="1:18" x14ac:dyDescent="0.55000000000000004">
      <c r="A37" s="4"/>
      <c r="B37" s="4" t="s">
        <v>352</v>
      </c>
      <c r="C37" s="237" t="s">
        <v>277</v>
      </c>
      <c r="D37" s="6" t="s">
        <v>340</v>
      </c>
      <c r="E37" s="7">
        <v>46238</v>
      </c>
      <c r="F37" s="7">
        <v>46238</v>
      </c>
      <c r="G37" s="238" t="s">
        <v>353</v>
      </c>
      <c r="H37" s="9"/>
      <c r="I37" s="8"/>
      <c r="J37" s="9"/>
      <c r="K37" s="9"/>
      <c r="L37" s="9"/>
      <c r="M37" s="9"/>
      <c r="N37" s="9"/>
      <c r="O37" s="9"/>
      <c r="P37" s="9"/>
      <c r="Q37" s="9"/>
      <c r="R37" t="str">
        <f t="shared" si="0"/>
        <v>E7 Mobile</v>
      </c>
    </row>
    <row r="38" spans="1:18" x14ac:dyDescent="0.55000000000000004">
      <c r="A38" s="14" t="s">
        <v>354</v>
      </c>
      <c r="B38" s="10" t="s">
        <v>355</v>
      </c>
      <c r="C38" s="237" t="s">
        <v>277</v>
      </c>
      <c r="D38" s="11" t="s">
        <v>300</v>
      </c>
      <c r="E38" s="12">
        <v>46236</v>
      </c>
      <c r="F38" s="12">
        <v>46236</v>
      </c>
      <c r="G38" s="239" t="s">
        <v>356</v>
      </c>
      <c r="H38" s="8"/>
      <c r="I38" s="13"/>
      <c r="J38" s="13"/>
      <c r="K38" s="13"/>
      <c r="L38" s="13"/>
      <c r="M38" s="13"/>
      <c r="N38" s="13"/>
      <c r="O38" s="13"/>
      <c r="P38" s="13"/>
      <c r="Q38" s="13"/>
      <c r="R38" t="str">
        <f t="shared" si="0"/>
        <v>E8 Model Quality</v>
      </c>
    </row>
    <row r="39" spans="1:18" x14ac:dyDescent="0.55000000000000004">
      <c r="A39" s="4"/>
      <c r="B39" s="4" t="s">
        <v>357</v>
      </c>
      <c r="C39" s="237" t="s">
        <v>277</v>
      </c>
      <c r="D39" s="6" t="s">
        <v>300</v>
      </c>
      <c r="E39" s="7">
        <v>46236</v>
      </c>
      <c r="F39" s="7">
        <v>46236</v>
      </c>
      <c r="G39" s="238" t="s">
        <v>358</v>
      </c>
      <c r="H39" s="8"/>
      <c r="I39" s="9"/>
      <c r="J39" s="9"/>
      <c r="K39" s="9"/>
      <c r="L39" s="9"/>
      <c r="M39" s="9"/>
      <c r="N39" s="9"/>
      <c r="O39" s="9"/>
      <c r="P39" s="9"/>
      <c r="Q39" s="9"/>
      <c r="R39" t="str">
        <f t="shared" si="0"/>
        <v>E8 Model Quality</v>
      </c>
    </row>
    <row r="40" spans="1:18" x14ac:dyDescent="0.55000000000000004">
      <c r="A40" s="10"/>
      <c r="B40" s="10" t="s">
        <v>359</v>
      </c>
      <c r="C40" s="237" t="s">
        <v>277</v>
      </c>
      <c r="D40" s="11" t="s">
        <v>300</v>
      </c>
      <c r="E40" s="12">
        <v>46237</v>
      </c>
      <c r="F40" s="12">
        <v>46237</v>
      </c>
      <c r="G40" s="239" t="s">
        <v>360</v>
      </c>
      <c r="H40" s="13"/>
      <c r="I40" s="8"/>
      <c r="J40" s="13"/>
      <c r="K40" s="13"/>
      <c r="L40" s="13"/>
      <c r="M40" s="13"/>
      <c r="N40" s="13"/>
      <c r="O40" s="13"/>
      <c r="P40" s="13"/>
      <c r="Q40" s="13"/>
      <c r="R40" t="str">
        <f t="shared" si="0"/>
        <v>E8 Model Quality</v>
      </c>
    </row>
    <row r="41" spans="1:18" x14ac:dyDescent="0.55000000000000004">
      <c r="A41" s="4"/>
      <c r="B41" s="4" t="s">
        <v>361</v>
      </c>
      <c r="C41" s="237" t="s">
        <v>277</v>
      </c>
      <c r="D41" s="6" t="s">
        <v>300</v>
      </c>
      <c r="E41" s="7">
        <v>46237</v>
      </c>
      <c r="F41" s="7">
        <v>46238</v>
      </c>
      <c r="G41" s="238" t="s">
        <v>362</v>
      </c>
      <c r="H41" s="9"/>
      <c r="I41" s="16"/>
      <c r="J41" s="9"/>
      <c r="K41" s="9"/>
      <c r="L41" s="9"/>
      <c r="M41" s="9"/>
      <c r="N41" s="9"/>
      <c r="O41" s="9"/>
      <c r="P41" s="9"/>
      <c r="Q41" s="9"/>
      <c r="R41" t="str">
        <f t="shared" si="0"/>
        <v>E8 Model Quality</v>
      </c>
    </row>
    <row r="42" spans="1:18" x14ac:dyDescent="0.55000000000000004">
      <c r="A42" s="10"/>
      <c r="B42" s="10" t="s">
        <v>363</v>
      </c>
      <c r="C42" s="237" t="s">
        <v>277</v>
      </c>
      <c r="D42" s="11" t="s">
        <v>300</v>
      </c>
      <c r="E42" s="12">
        <v>46238</v>
      </c>
      <c r="F42" s="12">
        <v>46239</v>
      </c>
      <c r="G42" s="239" t="s">
        <v>364</v>
      </c>
      <c r="H42" s="13"/>
      <c r="I42" s="18"/>
      <c r="J42" s="13"/>
      <c r="K42" s="13"/>
      <c r="L42" s="13"/>
      <c r="M42" s="13"/>
      <c r="N42" s="13"/>
      <c r="O42" s="13"/>
      <c r="P42" s="13"/>
      <c r="Q42" s="13"/>
      <c r="R42" t="str">
        <f t="shared" si="0"/>
        <v>E8 Model Quality</v>
      </c>
    </row>
    <row r="43" spans="1:18" x14ac:dyDescent="0.55000000000000004">
      <c r="A43" s="4"/>
      <c r="B43" s="4" t="s">
        <v>365</v>
      </c>
      <c r="C43" s="237" t="s">
        <v>277</v>
      </c>
      <c r="D43" s="6" t="s">
        <v>300</v>
      </c>
      <c r="E43" s="7">
        <v>46239</v>
      </c>
      <c r="F43" s="7">
        <v>46241</v>
      </c>
      <c r="G43" s="238" t="s">
        <v>366</v>
      </c>
      <c r="H43" s="9"/>
      <c r="I43" s="18"/>
      <c r="J43" s="9"/>
      <c r="K43" s="9"/>
      <c r="L43" s="9"/>
      <c r="M43" s="9"/>
      <c r="N43" s="9"/>
      <c r="O43" s="9"/>
      <c r="P43" s="9"/>
      <c r="Q43" s="9"/>
      <c r="R43" t="str">
        <f t="shared" si="0"/>
        <v>E8 Model Quality</v>
      </c>
    </row>
    <row r="44" spans="1:18" x14ac:dyDescent="0.55000000000000004">
      <c r="A44" s="10"/>
      <c r="B44" s="10" t="s">
        <v>367</v>
      </c>
      <c r="C44" s="237" t="s">
        <v>277</v>
      </c>
      <c r="D44" s="11" t="s">
        <v>300</v>
      </c>
      <c r="E44" s="12">
        <v>46240</v>
      </c>
      <c r="F44" s="12">
        <v>46243</v>
      </c>
      <c r="G44" s="239" t="s">
        <v>368</v>
      </c>
      <c r="H44" s="13"/>
      <c r="I44" s="18"/>
      <c r="J44" s="13"/>
      <c r="K44" s="13"/>
      <c r="L44" s="13"/>
      <c r="M44" s="13"/>
      <c r="N44" s="13"/>
      <c r="O44" s="13"/>
      <c r="P44" s="13"/>
      <c r="Q44" s="13"/>
      <c r="R44" t="str">
        <f t="shared" si="0"/>
        <v>E8 Model Quality</v>
      </c>
    </row>
    <row r="45" spans="1:18" x14ac:dyDescent="0.55000000000000004">
      <c r="A45" s="4"/>
      <c r="B45" s="4" t="s">
        <v>369</v>
      </c>
      <c r="C45" s="237" t="s">
        <v>277</v>
      </c>
      <c r="D45" s="6" t="s">
        <v>300</v>
      </c>
      <c r="E45" s="7">
        <v>46241</v>
      </c>
      <c r="F45" s="7">
        <v>46244</v>
      </c>
      <c r="G45" s="238" t="s">
        <v>370</v>
      </c>
      <c r="H45" s="9"/>
      <c r="I45" s="18"/>
      <c r="J45" s="18"/>
      <c r="K45" s="9"/>
      <c r="L45" s="9"/>
      <c r="M45" s="9"/>
      <c r="N45" s="9"/>
      <c r="O45" s="9"/>
      <c r="P45" s="9"/>
      <c r="Q45" s="9"/>
      <c r="R45" t="str">
        <f t="shared" si="0"/>
        <v>E8 Model Quality</v>
      </c>
    </row>
    <row r="46" spans="1:18" x14ac:dyDescent="0.55000000000000004">
      <c r="A46" s="10"/>
      <c r="B46" s="10" t="s">
        <v>371</v>
      </c>
      <c r="C46" s="237" t="s">
        <v>277</v>
      </c>
      <c r="D46" s="11" t="s">
        <v>300</v>
      </c>
      <c r="E46" s="12">
        <v>46244</v>
      </c>
      <c r="F46" s="12">
        <v>46244</v>
      </c>
      <c r="G46" s="239" t="s">
        <v>372</v>
      </c>
      <c r="H46" s="13"/>
      <c r="I46" s="13"/>
      <c r="J46" s="20" t="s">
        <v>373</v>
      </c>
      <c r="K46" s="13"/>
      <c r="L46" s="13"/>
      <c r="M46" s="13"/>
      <c r="N46" s="13"/>
      <c r="O46" s="13"/>
      <c r="P46" s="13"/>
      <c r="Q46" s="13"/>
      <c r="R46" t="str">
        <f t="shared" si="0"/>
        <v>E8 Model Quality</v>
      </c>
    </row>
    <row r="47" spans="1:18" x14ac:dyDescent="0.55000000000000004">
      <c r="A47" s="4"/>
      <c r="B47" s="4" t="s">
        <v>374</v>
      </c>
      <c r="C47" s="237" t="s">
        <v>277</v>
      </c>
      <c r="D47" s="6" t="s">
        <v>300</v>
      </c>
      <c r="E47" s="7">
        <v>46237</v>
      </c>
      <c r="F47" s="7">
        <v>46238</v>
      </c>
      <c r="G47" s="238" t="s">
        <v>375</v>
      </c>
      <c r="H47" s="9"/>
      <c r="I47" s="8"/>
      <c r="J47" s="9"/>
      <c r="K47" s="9"/>
      <c r="L47" s="9"/>
      <c r="M47" s="9"/>
      <c r="N47" s="9"/>
      <c r="O47" s="9"/>
      <c r="P47" s="9"/>
      <c r="Q47" s="9"/>
      <c r="R47" t="str">
        <f t="shared" si="0"/>
        <v>E8 Model Quality</v>
      </c>
    </row>
    <row r="48" spans="1:18" x14ac:dyDescent="0.55000000000000004">
      <c r="A48" s="10"/>
      <c r="B48" s="10" t="s">
        <v>376</v>
      </c>
      <c r="C48" s="237" t="s">
        <v>277</v>
      </c>
      <c r="D48" s="11" t="s">
        <v>300</v>
      </c>
      <c r="E48" s="12">
        <v>46238</v>
      </c>
      <c r="F48" s="12">
        <v>46238</v>
      </c>
      <c r="G48" s="239" t="s">
        <v>377</v>
      </c>
      <c r="H48" s="13"/>
      <c r="I48" s="8"/>
      <c r="J48" s="13"/>
      <c r="K48" s="13"/>
      <c r="L48" s="13"/>
      <c r="M48" s="13"/>
      <c r="N48" s="13"/>
      <c r="O48" s="13"/>
      <c r="P48" s="13"/>
      <c r="Q48" s="13"/>
      <c r="R48" t="str">
        <f t="shared" si="0"/>
        <v>E8 Model Quality</v>
      </c>
    </row>
    <row r="49" spans="1:18" x14ac:dyDescent="0.55000000000000004">
      <c r="A49" s="4"/>
      <c r="B49" s="4" t="s">
        <v>378</v>
      </c>
      <c r="C49" s="237" t="s">
        <v>277</v>
      </c>
      <c r="D49" s="6" t="s">
        <v>300</v>
      </c>
      <c r="E49" s="7">
        <v>46238</v>
      </c>
      <c r="F49" s="7">
        <v>46238</v>
      </c>
      <c r="G49" s="238" t="s">
        <v>379</v>
      </c>
      <c r="H49" s="9"/>
      <c r="I49" s="8"/>
      <c r="J49" s="9"/>
      <c r="K49" s="9"/>
      <c r="L49" s="9"/>
      <c r="M49" s="9"/>
      <c r="N49" s="9"/>
      <c r="O49" s="9"/>
      <c r="P49" s="9"/>
      <c r="Q49" s="9"/>
      <c r="R49" t="str">
        <f t="shared" si="0"/>
        <v>E8 Model Quality</v>
      </c>
    </row>
    <row r="50" spans="1:18" x14ac:dyDescent="0.55000000000000004">
      <c r="A50" s="10"/>
      <c r="B50" s="10" t="s">
        <v>380</v>
      </c>
      <c r="C50" s="237" t="s">
        <v>277</v>
      </c>
      <c r="D50" s="11" t="s">
        <v>300</v>
      </c>
      <c r="E50" s="12">
        <v>46238</v>
      </c>
      <c r="F50" s="12">
        <v>46238</v>
      </c>
      <c r="G50" s="239" t="s">
        <v>381</v>
      </c>
      <c r="H50" s="13"/>
      <c r="I50" s="8"/>
      <c r="J50" s="13"/>
      <c r="K50" s="13"/>
      <c r="L50" s="13"/>
      <c r="M50" s="13"/>
      <c r="N50" s="13"/>
      <c r="O50" s="13"/>
      <c r="P50" s="13"/>
      <c r="Q50" s="13"/>
      <c r="R50" t="str">
        <f t="shared" si="0"/>
        <v>E8 Model Quality</v>
      </c>
    </row>
    <row r="51" spans="1:18" x14ac:dyDescent="0.55000000000000004">
      <c r="A51" s="4"/>
      <c r="B51" s="4" t="s">
        <v>382</v>
      </c>
      <c r="C51" s="17" t="s">
        <v>16</v>
      </c>
      <c r="D51" s="6" t="s">
        <v>300</v>
      </c>
      <c r="E51" s="7">
        <v>46239</v>
      </c>
      <c r="F51" s="7">
        <v>46242</v>
      </c>
      <c r="G51" s="238" t="s">
        <v>383</v>
      </c>
      <c r="H51" s="9"/>
      <c r="I51" s="18"/>
      <c r="J51" s="9"/>
      <c r="K51" s="9"/>
      <c r="L51" s="9"/>
      <c r="M51" s="9"/>
      <c r="N51" s="9"/>
      <c r="O51" s="9"/>
      <c r="P51" s="9"/>
      <c r="Q51" s="9"/>
      <c r="R51" t="str">
        <f t="shared" si="0"/>
        <v>E8 Model Quality</v>
      </c>
    </row>
    <row r="52" spans="1:18" ht="21" customHeight="1" x14ac:dyDescent="0.55000000000000004">
      <c r="A52" s="14" t="s">
        <v>384</v>
      </c>
      <c r="B52" s="10" t="s">
        <v>385</v>
      </c>
      <c r="C52" s="237" t="s">
        <v>277</v>
      </c>
      <c r="D52" s="11" t="s">
        <v>288</v>
      </c>
      <c r="E52" s="12">
        <v>46244</v>
      </c>
      <c r="F52" s="12">
        <v>46245</v>
      </c>
      <c r="G52" s="239" t="s">
        <v>386</v>
      </c>
      <c r="H52" s="13"/>
      <c r="I52" s="13"/>
      <c r="J52" s="18"/>
      <c r="K52" s="13"/>
      <c r="L52" s="13"/>
      <c r="M52" s="13"/>
      <c r="N52" s="13"/>
      <c r="O52" s="13"/>
      <c r="P52" s="13"/>
      <c r="Q52" s="13"/>
      <c r="R52" t="str">
        <f t="shared" si="0"/>
        <v>E9 Data Ops</v>
      </c>
    </row>
    <row r="53" spans="1:18" x14ac:dyDescent="0.55000000000000004">
      <c r="A53" s="4"/>
      <c r="B53" s="4" t="s">
        <v>387</v>
      </c>
      <c r="C53" s="17" t="s">
        <v>16</v>
      </c>
      <c r="D53" s="6" t="s">
        <v>288</v>
      </c>
      <c r="E53" s="7">
        <v>46239</v>
      </c>
      <c r="F53" s="7">
        <v>46240</v>
      </c>
      <c r="G53" s="238" t="s">
        <v>388</v>
      </c>
      <c r="H53" s="9"/>
      <c r="I53" s="18"/>
      <c r="J53" s="9"/>
      <c r="K53" s="9"/>
      <c r="L53" s="9"/>
      <c r="M53" s="9"/>
      <c r="N53" s="9"/>
      <c r="O53" s="9"/>
      <c r="P53" s="9"/>
      <c r="Q53" s="9"/>
      <c r="R53" t="str">
        <f t="shared" si="0"/>
        <v>E9 Data Ops</v>
      </c>
    </row>
    <row r="54" spans="1:18" x14ac:dyDescent="0.55000000000000004">
      <c r="A54" s="10"/>
      <c r="B54" s="10" t="s">
        <v>389</v>
      </c>
      <c r="C54" s="237" t="s">
        <v>277</v>
      </c>
      <c r="D54" s="11" t="s">
        <v>288</v>
      </c>
      <c r="E54" s="12">
        <v>46255</v>
      </c>
      <c r="F54" s="12">
        <v>46255</v>
      </c>
      <c r="G54" s="239" t="s">
        <v>390</v>
      </c>
      <c r="H54" s="13"/>
      <c r="I54" s="13"/>
      <c r="J54" s="13"/>
      <c r="K54" s="20" t="s">
        <v>373</v>
      </c>
      <c r="L54" s="13"/>
      <c r="M54" s="13"/>
      <c r="N54" s="13"/>
      <c r="O54" s="13"/>
      <c r="P54" s="13"/>
      <c r="Q54" s="13"/>
      <c r="R54" t="str">
        <f t="shared" si="0"/>
        <v>E9 Data Ops</v>
      </c>
    </row>
    <row r="55" spans="1:18" x14ac:dyDescent="0.55000000000000004">
      <c r="A55" s="4"/>
      <c r="B55" s="4" t="s">
        <v>391</v>
      </c>
      <c r="C55" s="19" t="s">
        <v>392</v>
      </c>
      <c r="D55" s="6" t="s">
        <v>288</v>
      </c>
      <c r="E55" s="7">
        <v>46255</v>
      </c>
      <c r="F55" s="7">
        <v>46255</v>
      </c>
      <c r="G55" s="238" t="s">
        <v>393</v>
      </c>
      <c r="H55" s="9"/>
      <c r="I55" s="9"/>
      <c r="J55" s="9"/>
      <c r="K55" s="20" t="s">
        <v>373</v>
      </c>
      <c r="L55" s="9"/>
      <c r="M55" s="9"/>
      <c r="N55" s="9"/>
      <c r="O55" s="9"/>
      <c r="P55" s="9"/>
      <c r="Q55" s="9"/>
      <c r="R55" t="str">
        <f t="shared" si="0"/>
        <v>E9 Data Ops</v>
      </c>
    </row>
    <row r="56" spans="1:18" x14ac:dyDescent="0.55000000000000004">
      <c r="A56" s="10"/>
      <c r="B56" s="10" t="s">
        <v>97</v>
      </c>
      <c r="C56" s="19" t="s">
        <v>392</v>
      </c>
      <c r="D56" s="11" t="s">
        <v>288</v>
      </c>
      <c r="E56" s="12">
        <v>46263</v>
      </c>
      <c r="F56" s="12">
        <v>46263</v>
      </c>
      <c r="G56" s="239" t="s">
        <v>394</v>
      </c>
      <c r="H56" s="13"/>
      <c r="I56" s="13"/>
      <c r="J56" s="13"/>
      <c r="K56" s="13"/>
      <c r="L56" s="20" t="s">
        <v>373</v>
      </c>
      <c r="M56" s="13"/>
      <c r="N56" s="13"/>
      <c r="O56" s="13"/>
      <c r="P56" s="13"/>
      <c r="Q56" s="13"/>
      <c r="R56" t="str">
        <f t="shared" si="0"/>
        <v>E9 Data Ops</v>
      </c>
    </row>
    <row r="57" spans="1:18" ht="21" customHeight="1" x14ac:dyDescent="0.55000000000000004">
      <c r="A57" s="4"/>
      <c r="B57" s="4" t="s">
        <v>395</v>
      </c>
      <c r="C57" s="237" t="s">
        <v>277</v>
      </c>
      <c r="D57" s="6" t="s">
        <v>330</v>
      </c>
      <c r="E57" s="7">
        <v>46238</v>
      </c>
      <c r="F57" s="7">
        <v>46238</v>
      </c>
      <c r="G57" s="238" t="s">
        <v>396</v>
      </c>
      <c r="H57" s="9"/>
      <c r="I57" s="18"/>
      <c r="J57" s="9"/>
      <c r="K57" s="9"/>
      <c r="L57" s="9"/>
      <c r="M57" s="9"/>
      <c r="N57" s="9"/>
      <c r="O57" s="9"/>
      <c r="P57" s="9"/>
      <c r="Q57" s="9"/>
      <c r="R57" t="str">
        <f t="shared" si="0"/>
        <v>E9 Data Ops</v>
      </c>
    </row>
    <row r="58" spans="1:18" x14ac:dyDescent="0.55000000000000004">
      <c r="A58" s="10"/>
      <c r="B58" s="10" t="s">
        <v>397</v>
      </c>
      <c r="C58" s="21" t="s">
        <v>398</v>
      </c>
      <c r="D58" s="11" t="s">
        <v>300</v>
      </c>
      <c r="E58" s="12">
        <v>46246</v>
      </c>
      <c r="F58" s="12">
        <v>46249</v>
      </c>
      <c r="G58" s="239" t="s">
        <v>399</v>
      </c>
      <c r="H58" s="13"/>
      <c r="I58" s="13"/>
      <c r="J58" s="22"/>
      <c r="K58" s="13"/>
      <c r="L58" s="13"/>
      <c r="M58" s="13"/>
      <c r="N58" s="13"/>
      <c r="O58" s="13"/>
      <c r="P58" s="13"/>
      <c r="Q58" s="13"/>
      <c r="R58" t="str">
        <f t="shared" si="0"/>
        <v>E9 Data Ops</v>
      </c>
    </row>
    <row r="59" spans="1:18" ht="21" customHeight="1" x14ac:dyDescent="0.55000000000000004">
      <c r="A59" s="4"/>
      <c r="B59" s="4" t="s">
        <v>400</v>
      </c>
      <c r="C59" s="237" t="s">
        <v>277</v>
      </c>
      <c r="D59" s="6" t="s">
        <v>288</v>
      </c>
      <c r="E59" s="7">
        <v>46249</v>
      </c>
      <c r="F59" s="7">
        <v>46252</v>
      </c>
      <c r="G59" s="238" t="s">
        <v>401</v>
      </c>
      <c r="H59" s="9"/>
      <c r="I59" s="9"/>
      <c r="J59" s="22"/>
      <c r="K59" s="22"/>
      <c r="L59" s="9"/>
      <c r="M59" s="9"/>
      <c r="N59" s="9"/>
      <c r="O59" s="9"/>
      <c r="P59" s="9"/>
      <c r="Q59" s="9"/>
      <c r="R59" t="str">
        <f t="shared" si="0"/>
        <v>E9 Data Ops</v>
      </c>
    </row>
    <row r="60" spans="1:18" x14ac:dyDescent="0.55000000000000004">
      <c r="A60" s="10"/>
      <c r="B60" s="10" t="s">
        <v>402</v>
      </c>
      <c r="C60" s="237" t="s">
        <v>277</v>
      </c>
      <c r="D60" s="11" t="s">
        <v>288</v>
      </c>
      <c r="E60" s="12">
        <v>46237</v>
      </c>
      <c r="F60" s="12">
        <v>46238</v>
      </c>
      <c r="G60" s="239" t="s">
        <v>403</v>
      </c>
      <c r="H60" s="13"/>
      <c r="I60" s="8"/>
      <c r="J60" s="13"/>
      <c r="K60" s="13"/>
      <c r="L60" s="13"/>
      <c r="M60" s="13"/>
      <c r="N60" s="13"/>
      <c r="O60" s="13"/>
      <c r="P60" s="13"/>
      <c r="Q60" s="13"/>
      <c r="R60" t="str">
        <f t="shared" si="0"/>
        <v>E9 Data Ops</v>
      </c>
    </row>
    <row r="61" spans="1:18" x14ac:dyDescent="0.55000000000000004">
      <c r="A61" s="4"/>
      <c r="B61" s="4" t="s">
        <v>404</v>
      </c>
      <c r="C61" s="237" t="s">
        <v>277</v>
      </c>
      <c r="D61" s="6" t="s">
        <v>330</v>
      </c>
      <c r="E61" s="7">
        <v>46237</v>
      </c>
      <c r="F61" s="7">
        <v>46238</v>
      </c>
      <c r="G61" s="238" t="s">
        <v>405</v>
      </c>
      <c r="H61" s="9"/>
      <c r="I61" s="8"/>
      <c r="J61" s="9"/>
      <c r="K61" s="9"/>
      <c r="L61" s="9"/>
      <c r="M61" s="9"/>
      <c r="N61" s="9"/>
      <c r="O61" s="9"/>
      <c r="P61" s="9"/>
      <c r="Q61" s="9"/>
      <c r="R61" t="str">
        <f t="shared" si="0"/>
        <v>E9 Data Ops</v>
      </c>
    </row>
    <row r="62" spans="1:18" x14ac:dyDescent="0.55000000000000004">
      <c r="A62" s="10"/>
      <c r="B62" s="10" t="s">
        <v>406</v>
      </c>
      <c r="C62" s="237" t="s">
        <v>277</v>
      </c>
      <c r="D62" s="11" t="s">
        <v>278</v>
      </c>
      <c r="E62" s="12">
        <v>46239</v>
      </c>
      <c r="F62" s="12">
        <v>46239</v>
      </c>
      <c r="G62" s="239" t="s">
        <v>407</v>
      </c>
      <c r="H62" s="13"/>
      <c r="I62" s="18"/>
      <c r="J62" s="13"/>
      <c r="K62" s="13"/>
      <c r="L62" s="13"/>
      <c r="M62" s="13"/>
      <c r="N62" s="13"/>
      <c r="O62" s="13"/>
      <c r="P62" s="13"/>
      <c r="Q62" s="13"/>
      <c r="R62" t="str">
        <f t="shared" si="0"/>
        <v>E9 Data Ops</v>
      </c>
    </row>
    <row r="63" spans="1:18" x14ac:dyDescent="0.55000000000000004">
      <c r="A63" s="4"/>
      <c r="B63" s="4" t="s">
        <v>408</v>
      </c>
      <c r="C63" s="237" t="s">
        <v>277</v>
      </c>
      <c r="D63" s="6" t="s">
        <v>278</v>
      </c>
      <c r="E63" s="7">
        <v>46239</v>
      </c>
      <c r="F63" s="7">
        <v>46240</v>
      </c>
      <c r="G63" s="238" t="s">
        <v>409</v>
      </c>
      <c r="H63" s="9"/>
      <c r="I63" s="18"/>
      <c r="J63" s="9"/>
      <c r="K63" s="9"/>
      <c r="L63" s="9"/>
      <c r="M63" s="9"/>
      <c r="N63" s="9"/>
      <c r="O63" s="9"/>
      <c r="P63" s="9"/>
      <c r="Q63" s="9"/>
      <c r="R63" t="str">
        <f t="shared" si="0"/>
        <v>E9 Data Ops</v>
      </c>
    </row>
    <row r="64" spans="1:18" x14ac:dyDescent="0.55000000000000004">
      <c r="A64" s="10"/>
      <c r="B64" s="10" t="s">
        <v>410</v>
      </c>
      <c r="C64" s="237" t="s">
        <v>277</v>
      </c>
      <c r="D64" s="11" t="s">
        <v>278</v>
      </c>
      <c r="E64" s="12">
        <v>46240</v>
      </c>
      <c r="F64" s="12">
        <v>46240</v>
      </c>
      <c r="G64" s="239" t="s">
        <v>411</v>
      </c>
      <c r="H64" s="13"/>
      <c r="I64" s="18"/>
      <c r="J64" s="13"/>
      <c r="K64" s="13"/>
      <c r="L64" s="13"/>
      <c r="M64" s="13"/>
      <c r="N64" s="13"/>
      <c r="O64" s="13"/>
      <c r="P64" s="13"/>
      <c r="Q64" s="13"/>
      <c r="R64" t="str">
        <f t="shared" si="0"/>
        <v>E9 Data Ops</v>
      </c>
    </row>
    <row r="65" spans="1:18" x14ac:dyDescent="0.55000000000000004">
      <c r="A65" s="4"/>
      <c r="B65" s="4" t="s">
        <v>412</v>
      </c>
      <c r="C65" s="19" t="s">
        <v>392</v>
      </c>
      <c r="D65" s="6" t="s">
        <v>413</v>
      </c>
      <c r="E65" s="7">
        <v>46246</v>
      </c>
      <c r="F65" s="7">
        <v>46246</v>
      </c>
      <c r="G65" s="238" t="s">
        <v>414</v>
      </c>
      <c r="H65" s="9"/>
      <c r="I65" s="9"/>
      <c r="J65" s="20" t="s">
        <v>373</v>
      </c>
      <c r="K65" s="9"/>
      <c r="L65" s="9"/>
      <c r="M65" s="9"/>
      <c r="N65" s="9"/>
      <c r="O65" s="9"/>
      <c r="P65" s="9"/>
      <c r="Q65" s="9"/>
      <c r="R65" t="str">
        <f t="shared" si="0"/>
        <v>E9 Data Ops</v>
      </c>
    </row>
    <row r="66" spans="1:18" x14ac:dyDescent="0.55000000000000004">
      <c r="A66" s="14" t="s">
        <v>415</v>
      </c>
      <c r="B66" s="10" t="s">
        <v>416</v>
      </c>
      <c r="C66" s="237" t="s">
        <v>277</v>
      </c>
      <c r="D66" s="11" t="s">
        <v>278</v>
      </c>
      <c r="E66" s="12">
        <v>46245</v>
      </c>
      <c r="F66" s="12">
        <v>46245</v>
      </c>
      <c r="G66" s="239" t="s">
        <v>417</v>
      </c>
      <c r="H66" s="13"/>
      <c r="I66" s="13"/>
      <c r="J66" s="18"/>
      <c r="K66" s="13"/>
      <c r="L66" s="13"/>
      <c r="M66" s="13"/>
      <c r="N66" s="13"/>
      <c r="O66" s="13"/>
      <c r="P66" s="13"/>
      <c r="Q66" s="13"/>
      <c r="R66" t="str">
        <f t="shared" si="0"/>
        <v>E10 Deploy</v>
      </c>
    </row>
    <row r="67" spans="1:18" x14ac:dyDescent="0.55000000000000004">
      <c r="A67" s="4"/>
      <c r="B67" s="4" t="s">
        <v>418</v>
      </c>
      <c r="C67" s="237" t="s">
        <v>277</v>
      </c>
      <c r="D67" s="6" t="s">
        <v>278</v>
      </c>
      <c r="E67" s="7">
        <v>46245</v>
      </c>
      <c r="F67" s="7">
        <v>46248</v>
      </c>
      <c r="G67" s="238" t="s">
        <v>419</v>
      </c>
      <c r="H67" s="9"/>
      <c r="I67" s="9"/>
      <c r="J67" s="18"/>
      <c r="K67" s="9"/>
      <c r="L67" s="9"/>
      <c r="M67" s="9"/>
      <c r="N67" s="9"/>
      <c r="O67" s="9"/>
      <c r="P67" s="9"/>
      <c r="Q67" s="9"/>
      <c r="R67" t="str">
        <f t="shared" si="0"/>
        <v>E10 Deploy</v>
      </c>
    </row>
    <row r="68" spans="1:18" ht="21" customHeight="1" x14ac:dyDescent="0.55000000000000004">
      <c r="A68" s="10"/>
      <c r="B68" s="10" t="s">
        <v>420</v>
      </c>
      <c r="C68" s="237" t="s">
        <v>277</v>
      </c>
      <c r="D68" s="11" t="s">
        <v>278</v>
      </c>
      <c r="E68" s="12">
        <v>46247</v>
      </c>
      <c r="F68" s="12">
        <v>46249</v>
      </c>
      <c r="G68" s="239" t="s">
        <v>421</v>
      </c>
      <c r="H68" s="13"/>
      <c r="I68" s="13"/>
      <c r="J68" s="18"/>
      <c r="K68" s="13"/>
      <c r="L68" s="13"/>
      <c r="M68" s="13"/>
      <c r="N68" s="13"/>
      <c r="O68" s="13"/>
      <c r="P68" s="13"/>
      <c r="Q68" s="13"/>
      <c r="R68" t="str">
        <f t="shared" si="0"/>
        <v>E10 Deploy</v>
      </c>
    </row>
    <row r="69" spans="1:18" ht="31.5" customHeight="1" x14ac:dyDescent="0.55000000000000004">
      <c r="A69" s="4"/>
      <c r="B69" s="4" t="s">
        <v>422</v>
      </c>
      <c r="C69" s="237" t="s">
        <v>277</v>
      </c>
      <c r="D69" s="6" t="s">
        <v>278</v>
      </c>
      <c r="E69" s="7">
        <v>46248</v>
      </c>
      <c r="F69" s="7">
        <v>46252</v>
      </c>
      <c r="G69" s="238" t="s">
        <v>423</v>
      </c>
      <c r="H69" s="9"/>
      <c r="I69" s="9"/>
      <c r="J69" s="18"/>
      <c r="K69" s="18"/>
      <c r="L69" s="9"/>
      <c r="M69" s="9"/>
      <c r="N69" s="9"/>
      <c r="O69" s="9"/>
      <c r="P69" s="9"/>
      <c r="Q69" s="9"/>
      <c r="R69" t="str">
        <f t="shared" ref="R69:R132" si="1">IF($A69&lt;&gt;"",$A69,R68)</f>
        <v>E10 Deploy</v>
      </c>
    </row>
    <row r="70" spans="1:18" x14ac:dyDescent="0.55000000000000004">
      <c r="A70" s="10"/>
      <c r="B70" s="10" t="s">
        <v>424</v>
      </c>
      <c r="C70" s="237" t="s">
        <v>277</v>
      </c>
      <c r="D70" s="11" t="s">
        <v>278</v>
      </c>
      <c r="E70" s="12">
        <v>46251</v>
      </c>
      <c r="F70" s="12">
        <v>46255</v>
      </c>
      <c r="G70" s="239" t="s">
        <v>425</v>
      </c>
      <c r="H70" s="13"/>
      <c r="I70" s="13"/>
      <c r="J70" s="13"/>
      <c r="K70" s="18"/>
      <c r="L70" s="13"/>
      <c r="M70" s="13"/>
      <c r="N70" s="13"/>
      <c r="O70" s="13"/>
      <c r="P70" s="13"/>
      <c r="Q70" s="13"/>
      <c r="R70" t="str">
        <f t="shared" si="1"/>
        <v>E10 Deploy</v>
      </c>
    </row>
    <row r="71" spans="1:18" x14ac:dyDescent="0.55000000000000004">
      <c r="A71" s="4"/>
      <c r="B71" s="4" t="s">
        <v>426</v>
      </c>
      <c r="C71" s="237" t="s">
        <v>277</v>
      </c>
      <c r="D71" s="6" t="s">
        <v>330</v>
      </c>
      <c r="E71" s="7">
        <v>46252</v>
      </c>
      <c r="F71" s="7">
        <v>46255</v>
      </c>
      <c r="G71" s="238" t="s">
        <v>427</v>
      </c>
      <c r="H71" s="9"/>
      <c r="I71" s="9"/>
      <c r="J71" s="9"/>
      <c r="K71" s="18"/>
      <c r="L71" s="9"/>
      <c r="M71" s="9"/>
      <c r="N71" s="9"/>
      <c r="O71" s="9"/>
      <c r="P71" s="9"/>
      <c r="Q71" s="9"/>
      <c r="R71" t="str">
        <f t="shared" si="1"/>
        <v>E10 Deploy</v>
      </c>
    </row>
    <row r="72" spans="1:18" x14ac:dyDescent="0.55000000000000004">
      <c r="A72" s="10"/>
      <c r="B72" s="10" t="s">
        <v>428</v>
      </c>
      <c r="C72" s="237" t="s">
        <v>277</v>
      </c>
      <c r="D72" s="11" t="s">
        <v>340</v>
      </c>
      <c r="E72" s="12">
        <v>46253</v>
      </c>
      <c r="F72" s="12">
        <v>46258</v>
      </c>
      <c r="G72" s="239" t="s">
        <v>429</v>
      </c>
      <c r="H72" s="13"/>
      <c r="I72" s="13"/>
      <c r="J72" s="13"/>
      <c r="K72" s="18"/>
      <c r="L72" s="18"/>
      <c r="M72" s="13"/>
      <c r="N72" s="13"/>
      <c r="O72" s="13"/>
      <c r="P72" s="13"/>
      <c r="Q72" s="13"/>
      <c r="R72" t="str">
        <f t="shared" si="1"/>
        <v>E10 Deploy</v>
      </c>
    </row>
    <row r="73" spans="1:18" ht="21" customHeight="1" x14ac:dyDescent="0.55000000000000004">
      <c r="A73" s="4"/>
      <c r="B73" s="4" t="s">
        <v>430</v>
      </c>
      <c r="C73" s="237" t="s">
        <v>277</v>
      </c>
      <c r="D73" s="6" t="s">
        <v>340</v>
      </c>
      <c r="E73" s="7">
        <v>46258</v>
      </c>
      <c r="F73" s="7">
        <v>46261</v>
      </c>
      <c r="G73" s="238" t="s">
        <v>431</v>
      </c>
      <c r="H73" s="9"/>
      <c r="I73" s="9"/>
      <c r="J73" s="9"/>
      <c r="K73" s="9"/>
      <c r="L73" s="18"/>
      <c r="M73" s="9"/>
      <c r="N73" s="9"/>
      <c r="O73" s="9"/>
      <c r="P73" s="9"/>
      <c r="Q73" s="9"/>
      <c r="R73" t="str">
        <f t="shared" si="1"/>
        <v>E10 Deploy</v>
      </c>
    </row>
    <row r="74" spans="1:18" x14ac:dyDescent="0.55000000000000004">
      <c r="A74" s="10"/>
      <c r="B74" s="10" t="s">
        <v>432</v>
      </c>
      <c r="C74" s="17" t="s">
        <v>16</v>
      </c>
      <c r="D74" s="11" t="s">
        <v>340</v>
      </c>
      <c r="E74" s="12">
        <v>46259</v>
      </c>
      <c r="F74" s="12">
        <v>46261</v>
      </c>
      <c r="G74" s="239" t="s">
        <v>433</v>
      </c>
      <c r="H74" s="13"/>
      <c r="I74" s="13"/>
      <c r="J74" s="13"/>
      <c r="K74" s="13"/>
      <c r="L74" s="18"/>
      <c r="M74" s="13"/>
      <c r="N74" s="13"/>
      <c r="O74" s="13"/>
      <c r="P74" s="13"/>
      <c r="Q74" s="13"/>
      <c r="R74" t="str">
        <f t="shared" si="1"/>
        <v>E10 Deploy</v>
      </c>
    </row>
    <row r="75" spans="1:18" ht="21" customHeight="1" x14ac:dyDescent="0.55000000000000004">
      <c r="A75" s="4"/>
      <c r="B75" s="4" t="s">
        <v>434</v>
      </c>
      <c r="C75" s="237" t="s">
        <v>277</v>
      </c>
      <c r="D75" s="6" t="s">
        <v>278</v>
      </c>
      <c r="E75" s="7">
        <v>46269</v>
      </c>
      <c r="F75" s="7">
        <v>46269</v>
      </c>
      <c r="G75" s="238" t="s">
        <v>435</v>
      </c>
      <c r="H75" s="9"/>
      <c r="I75" s="9"/>
      <c r="J75" s="9"/>
      <c r="K75" s="9"/>
      <c r="L75" s="9"/>
      <c r="M75" s="20" t="s">
        <v>373</v>
      </c>
      <c r="N75" s="9"/>
      <c r="O75" s="9"/>
      <c r="P75" s="9"/>
      <c r="Q75" s="9"/>
      <c r="R75" t="str">
        <f t="shared" si="1"/>
        <v>E10 Deploy</v>
      </c>
    </row>
    <row r="76" spans="1:18" x14ac:dyDescent="0.55000000000000004">
      <c r="A76" s="10"/>
      <c r="B76" s="10" t="s">
        <v>436</v>
      </c>
      <c r="C76" s="17" t="s">
        <v>16</v>
      </c>
      <c r="D76" s="11" t="s">
        <v>413</v>
      </c>
      <c r="E76" s="12">
        <v>46272</v>
      </c>
      <c r="F76" s="12">
        <v>46283</v>
      </c>
      <c r="G76" s="239" t="s">
        <v>437</v>
      </c>
      <c r="H76" s="13"/>
      <c r="I76" s="13"/>
      <c r="J76" s="13"/>
      <c r="K76" s="13"/>
      <c r="L76" s="13"/>
      <c r="M76" s="13"/>
      <c r="N76" s="18"/>
      <c r="O76" s="18"/>
      <c r="P76" s="13"/>
      <c r="Q76" s="13"/>
      <c r="R76" t="str">
        <f t="shared" si="1"/>
        <v>E10 Deploy</v>
      </c>
    </row>
    <row r="77" spans="1:18" x14ac:dyDescent="0.55000000000000004">
      <c r="A77" s="4"/>
      <c r="B77" s="4" t="s">
        <v>438</v>
      </c>
      <c r="C77" s="19" t="s">
        <v>392</v>
      </c>
      <c r="D77" s="6" t="s">
        <v>413</v>
      </c>
      <c r="E77" s="7">
        <v>46290</v>
      </c>
      <c r="F77" s="7">
        <v>46290</v>
      </c>
      <c r="G77" s="238" t="s">
        <v>439</v>
      </c>
      <c r="H77" s="9"/>
      <c r="I77" s="9"/>
      <c r="J77" s="9"/>
      <c r="K77" s="9"/>
      <c r="L77" s="9"/>
      <c r="M77" s="9"/>
      <c r="N77" s="9"/>
      <c r="O77" s="9"/>
      <c r="P77" s="20" t="s">
        <v>373</v>
      </c>
      <c r="Q77" s="9"/>
      <c r="R77" t="str">
        <f t="shared" si="1"/>
        <v>E10 Deploy</v>
      </c>
    </row>
    <row r="78" spans="1:18" x14ac:dyDescent="0.55000000000000004">
      <c r="A78" s="10"/>
      <c r="B78" s="10" t="s">
        <v>440</v>
      </c>
      <c r="C78" s="237" t="s">
        <v>277</v>
      </c>
      <c r="D78" s="11" t="s">
        <v>278</v>
      </c>
      <c r="E78" s="12">
        <v>46237</v>
      </c>
      <c r="F78" s="12">
        <v>46237</v>
      </c>
      <c r="G78" s="239" t="s">
        <v>441</v>
      </c>
      <c r="H78" s="13"/>
      <c r="I78" s="8"/>
      <c r="J78" s="13"/>
      <c r="K78" s="13"/>
      <c r="L78" s="13"/>
      <c r="M78" s="13"/>
      <c r="N78" s="13"/>
      <c r="O78" s="13"/>
      <c r="P78" s="13"/>
      <c r="Q78" s="13"/>
      <c r="R78" t="str">
        <f t="shared" si="1"/>
        <v>E10 Deploy</v>
      </c>
    </row>
    <row r="79" spans="1:18" x14ac:dyDescent="0.55000000000000004">
      <c r="A79" s="4"/>
      <c r="B79" s="4" t="s">
        <v>442</v>
      </c>
      <c r="C79" s="237" t="s">
        <v>277</v>
      </c>
      <c r="D79" s="6" t="s">
        <v>413</v>
      </c>
      <c r="E79" s="7">
        <v>46237</v>
      </c>
      <c r="F79" s="7">
        <v>46238</v>
      </c>
      <c r="G79" s="238" t="s">
        <v>443</v>
      </c>
      <c r="H79" s="9"/>
      <c r="I79" s="8"/>
      <c r="J79" s="9"/>
      <c r="K79" s="9"/>
      <c r="L79" s="9"/>
      <c r="M79" s="9"/>
      <c r="N79" s="9"/>
      <c r="O79" s="9"/>
      <c r="P79" s="9"/>
      <c r="Q79" s="9"/>
      <c r="R79" t="str">
        <f t="shared" si="1"/>
        <v>E10 Deploy</v>
      </c>
    </row>
    <row r="80" spans="1:18" x14ac:dyDescent="0.55000000000000004">
      <c r="A80" s="14" t="s">
        <v>444</v>
      </c>
      <c r="B80" s="10" t="s">
        <v>445</v>
      </c>
      <c r="C80" s="237" t="s">
        <v>277</v>
      </c>
      <c r="D80" s="11" t="s">
        <v>278</v>
      </c>
      <c r="E80" s="12">
        <v>46238</v>
      </c>
      <c r="F80" s="12">
        <v>46238</v>
      </c>
      <c r="G80" s="239" t="s">
        <v>446</v>
      </c>
      <c r="H80" s="13"/>
      <c r="I80" s="8"/>
      <c r="J80" s="13"/>
      <c r="K80" s="13"/>
      <c r="L80" s="13"/>
      <c r="M80" s="13"/>
      <c r="N80" s="13"/>
      <c r="O80" s="13"/>
      <c r="P80" s="13"/>
      <c r="Q80" s="13"/>
      <c r="R80" t="str">
        <f t="shared" si="1"/>
        <v>E11 Ops Resilience</v>
      </c>
    </row>
    <row r="81" spans="1:18" x14ac:dyDescent="0.55000000000000004">
      <c r="A81" s="4"/>
      <c r="B81" s="4" t="s">
        <v>447</v>
      </c>
      <c r="C81" s="237" t="s">
        <v>277</v>
      </c>
      <c r="D81" s="6" t="s">
        <v>278</v>
      </c>
      <c r="E81" s="7">
        <v>46238</v>
      </c>
      <c r="F81" s="7">
        <v>46238</v>
      </c>
      <c r="G81" s="238" t="s">
        <v>448</v>
      </c>
      <c r="H81" s="9"/>
      <c r="I81" s="8"/>
      <c r="J81" s="9"/>
      <c r="K81" s="9"/>
      <c r="L81" s="9"/>
      <c r="M81" s="9"/>
      <c r="N81" s="9"/>
      <c r="O81" s="9"/>
      <c r="P81" s="9"/>
      <c r="Q81" s="9"/>
      <c r="R81" t="str">
        <f t="shared" si="1"/>
        <v>E11 Ops Resilience</v>
      </c>
    </row>
    <row r="82" spans="1:18" ht="21" customHeight="1" x14ac:dyDescent="0.55000000000000004">
      <c r="A82" s="10"/>
      <c r="B82" s="10" t="s">
        <v>449</v>
      </c>
      <c r="C82" s="237" t="s">
        <v>277</v>
      </c>
      <c r="D82" s="11" t="s">
        <v>278</v>
      </c>
      <c r="E82" s="12">
        <v>46246</v>
      </c>
      <c r="F82" s="12">
        <v>46247</v>
      </c>
      <c r="G82" s="239" t="s">
        <v>450</v>
      </c>
      <c r="H82" s="13"/>
      <c r="I82" s="13"/>
      <c r="J82" s="18"/>
      <c r="K82" s="13"/>
      <c r="L82" s="13"/>
      <c r="M82" s="13"/>
      <c r="N82" s="13"/>
      <c r="O82" s="13"/>
      <c r="P82" s="13"/>
      <c r="Q82" s="13"/>
      <c r="R82" t="str">
        <f t="shared" si="1"/>
        <v>E11 Ops Resilience</v>
      </c>
    </row>
    <row r="83" spans="1:18" x14ac:dyDescent="0.55000000000000004">
      <c r="A83" s="4"/>
      <c r="B83" s="4" t="s">
        <v>451</v>
      </c>
      <c r="C83" s="17" t="s">
        <v>16</v>
      </c>
      <c r="D83" s="6" t="s">
        <v>278</v>
      </c>
      <c r="E83" s="7">
        <v>46247</v>
      </c>
      <c r="F83" s="7">
        <v>46247</v>
      </c>
      <c r="G83" s="238" t="s">
        <v>452</v>
      </c>
      <c r="H83" s="9"/>
      <c r="I83" s="9"/>
      <c r="J83" s="18"/>
      <c r="K83" s="9"/>
      <c r="L83" s="9"/>
      <c r="M83" s="9"/>
      <c r="N83" s="9"/>
      <c r="O83" s="9"/>
      <c r="P83" s="9"/>
      <c r="Q83" s="9"/>
      <c r="R83" t="str">
        <f t="shared" si="1"/>
        <v>E11 Ops Resilience</v>
      </c>
    </row>
    <row r="84" spans="1:18" x14ac:dyDescent="0.55000000000000004">
      <c r="A84" s="10"/>
      <c r="B84" s="10" t="s">
        <v>453</v>
      </c>
      <c r="C84" s="17" t="s">
        <v>16</v>
      </c>
      <c r="D84" s="11" t="s">
        <v>278</v>
      </c>
      <c r="E84" s="12">
        <v>46248</v>
      </c>
      <c r="F84" s="12">
        <v>46252</v>
      </c>
      <c r="G84" s="239" t="s">
        <v>454</v>
      </c>
      <c r="H84" s="13"/>
      <c r="I84" s="13"/>
      <c r="J84" s="18"/>
      <c r="K84" s="18"/>
      <c r="L84" s="13"/>
      <c r="M84" s="13"/>
      <c r="N84" s="13"/>
      <c r="O84" s="13"/>
      <c r="P84" s="13"/>
      <c r="Q84" s="13"/>
      <c r="R84" t="str">
        <f t="shared" si="1"/>
        <v>E11 Ops Resilience</v>
      </c>
    </row>
    <row r="85" spans="1:18" x14ac:dyDescent="0.55000000000000004">
      <c r="A85" s="4"/>
      <c r="B85" s="4" t="s">
        <v>455</v>
      </c>
      <c r="C85" s="17" t="s">
        <v>16</v>
      </c>
      <c r="D85" s="6" t="s">
        <v>278</v>
      </c>
      <c r="E85" s="7">
        <v>46253</v>
      </c>
      <c r="F85" s="7">
        <v>46254</v>
      </c>
      <c r="G85" s="238" t="s">
        <v>456</v>
      </c>
      <c r="H85" s="9"/>
      <c r="I85" s="9"/>
      <c r="J85" s="9"/>
      <c r="K85" s="18"/>
      <c r="L85" s="9"/>
      <c r="M85" s="9"/>
      <c r="N85" s="9"/>
      <c r="O85" s="9"/>
      <c r="P85" s="9"/>
      <c r="Q85" s="9"/>
      <c r="R85" t="str">
        <f t="shared" si="1"/>
        <v>E11 Ops Resilience</v>
      </c>
    </row>
    <row r="86" spans="1:18" x14ac:dyDescent="0.55000000000000004">
      <c r="A86" s="14" t="s">
        <v>354</v>
      </c>
      <c r="B86" s="10" t="s">
        <v>457</v>
      </c>
      <c r="C86" s="237" t="s">
        <v>277</v>
      </c>
      <c r="D86" s="11" t="s">
        <v>300</v>
      </c>
      <c r="E86" s="12">
        <v>46238</v>
      </c>
      <c r="F86" s="12">
        <v>46238</v>
      </c>
      <c r="G86" s="239" t="s">
        <v>458</v>
      </c>
      <c r="H86" s="10"/>
      <c r="I86" s="37"/>
      <c r="J86" s="10"/>
      <c r="K86" s="10"/>
      <c r="L86" s="10"/>
      <c r="M86" s="10"/>
      <c r="N86" s="10"/>
      <c r="O86" s="10"/>
      <c r="P86" s="10"/>
      <c r="Q86" s="10"/>
      <c r="R86" t="str">
        <f t="shared" si="1"/>
        <v>E8 Model Quality</v>
      </c>
    </row>
    <row r="87" spans="1:18" x14ac:dyDescent="0.55000000000000004">
      <c r="A87" s="3" t="s">
        <v>354</v>
      </c>
      <c r="B87" s="4" t="s">
        <v>459</v>
      </c>
      <c r="C87" s="237" t="s">
        <v>277</v>
      </c>
      <c r="D87" s="6" t="s">
        <v>300</v>
      </c>
      <c r="E87" s="7">
        <v>46238</v>
      </c>
      <c r="F87" s="7">
        <v>46238</v>
      </c>
      <c r="G87" s="238" t="s">
        <v>460</v>
      </c>
      <c r="H87" s="4"/>
      <c r="I87" s="37"/>
      <c r="J87" s="4"/>
      <c r="K87" s="4"/>
      <c r="L87" s="4"/>
      <c r="M87" s="4"/>
      <c r="N87" s="4"/>
      <c r="O87" s="4"/>
      <c r="P87" s="4"/>
      <c r="Q87" s="4"/>
      <c r="R87" t="str">
        <f t="shared" si="1"/>
        <v>E8 Model Quality</v>
      </c>
    </row>
    <row r="88" spans="1:18" x14ac:dyDescent="0.55000000000000004">
      <c r="A88" s="14" t="s">
        <v>354</v>
      </c>
      <c r="B88" s="10" t="s">
        <v>461</v>
      </c>
      <c r="C88" s="237" t="s">
        <v>277</v>
      </c>
      <c r="D88" s="11" t="s">
        <v>300</v>
      </c>
      <c r="E88" s="12">
        <v>46238</v>
      </c>
      <c r="F88" s="12">
        <v>46238</v>
      </c>
      <c r="G88" s="239" t="s">
        <v>462</v>
      </c>
      <c r="H88" s="10"/>
      <c r="I88" s="37"/>
      <c r="J88" s="10"/>
      <c r="K88" s="10"/>
      <c r="L88" s="10"/>
      <c r="M88" s="10"/>
      <c r="N88" s="10"/>
      <c r="O88" s="10"/>
      <c r="P88" s="10"/>
      <c r="Q88" s="10"/>
      <c r="R88" t="str">
        <f t="shared" si="1"/>
        <v>E8 Model Quality</v>
      </c>
    </row>
    <row r="89" spans="1:18" x14ac:dyDescent="0.55000000000000004">
      <c r="A89" s="3" t="s">
        <v>354</v>
      </c>
      <c r="B89" s="4" t="s">
        <v>463</v>
      </c>
      <c r="C89" s="237" t="s">
        <v>277</v>
      </c>
      <c r="D89" s="6" t="s">
        <v>300</v>
      </c>
      <c r="E89" s="7">
        <v>46238</v>
      </c>
      <c r="F89" s="7">
        <v>46238</v>
      </c>
      <c r="G89" s="238" t="s">
        <v>464</v>
      </c>
      <c r="H89" s="4"/>
      <c r="I89" s="37"/>
      <c r="J89" s="4"/>
      <c r="K89" s="4"/>
      <c r="L89" s="4"/>
      <c r="M89" s="4"/>
      <c r="N89" s="4"/>
      <c r="O89" s="4"/>
      <c r="P89" s="4"/>
      <c r="Q89" s="4"/>
      <c r="R89" t="str">
        <f t="shared" si="1"/>
        <v>E8 Model Quality</v>
      </c>
    </row>
    <row r="90" spans="1:18" x14ac:dyDescent="0.55000000000000004">
      <c r="A90" s="14" t="s">
        <v>354</v>
      </c>
      <c r="B90" s="10" t="s">
        <v>465</v>
      </c>
      <c r="C90" s="237" t="s">
        <v>277</v>
      </c>
      <c r="D90" s="11" t="s">
        <v>300</v>
      </c>
      <c r="E90" s="12">
        <v>46238</v>
      </c>
      <c r="F90" s="12">
        <v>46238</v>
      </c>
      <c r="G90" s="239" t="s">
        <v>466</v>
      </c>
      <c r="H90" s="10"/>
      <c r="I90" s="37"/>
      <c r="J90" s="10"/>
      <c r="K90" s="10"/>
      <c r="L90" s="10"/>
      <c r="M90" s="10"/>
      <c r="N90" s="10"/>
      <c r="O90" s="10"/>
      <c r="P90" s="10"/>
      <c r="Q90" s="10"/>
      <c r="R90" t="str">
        <f t="shared" si="1"/>
        <v>E8 Model Quality</v>
      </c>
    </row>
    <row r="91" spans="1:18" x14ac:dyDescent="0.55000000000000004">
      <c r="A91" s="3" t="s">
        <v>354</v>
      </c>
      <c r="B91" s="4" t="s">
        <v>467</v>
      </c>
      <c r="C91" s="237" t="s">
        <v>277</v>
      </c>
      <c r="D91" s="6" t="s">
        <v>300</v>
      </c>
      <c r="E91" s="7">
        <v>46238</v>
      </c>
      <c r="F91" s="7">
        <v>46238</v>
      </c>
      <c r="G91" s="238" t="s">
        <v>468</v>
      </c>
      <c r="H91" s="4"/>
      <c r="I91" s="37"/>
      <c r="J91" s="4"/>
      <c r="K91" s="4"/>
      <c r="L91" s="4"/>
      <c r="M91" s="4"/>
      <c r="N91" s="4"/>
      <c r="O91" s="4"/>
      <c r="P91" s="4"/>
      <c r="Q91" s="4"/>
      <c r="R91" t="str">
        <f t="shared" si="1"/>
        <v>E8 Model Quality</v>
      </c>
    </row>
    <row r="92" spans="1:18" x14ac:dyDescent="0.55000000000000004">
      <c r="A92" s="14" t="s">
        <v>444</v>
      </c>
      <c r="B92" s="10" t="s">
        <v>469</v>
      </c>
      <c r="C92" s="237" t="s">
        <v>277</v>
      </c>
      <c r="D92" s="11" t="s">
        <v>278</v>
      </c>
      <c r="E92" s="12">
        <v>46238</v>
      </c>
      <c r="F92" s="12">
        <v>46238</v>
      </c>
      <c r="G92" s="239" t="s">
        <v>470</v>
      </c>
      <c r="H92" s="10"/>
      <c r="I92" s="37"/>
      <c r="J92" s="10"/>
      <c r="K92" s="10"/>
      <c r="L92" s="10"/>
      <c r="M92" s="10"/>
      <c r="N92" s="10"/>
      <c r="O92" s="10"/>
      <c r="P92" s="10"/>
      <c r="Q92" s="10"/>
      <c r="R92" t="str">
        <f t="shared" si="1"/>
        <v>E11 Ops Resilience</v>
      </c>
    </row>
    <row r="93" spans="1:18" x14ac:dyDescent="0.55000000000000004">
      <c r="A93" s="3" t="s">
        <v>384</v>
      </c>
      <c r="B93" s="4" t="s">
        <v>471</v>
      </c>
      <c r="C93" s="17" t="s">
        <v>16</v>
      </c>
      <c r="D93" s="6" t="s">
        <v>330</v>
      </c>
      <c r="E93" s="7">
        <v>46239</v>
      </c>
      <c r="F93" s="7">
        <v>46239</v>
      </c>
      <c r="G93" s="238" t="s">
        <v>472</v>
      </c>
      <c r="H93" s="4"/>
      <c r="I93" s="39"/>
      <c r="J93" s="4"/>
      <c r="K93" s="4"/>
      <c r="L93" s="4"/>
      <c r="M93" s="4"/>
      <c r="N93" s="4"/>
      <c r="O93" s="4"/>
      <c r="P93" s="4"/>
      <c r="Q93" s="4"/>
      <c r="R93" t="str">
        <f t="shared" si="1"/>
        <v>E9 Data Ops</v>
      </c>
    </row>
    <row r="94" spans="1:18" x14ac:dyDescent="0.55000000000000004">
      <c r="A94" s="14" t="s">
        <v>384</v>
      </c>
      <c r="B94" s="10" t="s">
        <v>473</v>
      </c>
      <c r="C94" s="237" t="s">
        <v>277</v>
      </c>
      <c r="D94" s="11" t="s">
        <v>278</v>
      </c>
      <c r="E94" s="12">
        <v>46239</v>
      </c>
      <c r="F94" s="12">
        <v>46239</v>
      </c>
      <c r="G94" s="239" t="s">
        <v>474</v>
      </c>
      <c r="H94" s="10"/>
      <c r="I94" s="37"/>
      <c r="J94" s="10"/>
      <c r="K94" s="10"/>
      <c r="L94" s="10"/>
      <c r="M94" s="10"/>
      <c r="N94" s="10"/>
      <c r="O94" s="10"/>
      <c r="P94" s="10"/>
      <c r="Q94" s="10"/>
      <c r="R94" t="str">
        <f t="shared" si="1"/>
        <v>E9 Data Ops</v>
      </c>
    </row>
    <row r="95" spans="1:18" x14ac:dyDescent="0.55000000000000004">
      <c r="A95" s="3" t="s">
        <v>354</v>
      </c>
      <c r="B95" s="4" t="s">
        <v>475</v>
      </c>
      <c r="C95" s="17" t="s">
        <v>16</v>
      </c>
      <c r="D95" s="6" t="s">
        <v>288</v>
      </c>
      <c r="E95" s="7">
        <v>46240</v>
      </c>
      <c r="F95" s="7">
        <v>46240</v>
      </c>
      <c r="G95" s="238" t="s">
        <v>476</v>
      </c>
      <c r="H95" s="4"/>
      <c r="I95" s="39"/>
      <c r="J95" s="4"/>
      <c r="K95" s="4"/>
      <c r="L95" s="4"/>
      <c r="M95" s="4"/>
      <c r="N95" s="4"/>
      <c r="O95" s="4"/>
      <c r="P95" s="4"/>
      <c r="Q95" s="4"/>
      <c r="R95" t="str">
        <f t="shared" si="1"/>
        <v>E8 Model Quality</v>
      </c>
    </row>
    <row r="96" spans="1:18" x14ac:dyDescent="0.55000000000000004">
      <c r="A96" s="14" t="s">
        <v>354</v>
      </c>
      <c r="B96" s="10" t="s">
        <v>477</v>
      </c>
      <c r="C96" s="237" t="s">
        <v>277</v>
      </c>
      <c r="D96" s="11" t="s">
        <v>300</v>
      </c>
      <c r="E96" s="12">
        <v>46238</v>
      </c>
      <c r="F96" s="12">
        <v>46238</v>
      </c>
      <c r="G96" s="239" t="s">
        <v>478</v>
      </c>
      <c r="H96" s="10"/>
      <c r="I96" s="37"/>
      <c r="J96" s="10"/>
      <c r="K96" s="10"/>
      <c r="L96" s="10"/>
      <c r="M96" s="10"/>
      <c r="N96" s="10"/>
      <c r="O96" s="10"/>
      <c r="P96" s="10"/>
      <c r="Q96" s="10"/>
      <c r="R96" t="str">
        <f t="shared" si="1"/>
        <v>E8 Model Quality</v>
      </c>
    </row>
    <row r="97" spans="1:18" x14ac:dyDescent="0.55000000000000004">
      <c r="A97" s="3" t="s">
        <v>354</v>
      </c>
      <c r="B97" s="4" t="s">
        <v>479</v>
      </c>
      <c r="C97" s="237" t="s">
        <v>277</v>
      </c>
      <c r="D97" s="6" t="s">
        <v>288</v>
      </c>
      <c r="E97" s="7">
        <v>46238</v>
      </c>
      <c r="F97" s="7">
        <v>46238</v>
      </c>
      <c r="G97" s="238" t="s">
        <v>480</v>
      </c>
      <c r="H97" s="4"/>
      <c r="I97" s="37"/>
      <c r="J97" s="4"/>
      <c r="K97" s="4"/>
      <c r="L97" s="4"/>
      <c r="M97" s="4"/>
      <c r="N97" s="4"/>
      <c r="O97" s="4"/>
      <c r="P97" s="4"/>
      <c r="Q97" s="4"/>
      <c r="R97" t="str">
        <f t="shared" si="1"/>
        <v>E8 Model Quality</v>
      </c>
    </row>
    <row r="98" spans="1:18" x14ac:dyDescent="0.55000000000000004">
      <c r="A98" s="14" t="s">
        <v>354</v>
      </c>
      <c r="B98" s="10" t="s">
        <v>481</v>
      </c>
      <c r="C98" s="237" t="s">
        <v>277</v>
      </c>
      <c r="D98" s="11" t="s">
        <v>300</v>
      </c>
      <c r="E98" s="12">
        <v>46238</v>
      </c>
      <c r="F98" s="12">
        <v>46238</v>
      </c>
      <c r="G98" s="239" t="s">
        <v>482</v>
      </c>
      <c r="H98" s="10"/>
      <c r="I98" s="37"/>
      <c r="J98" s="10"/>
      <c r="K98" s="10"/>
      <c r="L98" s="10"/>
      <c r="M98" s="10"/>
      <c r="N98" s="10"/>
      <c r="O98" s="10"/>
      <c r="P98" s="10"/>
      <c r="Q98" s="10"/>
      <c r="R98" t="str">
        <f t="shared" si="1"/>
        <v>E8 Model Quality</v>
      </c>
    </row>
    <row r="99" spans="1:18" x14ac:dyDescent="0.55000000000000004">
      <c r="A99" s="3" t="s">
        <v>354</v>
      </c>
      <c r="B99" s="4" t="s">
        <v>483</v>
      </c>
      <c r="C99" s="237" t="s">
        <v>277</v>
      </c>
      <c r="D99" s="6" t="s">
        <v>288</v>
      </c>
      <c r="E99" s="7">
        <v>46238</v>
      </c>
      <c r="F99" s="7">
        <v>46239</v>
      </c>
      <c r="G99" s="238" t="s">
        <v>484</v>
      </c>
      <c r="H99" s="4"/>
      <c r="I99" s="38"/>
      <c r="J99" s="4"/>
      <c r="K99" s="4"/>
      <c r="L99" s="4"/>
      <c r="M99" s="4"/>
      <c r="N99" s="4"/>
      <c r="O99" s="4"/>
      <c r="P99" s="4"/>
      <c r="Q99" s="4"/>
      <c r="R99" t="str">
        <f t="shared" si="1"/>
        <v>E8 Model Quality</v>
      </c>
    </row>
    <row r="100" spans="1:18" x14ac:dyDescent="0.55000000000000004">
      <c r="A100" s="14" t="s">
        <v>354</v>
      </c>
      <c r="B100" s="10" t="s">
        <v>485</v>
      </c>
      <c r="C100" s="237" t="s">
        <v>277</v>
      </c>
      <c r="D100" s="11" t="s">
        <v>300</v>
      </c>
      <c r="E100" s="12">
        <v>46239</v>
      </c>
      <c r="F100" s="12">
        <v>46239</v>
      </c>
      <c r="G100" s="239" t="s">
        <v>486</v>
      </c>
      <c r="H100" s="10"/>
      <c r="I100" s="39"/>
      <c r="J100" s="10"/>
      <c r="K100" s="10"/>
      <c r="L100" s="10"/>
      <c r="M100" s="10"/>
      <c r="N100" s="10"/>
      <c r="O100" s="10"/>
      <c r="P100" s="10"/>
      <c r="Q100" s="10"/>
      <c r="R100" t="str">
        <f t="shared" si="1"/>
        <v>E8 Model Quality</v>
      </c>
    </row>
    <row r="101" spans="1:18" ht="21" customHeight="1" x14ac:dyDescent="0.55000000000000004">
      <c r="A101" s="3" t="s">
        <v>384</v>
      </c>
      <c r="B101" s="4" t="s">
        <v>487</v>
      </c>
      <c r="C101" s="237" t="s">
        <v>277</v>
      </c>
      <c r="D101" s="6" t="s">
        <v>288</v>
      </c>
      <c r="E101" s="7">
        <v>46246</v>
      </c>
      <c r="F101" s="7">
        <v>46248</v>
      </c>
      <c r="G101" s="238" t="s">
        <v>488</v>
      </c>
      <c r="H101" s="4"/>
      <c r="I101" s="4"/>
      <c r="J101" s="39"/>
      <c r="K101" s="4"/>
      <c r="L101" s="4"/>
      <c r="M101" s="4"/>
      <c r="N101" s="4"/>
      <c r="O101" s="4"/>
      <c r="P101" s="4"/>
      <c r="Q101" s="4"/>
      <c r="R101" t="str">
        <f t="shared" si="1"/>
        <v>E9 Data Ops</v>
      </c>
    </row>
    <row r="102" spans="1:18" x14ac:dyDescent="0.55000000000000004">
      <c r="A102" s="14" t="s">
        <v>384</v>
      </c>
      <c r="B102" s="10" t="s">
        <v>489</v>
      </c>
      <c r="C102" s="237" t="s">
        <v>277</v>
      </c>
      <c r="D102" s="11" t="s">
        <v>278</v>
      </c>
      <c r="E102" s="12">
        <v>46239</v>
      </c>
      <c r="F102" s="12">
        <v>46239</v>
      </c>
      <c r="G102" s="239" t="s">
        <v>490</v>
      </c>
      <c r="H102" s="10"/>
      <c r="I102" s="39"/>
      <c r="J102" s="10"/>
      <c r="K102" s="10"/>
      <c r="L102" s="10"/>
      <c r="M102" s="10"/>
      <c r="N102" s="10"/>
      <c r="O102" s="10"/>
      <c r="P102" s="10"/>
      <c r="Q102" s="10"/>
      <c r="R102" t="str">
        <f t="shared" si="1"/>
        <v>E9 Data Ops</v>
      </c>
    </row>
    <row r="103" spans="1:18" x14ac:dyDescent="0.55000000000000004">
      <c r="A103" s="3" t="s">
        <v>444</v>
      </c>
      <c r="B103" s="4" t="s">
        <v>491</v>
      </c>
      <c r="C103" s="237" t="s">
        <v>277</v>
      </c>
      <c r="D103" s="6" t="s">
        <v>278</v>
      </c>
      <c r="E103" s="7">
        <v>46238</v>
      </c>
      <c r="F103" s="7">
        <v>46238</v>
      </c>
      <c r="G103" s="238" t="s">
        <v>492</v>
      </c>
      <c r="H103" s="4"/>
      <c r="I103" s="37"/>
      <c r="J103" s="4"/>
      <c r="K103" s="4"/>
      <c r="L103" s="4"/>
      <c r="M103" s="4"/>
      <c r="N103" s="4"/>
      <c r="O103" s="4"/>
      <c r="P103" s="4"/>
      <c r="Q103" s="4"/>
      <c r="R103" t="str">
        <f t="shared" si="1"/>
        <v>E11 Ops Resilience</v>
      </c>
    </row>
    <row r="104" spans="1:18" x14ac:dyDescent="0.55000000000000004">
      <c r="A104" s="14" t="s">
        <v>317</v>
      </c>
      <c r="B104" s="10" t="s">
        <v>493</v>
      </c>
      <c r="C104" s="237" t="s">
        <v>277</v>
      </c>
      <c r="D104" s="11" t="s">
        <v>330</v>
      </c>
      <c r="E104" s="12">
        <v>46238</v>
      </c>
      <c r="F104" s="12">
        <v>46238</v>
      </c>
      <c r="G104" s="239" t="s">
        <v>494</v>
      </c>
      <c r="H104" s="10"/>
      <c r="I104" s="37"/>
      <c r="J104" s="10"/>
      <c r="K104" s="10"/>
      <c r="L104" s="10"/>
      <c r="M104" s="10"/>
      <c r="N104" s="10"/>
      <c r="O104" s="10"/>
      <c r="P104" s="10"/>
      <c r="Q104" s="10"/>
      <c r="R104" t="str">
        <f t="shared" si="1"/>
        <v>E5 ML Tennis</v>
      </c>
    </row>
    <row r="105" spans="1:18" x14ac:dyDescent="0.55000000000000004">
      <c r="A105" s="3" t="s">
        <v>317</v>
      </c>
      <c r="B105" s="4" t="s">
        <v>495</v>
      </c>
      <c r="C105" s="237" t="s">
        <v>277</v>
      </c>
      <c r="D105" s="6" t="s">
        <v>330</v>
      </c>
      <c r="E105" s="7">
        <v>46238</v>
      </c>
      <c r="F105" s="7">
        <v>46238</v>
      </c>
      <c r="G105" s="238" t="s">
        <v>496</v>
      </c>
      <c r="H105" s="4"/>
      <c r="I105" s="37"/>
      <c r="J105" s="4"/>
      <c r="K105" s="4"/>
      <c r="L105" s="4"/>
      <c r="M105" s="4"/>
      <c r="N105" s="4"/>
      <c r="O105" s="4"/>
      <c r="P105" s="4"/>
      <c r="Q105" s="4"/>
      <c r="R105" t="str">
        <f t="shared" si="1"/>
        <v>E5 ML Tennis</v>
      </c>
    </row>
    <row r="106" spans="1:18" x14ac:dyDescent="0.55000000000000004">
      <c r="A106" s="14" t="s">
        <v>384</v>
      </c>
      <c r="B106" s="10" t="s">
        <v>497</v>
      </c>
      <c r="C106" s="237" t="s">
        <v>277</v>
      </c>
      <c r="D106" s="11" t="s">
        <v>288</v>
      </c>
      <c r="E106" s="12">
        <v>46238</v>
      </c>
      <c r="F106" s="12">
        <v>46238</v>
      </c>
      <c r="G106" s="239" t="s">
        <v>498</v>
      </c>
      <c r="H106" s="10"/>
      <c r="I106" s="37"/>
      <c r="J106" s="10"/>
      <c r="K106" s="10"/>
      <c r="L106" s="10"/>
      <c r="M106" s="10"/>
      <c r="N106" s="10"/>
      <c r="O106" s="10"/>
      <c r="P106" s="10"/>
      <c r="Q106" s="10"/>
      <c r="R106" t="str">
        <f t="shared" si="1"/>
        <v>E9 Data Ops</v>
      </c>
    </row>
    <row r="107" spans="1:18" x14ac:dyDescent="0.55000000000000004">
      <c r="A107" s="3" t="s">
        <v>444</v>
      </c>
      <c r="B107" s="4" t="s">
        <v>499</v>
      </c>
      <c r="C107" s="237" t="s">
        <v>277</v>
      </c>
      <c r="D107" s="6" t="s">
        <v>278</v>
      </c>
      <c r="E107" s="7">
        <v>46238</v>
      </c>
      <c r="F107" s="7">
        <v>46238</v>
      </c>
      <c r="G107" s="238" t="s">
        <v>500</v>
      </c>
      <c r="H107" s="4"/>
      <c r="I107" s="37"/>
      <c r="J107" s="4"/>
      <c r="K107" s="4"/>
      <c r="L107" s="4"/>
      <c r="M107" s="4"/>
      <c r="N107" s="4"/>
      <c r="O107" s="4"/>
      <c r="P107" s="4"/>
      <c r="Q107" s="4"/>
      <c r="R107" t="str">
        <f t="shared" si="1"/>
        <v>E11 Ops Resilience</v>
      </c>
    </row>
    <row r="108" spans="1:18" x14ac:dyDescent="0.55000000000000004">
      <c r="A108" s="44" t="s">
        <v>415</v>
      </c>
      <c r="B108" s="45" t="s">
        <v>501</v>
      </c>
      <c r="C108" s="240" t="s">
        <v>277</v>
      </c>
      <c r="D108" s="46" t="s">
        <v>278</v>
      </c>
      <c r="E108" s="47">
        <v>46238</v>
      </c>
      <c r="F108" s="47">
        <v>46238</v>
      </c>
      <c r="G108" s="241" t="s">
        <v>502</v>
      </c>
      <c r="H108" s="45"/>
      <c r="I108" s="48"/>
      <c r="J108" s="45"/>
      <c r="K108" s="45"/>
      <c r="L108" s="45"/>
      <c r="M108" s="45"/>
      <c r="N108" s="45"/>
      <c r="O108" s="45"/>
      <c r="P108" s="45"/>
      <c r="Q108" s="45"/>
      <c r="R108" t="str">
        <f t="shared" si="1"/>
        <v>E10 Deploy</v>
      </c>
    </row>
    <row r="109" spans="1:18" x14ac:dyDescent="0.55000000000000004">
      <c r="A109" s="49" t="s">
        <v>415</v>
      </c>
      <c r="B109" s="50" t="s">
        <v>503</v>
      </c>
      <c r="C109" s="240" t="s">
        <v>277</v>
      </c>
      <c r="D109" s="51" t="s">
        <v>278</v>
      </c>
      <c r="E109" s="52">
        <v>46238</v>
      </c>
      <c r="F109" s="52">
        <v>46238</v>
      </c>
      <c r="G109" s="242" t="s">
        <v>504</v>
      </c>
      <c r="H109" s="50"/>
      <c r="I109" s="48"/>
      <c r="J109" s="50"/>
      <c r="K109" s="50"/>
      <c r="L109" s="50"/>
      <c r="M109" s="50"/>
      <c r="N109" s="50"/>
      <c r="O109" s="50"/>
      <c r="P109" s="50"/>
      <c r="Q109" s="50"/>
      <c r="R109" t="str">
        <f t="shared" si="1"/>
        <v>E10 Deploy</v>
      </c>
    </row>
    <row r="110" spans="1:18" x14ac:dyDescent="0.55000000000000004">
      <c r="A110" s="44" t="s">
        <v>415</v>
      </c>
      <c r="B110" s="45" t="s">
        <v>505</v>
      </c>
      <c r="C110" s="240" t="s">
        <v>277</v>
      </c>
      <c r="D110" s="46" t="s">
        <v>278</v>
      </c>
      <c r="E110" s="47">
        <v>46238</v>
      </c>
      <c r="F110" s="47">
        <v>46238</v>
      </c>
      <c r="G110" s="241" t="s">
        <v>506</v>
      </c>
      <c r="H110" s="45"/>
      <c r="I110" s="48"/>
      <c r="J110" s="45"/>
      <c r="K110" s="45"/>
      <c r="L110" s="45"/>
      <c r="M110" s="45"/>
      <c r="N110" s="45"/>
      <c r="O110" s="45"/>
      <c r="P110" s="45"/>
      <c r="Q110" s="45"/>
      <c r="R110" t="str">
        <f t="shared" si="1"/>
        <v>E10 Deploy</v>
      </c>
    </row>
    <row r="111" spans="1:18" x14ac:dyDescent="0.55000000000000004">
      <c r="A111" s="49" t="s">
        <v>415</v>
      </c>
      <c r="B111" s="50" t="s">
        <v>507</v>
      </c>
      <c r="C111" s="240" t="s">
        <v>277</v>
      </c>
      <c r="D111" s="51" t="s">
        <v>330</v>
      </c>
      <c r="E111" s="52">
        <v>46238</v>
      </c>
      <c r="F111" s="52">
        <v>46238</v>
      </c>
      <c r="G111" s="242" t="s">
        <v>508</v>
      </c>
      <c r="H111" s="50"/>
      <c r="I111" s="48"/>
      <c r="J111" s="50"/>
      <c r="K111" s="50"/>
      <c r="L111" s="50"/>
      <c r="M111" s="50"/>
      <c r="N111" s="50"/>
      <c r="O111" s="50"/>
      <c r="P111" s="50"/>
      <c r="Q111" s="50"/>
      <c r="R111" t="str">
        <f t="shared" si="1"/>
        <v>E10 Deploy</v>
      </c>
    </row>
    <row r="112" spans="1:18" x14ac:dyDescent="0.55000000000000004">
      <c r="A112" s="58" t="s">
        <v>415</v>
      </c>
      <c r="B112" s="59" t="s">
        <v>509</v>
      </c>
      <c r="C112" s="243" t="s">
        <v>277</v>
      </c>
      <c r="D112" s="60" t="s">
        <v>340</v>
      </c>
      <c r="E112" s="61">
        <v>46238</v>
      </c>
      <c r="F112" s="61">
        <v>46238</v>
      </c>
      <c r="G112" s="244" t="s">
        <v>510</v>
      </c>
      <c r="H112" s="59"/>
      <c r="I112" s="62"/>
      <c r="J112" s="59"/>
      <c r="K112" s="59"/>
      <c r="L112" s="59"/>
      <c r="M112" s="59"/>
      <c r="N112" s="59"/>
      <c r="O112" s="59"/>
      <c r="P112" s="59"/>
      <c r="Q112" s="59"/>
      <c r="R112" t="str">
        <f t="shared" si="1"/>
        <v>E10 Deploy</v>
      </c>
    </row>
    <row r="113" spans="1:18" x14ac:dyDescent="0.55000000000000004">
      <c r="A113" s="63" t="s">
        <v>415</v>
      </c>
      <c r="B113" s="64" t="s">
        <v>511</v>
      </c>
      <c r="C113" s="243" t="s">
        <v>277</v>
      </c>
      <c r="D113" s="65" t="s">
        <v>278</v>
      </c>
      <c r="E113" s="66">
        <v>46238</v>
      </c>
      <c r="F113" s="66">
        <v>46238</v>
      </c>
      <c r="G113" s="245" t="s">
        <v>512</v>
      </c>
      <c r="H113" s="64"/>
      <c r="I113" s="62"/>
      <c r="J113" s="64"/>
      <c r="K113" s="64"/>
      <c r="L113" s="64"/>
      <c r="M113" s="64"/>
      <c r="N113" s="64"/>
      <c r="O113" s="64"/>
      <c r="P113" s="64"/>
      <c r="Q113" s="64"/>
      <c r="R113" t="str">
        <f t="shared" si="1"/>
        <v>E10 Deploy</v>
      </c>
    </row>
    <row r="114" spans="1:18" x14ac:dyDescent="0.55000000000000004">
      <c r="A114" s="58" t="s">
        <v>415</v>
      </c>
      <c r="B114" s="59" t="s">
        <v>513</v>
      </c>
      <c r="C114" s="240" t="s">
        <v>277</v>
      </c>
      <c r="D114" s="60" t="s">
        <v>278</v>
      </c>
      <c r="E114" s="61">
        <v>46238</v>
      </c>
      <c r="F114" s="61">
        <v>46238</v>
      </c>
      <c r="G114" s="244" t="s">
        <v>514</v>
      </c>
      <c r="H114" s="59"/>
      <c r="I114" s="68"/>
      <c r="J114" s="59"/>
      <c r="K114" s="59"/>
      <c r="L114" s="59"/>
      <c r="M114" s="59"/>
      <c r="N114" s="59"/>
      <c r="O114" s="59"/>
      <c r="P114" s="59"/>
      <c r="Q114" s="59"/>
      <c r="R114" t="str">
        <f t="shared" si="1"/>
        <v>E10 Deploy</v>
      </c>
    </row>
    <row r="115" spans="1:18" x14ac:dyDescent="0.55000000000000004">
      <c r="A115" s="63" t="s">
        <v>415</v>
      </c>
      <c r="B115" s="64" t="s">
        <v>515</v>
      </c>
      <c r="C115" s="243" t="s">
        <v>277</v>
      </c>
      <c r="D115" s="65" t="s">
        <v>340</v>
      </c>
      <c r="E115" s="66">
        <v>46239</v>
      </c>
      <c r="F115" s="66">
        <v>46239</v>
      </c>
      <c r="G115" s="245" t="s">
        <v>516</v>
      </c>
      <c r="H115" s="64"/>
      <c r="I115" s="70"/>
      <c r="J115" s="64"/>
      <c r="K115" s="64"/>
      <c r="L115" s="64"/>
      <c r="M115" s="64"/>
      <c r="N115" s="64"/>
      <c r="O115" s="64"/>
      <c r="P115" s="64"/>
      <c r="Q115" s="64"/>
      <c r="R115" t="str">
        <f t="shared" si="1"/>
        <v>E10 Deploy</v>
      </c>
    </row>
    <row r="116" spans="1:18" x14ac:dyDescent="0.55000000000000004">
      <c r="A116" s="73" t="s">
        <v>415</v>
      </c>
      <c r="B116" s="74" t="s">
        <v>517</v>
      </c>
      <c r="C116" s="246" t="s">
        <v>277</v>
      </c>
      <c r="D116" s="75" t="s">
        <v>340</v>
      </c>
      <c r="E116" s="76">
        <v>46238</v>
      </c>
      <c r="F116" s="76">
        <v>46238</v>
      </c>
      <c r="G116" s="247" t="s">
        <v>518</v>
      </c>
      <c r="H116" s="74"/>
      <c r="I116" s="77"/>
      <c r="J116" s="74"/>
      <c r="K116" s="74"/>
      <c r="L116" s="74"/>
      <c r="M116" s="74"/>
      <c r="N116" s="74"/>
      <c r="O116" s="74"/>
      <c r="P116" s="74"/>
      <c r="Q116" s="74"/>
      <c r="R116" t="str">
        <f t="shared" si="1"/>
        <v>E10 Deploy</v>
      </c>
    </row>
    <row r="117" spans="1:18" x14ac:dyDescent="0.55000000000000004">
      <c r="A117" s="81" t="s">
        <v>338</v>
      </c>
      <c r="B117" s="82" t="s">
        <v>519</v>
      </c>
      <c r="C117" s="248" t="s">
        <v>277</v>
      </c>
      <c r="D117" s="83" t="s">
        <v>340</v>
      </c>
      <c r="E117" s="84">
        <v>46238</v>
      </c>
      <c r="F117" s="84">
        <v>46238</v>
      </c>
      <c r="G117" s="249" t="s">
        <v>520</v>
      </c>
      <c r="H117" s="82"/>
      <c r="I117" s="85"/>
      <c r="J117" s="82"/>
      <c r="K117" s="82"/>
      <c r="L117" s="82"/>
      <c r="M117" s="82"/>
      <c r="N117" s="82"/>
      <c r="O117" s="82"/>
      <c r="P117" s="82"/>
      <c r="Q117" s="82"/>
      <c r="R117" t="str">
        <f t="shared" si="1"/>
        <v>E7 Mobile</v>
      </c>
    </row>
    <row r="118" spans="1:18" x14ac:dyDescent="0.55000000000000004">
      <c r="A118" s="86" t="s">
        <v>338</v>
      </c>
      <c r="B118" s="87" t="s">
        <v>521</v>
      </c>
      <c r="C118" s="248" t="s">
        <v>277</v>
      </c>
      <c r="D118" s="88" t="s">
        <v>413</v>
      </c>
      <c r="E118" s="89">
        <v>46238</v>
      </c>
      <c r="F118" s="89">
        <v>46238</v>
      </c>
      <c r="G118" s="250" t="s">
        <v>522</v>
      </c>
      <c r="H118" s="87"/>
      <c r="I118" s="85"/>
      <c r="J118" s="87"/>
      <c r="K118" s="87"/>
      <c r="L118" s="87"/>
      <c r="M118" s="87"/>
      <c r="N118" s="87"/>
      <c r="O118" s="87"/>
      <c r="P118" s="87"/>
      <c r="Q118" s="87"/>
      <c r="R118" t="str">
        <f t="shared" si="1"/>
        <v>E7 Mobile</v>
      </c>
    </row>
    <row r="119" spans="1:18" x14ac:dyDescent="0.55000000000000004">
      <c r="A119" s="81" t="s">
        <v>415</v>
      </c>
      <c r="B119" s="82" t="s">
        <v>523</v>
      </c>
      <c r="C119" s="254" t="s">
        <v>277</v>
      </c>
      <c r="D119" s="83" t="s">
        <v>340</v>
      </c>
      <c r="E119" s="84">
        <v>46239</v>
      </c>
      <c r="F119" s="84">
        <v>46239</v>
      </c>
      <c r="G119" s="249" t="s">
        <v>524</v>
      </c>
      <c r="H119" s="82"/>
      <c r="I119" s="91"/>
      <c r="J119" s="82"/>
      <c r="K119" s="82"/>
      <c r="L119" s="82"/>
      <c r="M119" s="82"/>
      <c r="N119" s="82"/>
      <c r="O119" s="82"/>
      <c r="P119" s="82"/>
      <c r="Q119" s="82"/>
      <c r="R119" t="str">
        <f t="shared" si="1"/>
        <v>E10 Deploy</v>
      </c>
    </row>
    <row r="120" spans="1:18" x14ac:dyDescent="0.55000000000000004">
      <c r="A120" s="86" t="s">
        <v>338</v>
      </c>
      <c r="B120" s="87" t="s">
        <v>525</v>
      </c>
      <c r="C120" s="90" t="s">
        <v>16</v>
      </c>
      <c r="D120" s="88" t="s">
        <v>413</v>
      </c>
      <c r="E120" s="89">
        <v>46244</v>
      </c>
      <c r="F120" s="89">
        <v>46248</v>
      </c>
      <c r="G120" s="250" t="s">
        <v>526</v>
      </c>
      <c r="H120" s="87"/>
      <c r="I120" s="87"/>
      <c r="J120" s="91"/>
      <c r="K120" s="87"/>
      <c r="L120" s="87"/>
      <c r="M120" s="87"/>
      <c r="N120" s="87"/>
      <c r="O120" s="87"/>
      <c r="P120" s="87"/>
      <c r="Q120" s="87"/>
      <c r="R120" t="str">
        <f t="shared" si="1"/>
        <v>E7 Mobile</v>
      </c>
    </row>
    <row r="121" spans="1:18" x14ac:dyDescent="0.55000000000000004">
      <c r="A121" s="95" t="s">
        <v>415</v>
      </c>
      <c r="B121" s="96" t="s">
        <v>527</v>
      </c>
      <c r="C121" s="251" t="s">
        <v>277</v>
      </c>
      <c r="D121" s="97" t="s">
        <v>340</v>
      </c>
      <c r="E121" s="98">
        <v>46238</v>
      </c>
      <c r="F121" s="98">
        <v>46238</v>
      </c>
      <c r="G121" s="252" t="s">
        <v>528</v>
      </c>
      <c r="H121" s="96"/>
      <c r="I121" s="99"/>
      <c r="J121" s="96"/>
      <c r="K121" s="96"/>
      <c r="L121" s="96"/>
      <c r="M121" s="96"/>
      <c r="N121" s="96"/>
      <c r="O121" s="96"/>
      <c r="P121" s="96"/>
      <c r="Q121" s="96"/>
      <c r="R121" t="str">
        <f t="shared" si="1"/>
        <v>E10 Deploy</v>
      </c>
    </row>
    <row r="122" spans="1:18" x14ac:dyDescent="0.55000000000000004">
      <c r="A122" s="100" t="s">
        <v>415</v>
      </c>
      <c r="B122" s="101" t="s">
        <v>529</v>
      </c>
      <c r="C122" s="251" t="s">
        <v>277</v>
      </c>
      <c r="D122" s="102" t="s">
        <v>340</v>
      </c>
      <c r="E122" s="103">
        <v>46238</v>
      </c>
      <c r="F122" s="103">
        <v>46238</v>
      </c>
      <c r="G122" s="253" t="s">
        <v>530</v>
      </c>
      <c r="H122" s="101"/>
      <c r="I122" s="99"/>
      <c r="J122" s="101"/>
      <c r="K122" s="101"/>
      <c r="L122" s="101"/>
      <c r="M122" s="101"/>
      <c r="N122" s="101"/>
      <c r="O122" s="101"/>
      <c r="P122" s="101"/>
      <c r="Q122" s="101"/>
      <c r="R122" t="str">
        <f t="shared" si="1"/>
        <v>E10 Deploy</v>
      </c>
    </row>
    <row r="123" spans="1:18" x14ac:dyDescent="0.55000000000000004">
      <c r="A123" s="95" t="s">
        <v>415</v>
      </c>
      <c r="B123" s="96" t="s">
        <v>531</v>
      </c>
      <c r="C123" s="251" t="s">
        <v>277</v>
      </c>
      <c r="D123" s="97" t="s">
        <v>340</v>
      </c>
      <c r="E123" s="98">
        <v>46239</v>
      </c>
      <c r="F123" s="98">
        <v>46239</v>
      </c>
      <c r="G123" s="252" t="s">
        <v>532</v>
      </c>
      <c r="H123" s="96"/>
      <c r="I123" s="105"/>
      <c r="J123" s="96"/>
      <c r="K123" s="96"/>
      <c r="L123" s="96"/>
      <c r="M123" s="96"/>
      <c r="N123" s="96"/>
      <c r="O123" s="96"/>
      <c r="P123" s="96"/>
      <c r="Q123" s="96"/>
      <c r="R123" t="str">
        <f t="shared" si="1"/>
        <v>E10 Deploy</v>
      </c>
    </row>
    <row r="124" spans="1:18" x14ac:dyDescent="0.55000000000000004">
      <c r="A124" s="100" t="s">
        <v>415</v>
      </c>
      <c r="B124" s="101" t="s">
        <v>533</v>
      </c>
      <c r="C124" s="251" t="s">
        <v>277</v>
      </c>
      <c r="D124" s="102" t="s">
        <v>340</v>
      </c>
      <c r="E124" s="103">
        <v>46239</v>
      </c>
      <c r="F124" s="103">
        <v>46240</v>
      </c>
      <c r="G124" s="253" t="s">
        <v>534</v>
      </c>
      <c r="H124" s="101"/>
      <c r="I124" s="105"/>
      <c r="J124" s="101"/>
      <c r="K124" s="101"/>
      <c r="L124" s="101"/>
      <c r="M124" s="101"/>
      <c r="N124" s="101"/>
      <c r="O124" s="101"/>
      <c r="P124" s="101"/>
      <c r="Q124" s="101"/>
      <c r="R124" t="str">
        <f t="shared" si="1"/>
        <v>E10 Deploy</v>
      </c>
    </row>
    <row r="125" spans="1:18" x14ac:dyDescent="0.55000000000000004">
      <c r="A125" s="110" t="s">
        <v>415</v>
      </c>
      <c r="B125" s="111" t="s">
        <v>535</v>
      </c>
      <c r="C125" s="254" t="s">
        <v>277</v>
      </c>
      <c r="D125" s="112" t="s">
        <v>340</v>
      </c>
      <c r="E125" s="113">
        <v>46238</v>
      </c>
      <c r="F125" s="113">
        <v>46238</v>
      </c>
      <c r="G125" s="255" t="s">
        <v>536</v>
      </c>
      <c r="H125" s="111"/>
      <c r="I125" s="114"/>
      <c r="J125" s="111"/>
      <c r="K125" s="111"/>
      <c r="L125" s="111"/>
      <c r="M125" s="111"/>
      <c r="N125" s="111"/>
      <c r="O125" s="111"/>
      <c r="P125" s="111"/>
      <c r="Q125" s="111"/>
      <c r="R125" t="str">
        <f t="shared" si="1"/>
        <v>E10 Deploy</v>
      </c>
    </row>
    <row r="126" spans="1:18" ht="21" customHeight="1" x14ac:dyDescent="0.55000000000000004">
      <c r="A126" s="115" t="s">
        <v>415</v>
      </c>
      <c r="B126" s="116" t="s">
        <v>537</v>
      </c>
      <c r="C126" s="254" t="s">
        <v>277</v>
      </c>
      <c r="D126" s="117" t="s">
        <v>340</v>
      </c>
      <c r="E126" s="118">
        <v>46239</v>
      </c>
      <c r="F126" s="118">
        <v>46239</v>
      </c>
      <c r="G126" s="256" t="s">
        <v>538</v>
      </c>
      <c r="H126" s="116"/>
      <c r="I126" s="119"/>
      <c r="J126" s="116"/>
      <c r="K126" s="116"/>
      <c r="L126" s="116"/>
      <c r="M126" s="116"/>
      <c r="N126" s="116"/>
      <c r="O126" s="116"/>
      <c r="P126" s="116"/>
      <c r="Q126" s="116"/>
      <c r="R126" t="str">
        <f t="shared" si="1"/>
        <v>E10 Deploy</v>
      </c>
    </row>
    <row r="127" spans="1:18" ht="21" customHeight="1" x14ac:dyDescent="0.55000000000000004">
      <c r="A127" s="120" t="s">
        <v>338</v>
      </c>
      <c r="B127" s="121" t="s">
        <v>539</v>
      </c>
      <c r="C127" s="267" t="s">
        <v>277</v>
      </c>
      <c r="D127" s="123" t="s">
        <v>340</v>
      </c>
      <c r="E127" s="124">
        <v>46239</v>
      </c>
      <c r="F127" s="124">
        <v>46239</v>
      </c>
      <c r="G127" s="257" t="s">
        <v>540</v>
      </c>
      <c r="H127" s="121"/>
      <c r="I127" s="125"/>
      <c r="J127" s="121"/>
      <c r="K127" s="121"/>
      <c r="L127" s="121"/>
      <c r="M127" s="121"/>
      <c r="N127" s="121"/>
      <c r="O127" s="121"/>
      <c r="P127" s="121"/>
      <c r="Q127" s="121"/>
      <c r="R127" t="str">
        <f t="shared" si="1"/>
        <v>E7 Mobile</v>
      </c>
    </row>
    <row r="128" spans="1:18" x14ac:dyDescent="0.55000000000000004">
      <c r="A128" s="126" t="s">
        <v>338</v>
      </c>
      <c r="B128" s="127" t="s">
        <v>541</v>
      </c>
      <c r="C128" s="258" t="s">
        <v>277</v>
      </c>
      <c r="D128" s="128" t="s">
        <v>340</v>
      </c>
      <c r="E128" s="129">
        <v>46239</v>
      </c>
      <c r="F128" s="129">
        <v>46239</v>
      </c>
      <c r="G128" s="259" t="s">
        <v>542</v>
      </c>
      <c r="H128" s="127"/>
      <c r="I128" s="130"/>
      <c r="J128" s="127"/>
      <c r="K128" s="127"/>
      <c r="L128" s="127"/>
      <c r="M128" s="127"/>
      <c r="N128" s="127"/>
      <c r="O128" s="127"/>
      <c r="P128" s="127"/>
      <c r="Q128" s="127"/>
      <c r="R128" t="str">
        <f t="shared" si="1"/>
        <v>E7 Mobile</v>
      </c>
    </row>
    <row r="129" spans="1:18" x14ac:dyDescent="0.55000000000000004">
      <c r="A129" s="120" t="s">
        <v>338</v>
      </c>
      <c r="B129" s="121" t="s">
        <v>543</v>
      </c>
      <c r="C129" s="258" t="s">
        <v>277</v>
      </c>
      <c r="D129" s="123" t="s">
        <v>340</v>
      </c>
      <c r="E129" s="124">
        <v>46239</v>
      </c>
      <c r="F129" s="124">
        <v>46239</v>
      </c>
      <c r="G129" s="257" t="s">
        <v>544</v>
      </c>
      <c r="H129" s="121"/>
      <c r="I129" s="130"/>
      <c r="J129" s="121"/>
      <c r="K129" s="121"/>
      <c r="L129" s="121"/>
      <c r="M129" s="121"/>
      <c r="N129" s="121"/>
      <c r="O129" s="121"/>
      <c r="P129" s="121"/>
      <c r="Q129" s="121"/>
      <c r="R129" t="str">
        <f t="shared" si="1"/>
        <v>E7 Mobile</v>
      </c>
    </row>
    <row r="130" spans="1:18" x14ac:dyDescent="0.55000000000000004">
      <c r="A130" s="126" t="s">
        <v>444</v>
      </c>
      <c r="B130" s="127" t="s">
        <v>545</v>
      </c>
      <c r="C130" s="258" t="s">
        <v>277</v>
      </c>
      <c r="D130" s="128" t="s">
        <v>330</v>
      </c>
      <c r="E130" s="129">
        <v>46239</v>
      </c>
      <c r="F130" s="129">
        <v>46239</v>
      </c>
      <c r="G130" s="259" t="s">
        <v>546</v>
      </c>
      <c r="H130" s="127"/>
      <c r="I130" s="130"/>
      <c r="J130" s="127"/>
      <c r="K130" s="127"/>
      <c r="L130" s="127"/>
      <c r="M130" s="127"/>
      <c r="N130" s="127"/>
      <c r="O130" s="127"/>
      <c r="P130" s="127"/>
      <c r="Q130" s="127"/>
      <c r="R130" t="str">
        <f t="shared" si="1"/>
        <v>E11 Ops Resilience</v>
      </c>
    </row>
    <row r="131" spans="1:18" x14ac:dyDescent="0.55000000000000004">
      <c r="A131" s="120" t="s">
        <v>338</v>
      </c>
      <c r="B131" s="121" t="s">
        <v>547</v>
      </c>
      <c r="C131" s="258" t="s">
        <v>277</v>
      </c>
      <c r="D131" s="123" t="s">
        <v>340</v>
      </c>
      <c r="E131" s="124">
        <v>46239</v>
      </c>
      <c r="F131" s="124">
        <v>46239</v>
      </c>
      <c r="G131" s="257" t="s">
        <v>548</v>
      </c>
      <c r="H131" s="121"/>
      <c r="I131" s="132"/>
      <c r="J131" s="121"/>
      <c r="K131" s="121"/>
      <c r="L131" s="121"/>
      <c r="M131" s="121"/>
      <c r="N131" s="121"/>
      <c r="O131" s="121"/>
      <c r="P131" s="121"/>
      <c r="Q131" s="121"/>
      <c r="R131" t="str">
        <f t="shared" si="1"/>
        <v>E7 Mobile</v>
      </c>
    </row>
    <row r="132" spans="1:18" x14ac:dyDescent="0.55000000000000004">
      <c r="A132" s="126" t="s">
        <v>338</v>
      </c>
      <c r="B132" s="127" t="s">
        <v>549</v>
      </c>
      <c r="C132" s="131" t="s">
        <v>16</v>
      </c>
      <c r="D132" s="128" t="s">
        <v>340</v>
      </c>
      <c r="E132" s="129">
        <v>46240</v>
      </c>
      <c r="F132" s="129">
        <v>46240</v>
      </c>
      <c r="G132" s="259" t="s">
        <v>550</v>
      </c>
      <c r="H132" s="127"/>
      <c r="I132" s="132"/>
      <c r="J132" s="127"/>
      <c r="K132" s="127"/>
      <c r="L132" s="127"/>
      <c r="M132" s="127"/>
      <c r="N132" s="127"/>
      <c r="O132" s="127"/>
      <c r="P132" s="127"/>
      <c r="Q132" s="127"/>
      <c r="R132" t="str">
        <f t="shared" si="1"/>
        <v>E7 Mobile</v>
      </c>
    </row>
    <row r="133" spans="1:18" x14ac:dyDescent="0.55000000000000004">
      <c r="A133" s="137" t="s">
        <v>384</v>
      </c>
      <c r="B133" s="138" t="s">
        <v>551</v>
      </c>
      <c r="C133" s="260" t="s">
        <v>277</v>
      </c>
      <c r="D133" s="139" t="s">
        <v>288</v>
      </c>
      <c r="E133" s="140">
        <v>46239</v>
      </c>
      <c r="F133" s="140">
        <v>46239</v>
      </c>
      <c r="G133" s="261" t="s">
        <v>552</v>
      </c>
      <c r="H133" s="138"/>
      <c r="I133" s="141"/>
      <c r="J133" s="138"/>
      <c r="K133" s="138"/>
      <c r="L133" s="138"/>
      <c r="M133" s="138"/>
      <c r="N133" s="138"/>
      <c r="O133" s="138"/>
      <c r="P133" s="138"/>
      <c r="Q133" s="138"/>
      <c r="R133" t="str">
        <f t="shared" ref="R133:R196" si="2">IF($A133&lt;&gt;"",$A133,R132)</f>
        <v>E9 Data Ops</v>
      </c>
    </row>
    <row r="134" spans="1:18" x14ac:dyDescent="0.55000000000000004">
      <c r="A134" s="142" t="s">
        <v>384</v>
      </c>
      <c r="B134" s="143" t="s">
        <v>553</v>
      </c>
      <c r="C134" s="260" t="s">
        <v>277</v>
      </c>
      <c r="D134" s="144" t="s">
        <v>288</v>
      </c>
      <c r="E134" s="145">
        <v>46239</v>
      </c>
      <c r="F134" s="145">
        <v>46239</v>
      </c>
      <c r="G134" s="262" t="s">
        <v>554</v>
      </c>
      <c r="H134" s="143"/>
      <c r="I134" s="141"/>
      <c r="J134" s="143"/>
      <c r="K134" s="143"/>
      <c r="L134" s="143"/>
      <c r="M134" s="143"/>
      <c r="N134" s="143"/>
      <c r="O134" s="143"/>
      <c r="P134" s="143"/>
      <c r="Q134" s="143"/>
      <c r="R134" t="str">
        <f t="shared" si="2"/>
        <v>E9 Data Ops</v>
      </c>
    </row>
    <row r="135" spans="1:18" x14ac:dyDescent="0.55000000000000004">
      <c r="A135" s="153" t="s">
        <v>384</v>
      </c>
      <c r="B135" s="154" t="s">
        <v>555</v>
      </c>
      <c r="C135" s="155" t="s">
        <v>16</v>
      </c>
      <c r="D135" s="156" t="s">
        <v>288</v>
      </c>
      <c r="E135" s="157">
        <v>46255</v>
      </c>
      <c r="F135" s="157">
        <v>46255</v>
      </c>
      <c r="G135" s="263" t="s">
        <v>556</v>
      </c>
      <c r="H135" s="154"/>
      <c r="I135" s="154"/>
      <c r="J135" s="154"/>
      <c r="K135" s="158"/>
      <c r="L135" s="154"/>
      <c r="M135" s="154"/>
      <c r="N135" s="154"/>
      <c r="O135" s="154"/>
      <c r="P135" s="154"/>
      <c r="Q135" s="154"/>
      <c r="R135" t="str">
        <f t="shared" si="2"/>
        <v>E9 Data Ops</v>
      </c>
    </row>
    <row r="136" spans="1:18" x14ac:dyDescent="0.55000000000000004">
      <c r="A136" s="162" t="s">
        <v>384</v>
      </c>
      <c r="B136" s="163" t="s">
        <v>557</v>
      </c>
      <c r="C136" s="264" t="s">
        <v>277</v>
      </c>
      <c r="D136" s="164" t="s">
        <v>288</v>
      </c>
      <c r="E136" s="165">
        <v>46239</v>
      </c>
      <c r="F136" s="165">
        <v>46239</v>
      </c>
      <c r="G136" s="265" t="s">
        <v>558</v>
      </c>
      <c r="H136" s="163"/>
      <c r="I136" s="166"/>
      <c r="J136" s="163"/>
      <c r="K136" s="163"/>
      <c r="L136" s="163"/>
      <c r="M136" s="163"/>
      <c r="N136" s="163"/>
      <c r="O136" s="163"/>
      <c r="P136" s="163"/>
      <c r="Q136" s="163"/>
      <c r="R136" t="str">
        <f t="shared" si="2"/>
        <v>E9 Data Ops</v>
      </c>
    </row>
    <row r="137" spans="1:18" x14ac:dyDescent="0.55000000000000004">
      <c r="A137" s="174" t="s">
        <v>317</v>
      </c>
      <c r="B137" s="175" t="s">
        <v>559</v>
      </c>
      <c r="C137" s="267" t="s">
        <v>277</v>
      </c>
      <c r="D137" s="177" t="s">
        <v>288</v>
      </c>
      <c r="E137" s="178">
        <v>46239</v>
      </c>
      <c r="F137" s="178">
        <v>46239</v>
      </c>
      <c r="G137" s="266" t="s">
        <v>560</v>
      </c>
      <c r="H137" s="175"/>
      <c r="I137" s="179"/>
      <c r="J137" s="175"/>
      <c r="K137" s="175"/>
      <c r="L137" s="175"/>
      <c r="M137" s="175"/>
      <c r="N137" s="175"/>
      <c r="O137" s="175"/>
      <c r="P137" s="175"/>
      <c r="Q137" s="175"/>
      <c r="R137" t="str">
        <f t="shared" si="2"/>
        <v>E5 ML Tennis</v>
      </c>
    </row>
    <row r="138" spans="1:18" x14ac:dyDescent="0.55000000000000004">
      <c r="A138" s="180" t="s">
        <v>317</v>
      </c>
      <c r="B138" s="181" t="s">
        <v>561</v>
      </c>
      <c r="C138" s="267" t="s">
        <v>277</v>
      </c>
      <c r="D138" s="182" t="s">
        <v>330</v>
      </c>
      <c r="E138" s="183">
        <v>46239</v>
      </c>
      <c r="F138" s="183">
        <v>46239</v>
      </c>
      <c r="G138" s="268" t="s">
        <v>562</v>
      </c>
      <c r="H138" s="181"/>
      <c r="I138" s="184"/>
      <c r="J138" s="181"/>
      <c r="K138" s="181"/>
      <c r="L138" s="181"/>
      <c r="M138" s="181"/>
      <c r="N138" s="181"/>
      <c r="O138" s="181"/>
      <c r="P138" s="181"/>
      <c r="Q138" s="181"/>
      <c r="R138" t="str">
        <f t="shared" si="2"/>
        <v>E5 ML Tennis</v>
      </c>
    </row>
    <row r="139" spans="1:18" x14ac:dyDescent="0.55000000000000004">
      <c r="A139" s="174" t="s">
        <v>317</v>
      </c>
      <c r="B139" s="175" t="s">
        <v>563</v>
      </c>
      <c r="C139" s="267" t="s">
        <v>277</v>
      </c>
      <c r="D139" s="177" t="s">
        <v>330</v>
      </c>
      <c r="E139" s="178">
        <v>46239</v>
      </c>
      <c r="F139" s="178">
        <v>46239</v>
      </c>
      <c r="G139" s="266" t="s">
        <v>564</v>
      </c>
      <c r="H139" s="175"/>
      <c r="I139" s="184"/>
      <c r="J139" s="175"/>
      <c r="K139" s="175"/>
      <c r="L139" s="175"/>
      <c r="M139" s="175"/>
      <c r="N139" s="175"/>
      <c r="O139" s="175"/>
      <c r="P139" s="175"/>
      <c r="Q139" s="175"/>
      <c r="R139" t="str">
        <f t="shared" si="2"/>
        <v>E5 ML Tennis</v>
      </c>
    </row>
    <row r="140" spans="1:18" ht="21" customHeight="1" x14ac:dyDescent="0.55000000000000004">
      <c r="A140" s="180" t="s">
        <v>384</v>
      </c>
      <c r="B140" s="181" t="s">
        <v>565</v>
      </c>
      <c r="C140" s="185" t="s">
        <v>16</v>
      </c>
      <c r="D140" s="182" t="s">
        <v>288</v>
      </c>
      <c r="E140" s="183">
        <v>46242</v>
      </c>
      <c r="F140" s="183">
        <v>46242</v>
      </c>
      <c r="G140" s="268" t="s">
        <v>566</v>
      </c>
      <c r="H140" s="181"/>
      <c r="I140" s="186"/>
      <c r="J140" s="181"/>
      <c r="K140" s="181"/>
      <c r="L140" s="181"/>
      <c r="M140" s="181"/>
      <c r="N140" s="181"/>
      <c r="O140" s="181"/>
      <c r="P140" s="181"/>
      <c r="Q140" s="181"/>
      <c r="R140" t="str">
        <f t="shared" si="2"/>
        <v>E9 Data Ops</v>
      </c>
    </row>
    <row r="141" spans="1:18" x14ac:dyDescent="0.55000000000000004">
      <c r="A141" s="174" t="s">
        <v>384</v>
      </c>
      <c r="B141" s="175" t="s">
        <v>567</v>
      </c>
      <c r="C141" s="267" t="s">
        <v>277</v>
      </c>
      <c r="D141" s="177" t="s">
        <v>278</v>
      </c>
      <c r="E141" s="178">
        <v>46240</v>
      </c>
      <c r="F141" s="178">
        <v>46240</v>
      </c>
      <c r="G141" s="266" t="s">
        <v>568</v>
      </c>
      <c r="H141" s="175"/>
      <c r="I141" s="186"/>
      <c r="J141" s="175"/>
      <c r="K141" s="175"/>
      <c r="L141" s="175"/>
      <c r="M141" s="175"/>
      <c r="N141" s="175"/>
      <c r="O141" s="175"/>
      <c r="P141" s="175"/>
      <c r="Q141" s="175"/>
      <c r="R141" t="str">
        <f t="shared" si="2"/>
        <v>E9 Data Ops</v>
      </c>
    </row>
    <row r="142" spans="1:18" x14ac:dyDescent="0.55000000000000004">
      <c r="A142" s="180" t="s">
        <v>338</v>
      </c>
      <c r="B142" s="181" t="s">
        <v>569</v>
      </c>
      <c r="C142" s="185" t="s">
        <v>16</v>
      </c>
      <c r="D142" s="182" t="s">
        <v>340</v>
      </c>
      <c r="E142" s="183">
        <v>46273</v>
      </c>
      <c r="F142" s="183">
        <v>46277</v>
      </c>
      <c r="G142" s="268" t="s">
        <v>570</v>
      </c>
      <c r="H142" s="181"/>
      <c r="I142" s="181"/>
      <c r="J142" s="181"/>
      <c r="K142" s="181"/>
      <c r="L142" s="181"/>
      <c r="M142" s="181"/>
      <c r="N142" s="186"/>
      <c r="O142" s="181"/>
      <c r="P142" s="181"/>
      <c r="Q142" s="181"/>
      <c r="R142" t="str">
        <f t="shared" si="2"/>
        <v>E7 Mobile</v>
      </c>
    </row>
    <row r="143" spans="1:18" x14ac:dyDescent="0.55000000000000004">
      <c r="A143" s="174" t="s">
        <v>338</v>
      </c>
      <c r="B143" s="175" t="s">
        <v>571</v>
      </c>
      <c r="C143" s="267" t="s">
        <v>277</v>
      </c>
      <c r="D143" s="177" t="s">
        <v>340</v>
      </c>
      <c r="E143" s="178">
        <v>46239</v>
      </c>
      <c r="F143" s="178">
        <v>46239</v>
      </c>
      <c r="G143" s="266" t="s">
        <v>572</v>
      </c>
      <c r="H143" s="175"/>
      <c r="I143" s="184"/>
      <c r="J143" s="175"/>
      <c r="K143" s="175"/>
      <c r="L143" s="175"/>
      <c r="M143" s="175"/>
      <c r="N143" s="175"/>
      <c r="O143" s="175"/>
      <c r="P143" s="175"/>
      <c r="Q143" s="175"/>
      <c r="R143" t="str">
        <f t="shared" si="2"/>
        <v>E7 Mobile</v>
      </c>
    </row>
    <row r="144" spans="1:18" x14ac:dyDescent="0.55000000000000004">
      <c r="A144" s="191" t="s">
        <v>354</v>
      </c>
      <c r="B144" s="192" t="s">
        <v>573</v>
      </c>
      <c r="C144" s="269" t="s">
        <v>277</v>
      </c>
      <c r="D144" s="193" t="s">
        <v>288</v>
      </c>
      <c r="E144" s="194">
        <v>46240</v>
      </c>
      <c r="F144" s="194">
        <v>46240</v>
      </c>
      <c r="G144" s="270" t="s">
        <v>574</v>
      </c>
      <c r="H144" s="192"/>
      <c r="I144" s="195"/>
      <c r="J144" s="192"/>
      <c r="K144" s="192"/>
      <c r="L144" s="192"/>
      <c r="M144" s="192"/>
      <c r="N144" s="192"/>
      <c r="O144" s="192"/>
      <c r="P144" s="192"/>
      <c r="Q144" s="192"/>
      <c r="R144" t="str">
        <f t="shared" si="2"/>
        <v>E8 Model Quality</v>
      </c>
    </row>
    <row r="145" spans="1:18" x14ac:dyDescent="0.55000000000000004">
      <c r="A145" s="196" t="s">
        <v>354</v>
      </c>
      <c r="B145" s="197" t="s">
        <v>575</v>
      </c>
      <c r="C145" s="269" t="s">
        <v>277</v>
      </c>
      <c r="D145" s="199" t="s">
        <v>300</v>
      </c>
      <c r="E145" s="200">
        <v>46240</v>
      </c>
      <c r="F145" s="200">
        <v>46240</v>
      </c>
      <c r="G145" s="271" t="s">
        <v>576</v>
      </c>
      <c r="H145" s="197"/>
      <c r="I145" s="201"/>
      <c r="J145" s="197"/>
      <c r="K145" s="197"/>
      <c r="L145" s="197"/>
      <c r="M145" s="197"/>
      <c r="N145" s="197"/>
      <c r="O145" s="197"/>
      <c r="P145" s="197"/>
      <c r="Q145" s="197"/>
      <c r="R145" t="str">
        <f t="shared" si="2"/>
        <v>E8 Model Quality</v>
      </c>
    </row>
    <row r="146" spans="1:18" x14ac:dyDescent="0.55000000000000004">
      <c r="A146" s="191" t="s">
        <v>317</v>
      </c>
      <c r="B146" s="192" t="s">
        <v>577</v>
      </c>
      <c r="C146" s="269" t="s">
        <v>277</v>
      </c>
      <c r="D146" s="193" t="s">
        <v>330</v>
      </c>
      <c r="E146" s="194">
        <v>46240</v>
      </c>
      <c r="F146" s="194">
        <v>46240</v>
      </c>
      <c r="G146" s="270" t="s">
        <v>578</v>
      </c>
      <c r="H146" s="192"/>
      <c r="I146" s="195"/>
      <c r="J146" s="192"/>
      <c r="K146" s="192"/>
      <c r="L146" s="192"/>
      <c r="M146" s="192"/>
      <c r="N146" s="192"/>
      <c r="O146" s="192"/>
      <c r="P146" s="192"/>
      <c r="Q146" s="192"/>
      <c r="R146" t="str">
        <f t="shared" si="2"/>
        <v>E5 ML Tennis</v>
      </c>
    </row>
    <row r="147" spans="1:18" x14ac:dyDescent="0.55000000000000004">
      <c r="A147" s="196" t="s">
        <v>317</v>
      </c>
      <c r="B147" s="197" t="s">
        <v>579</v>
      </c>
      <c r="C147" s="269" t="s">
        <v>277</v>
      </c>
      <c r="D147" s="199" t="s">
        <v>300</v>
      </c>
      <c r="E147" s="200">
        <v>46240</v>
      </c>
      <c r="F147" s="200">
        <v>46240</v>
      </c>
      <c r="G147" s="271" t="s">
        <v>580</v>
      </c>
      <c r="H147" s="197"/>
      <c r="I147" s="195"/>
      <c r="J147" s="197"/>
      <c r="K147" s="197"/>
      <c r="L147" s="197"/>
      <c r="M147" s="197"/>
      <c r="N147" s="197"/>
      <c r="O147" s="197"/>
      <c r="P147" s="197"/>
      <c r="Q147" s="197"/>
      <c r="R147" t="str">
        <f t="shared" si="2"/>
        <v>E5 ML Tennis</v>
      </c>
    </row>
    <row r="148" spans="1:18" x14ac:dyDescent="0.55000000000000004">
      <c r="A148" s="191" t="s">
        <v>317</v>
      </c>
      <c r="B148" s="192" t="s">
        <v>581</v>
      </c>
      <c r="C148" s="269" t="s">
        <v>277</v>
      </c>
      <c r="D148" s="193" t="s">
        <v>300</v>
      </c>
      <c r="E148" s="194">
        <v>46240</v>
      </c>
      <c r="F148" s="194">
        <v>46240</v>
      </c>
      <c r="G148" s="270" t="s">
        <v>582</v>
      </c>
      <c r="H148" s="192"/>
      <c r="I148" s="195"/>
      <c r="J148" s="192"/>
      <c r="K148" s="192"/>
      <c r="L148" s="192"/>
      <c r="M148" s="192"/>
      <c r="N148" s="192"/>
      <c r="O148" s="192"/>
      <c r="P148" s="192"/>
      <c r="Q148" s="192"/>
      <c r="R148" t="str">
        <f t="shared" si="2"/>
        <v>E5 ML Tennis</v>
      </c>
    </row>
    <row r="149" spans="1:18" ht="21" customHeight="1" x14ac:dyDescent="0.55000000000000004">
      <c r="A149" s="196" t="s">
        <v>317</v>
      </c>
      <c r="B149" s="197" t="s">
        <v>583</v>
      </c>
      <c r="C149" s="269" t="s">
        <v>277</v>
      </c>
      <c r="D149" s="199" t="s">
        <v>300</v>
      </c>
      <c r="E149" s="200">
        <v>46244</v>
      </c>
      <c r="F149" s="200">
        <v>46247</v>
      </c>
      <c r="G149" s="271" t="s">
        <v>584</v>
      </c>
      <c r="H149" s="197"/>
      <c r="I149" s="197"/>
      <c r="J149" s="203"/>
      <c r="K149" s="197"/>
      <c r="L149" s="197"/>
      <c r="M149" s="197"/>
      <c r="N149" s="197"/>
      <c r="O149" s="197"/>
      <c r="P149" s="197"/>
      <c r="Q149" s="197"/>
      <c r="R149" t="str">
        <f t="shared" si="2"/>
        <v>E5 ML Tennis</v>
      </c>
    </row>
    <row r="150" spans="1:18" x14ac:dyDescent="0.55000000000000004">
      <c r="A150" s="191" t="s">
        <v>317</v>
      </c>
      <c r="B150" s="192" t="s">
        <v>585</v>
      </c>
      <c r="C150" s="269" t="s">
        <v>277</v>
      </c>
      <c r="D150" s="193" t="s">
        <v>300</v>
      </c>
      <c r="E150" s="194">
        <v>46247</v>
      </c>
      <c r="F150" s="194">
        <v>46249</v>
      </c>
      <c r="G150" s="270" t="s">
        <v>586</v>
      </c>
      <c r="H150" s="192"/>
      <c r="I150" s="192"/>
      <c r="J150" s="203"/>
      <c r="K150" s="192"/>
      <c r="L150" s="192"/>
      <c r="M150" s="192"/>
      <c r="N150" s="192"/>
      <c r="O150" s="192"/>
      <c r="P150" s="192"/>
      <c r="Q150" s="192"/>
      <c r="R150" t="str">
        <f t="shared" si="2"/>
        <v>E5 ML Tennis</v>
      </c>
    </row>
    <row r="151" spans="1:18" x14ac:dyDescent="0.55000000000000004">
      <c r="A151" s="196" t="s">
        <v>317</v>
      </c>
      <c r="B151" s="197" t="s">
        <v>587</v>
      </c>
      <c r="C151" s="269" t="s">
        <v>277</v>
      </c>
      <c r="D151" s="199" t="s">
        <v>300</v>
      </c>
      <c r="E151" s="200">
        <v>46249</v>
      </c>
      <c r="F151" s="200">
        <v>46252</v>
      </c>
      <c r="G151" s="271" t="s">
        <v>588</v>
      </c>
      <c r="H151" s="197"/>
      <c r="I151" s="197"/>
      <c r="J151" s="203"/>
      <c r="K151" s="203"/>
      <c r="L151" s="197"/>
      <c r="M151" s="197"/>
      <c r="N151" s="197"/>
      <c r="O151" s="197"/>
      <c r="P151" s="197"/>
      <c r="Q151" s="197"/>
      <c r="R151" t="str">
        <f t="shared" si="2"/>
        <v>E5 ML Tennis</v>
      </c>
    </row>
    <row r="152" spans="1:18" x14ac:dyDescent="0.55000000000000004">
      <c r="A152" s="191" t="s">
        <v>317</v>
      </c>
      <c r="B152" s="192" t="s">
        <v>589</v>
      </c>
      <c r="C152" s="269" t="s">
        <v>277</v>
      </c>
      <c r="D152" s="193" t="s">
        <v>330</v>
      </c>
      <c r="E152" s="194">
        <v>46252</v>
      </c>
      <c r="F152" s="194">
        <v>46254</v>
      </c>
      <c r="G152" s="270" t="s">
        <v>590</v>
      </c>
      <c r="H152" s="192"/>
      <c r="I152" s="192"/>
      <c r="J152" s="192"/>
      <c r="K152" s="203"/>
      <c r="L152" s="192"/>
      <c r="M152" s="192"/>
      <c r="N152" s="192"/>
      <c r="O152" s="192"/>
      <c r="P152" s="192"/>
      <c r="Q152" s="192"/>
      <c r="R152" t="str">
        <f t="shared" si="2"/>
        <v>E5 ML Tennis</v>
      </c>
    </row>
    <row r="153" spans="1:18" x14ac:dyDescent="0.55000000000000004">
      <c r="A153" s="196" t="s">
        <v>317</v>
      </c>
      <c r="B153" s="197" t="s">
        <v>591</v>
      </c>
      <c r="C153" s="269" t="s">
        <v>277</v>
      </c>
      <c r="D153" s="199" t="s">
        <v>288</v>
      </c>
      <c r="E153" s="200">
        <v>46254</v>
      </c>
      <c r="F153" s="200">
        <v>46254</v>
      </c>
      <c r="G153" s="271" t="s">
        <v>592</v>
      </c>
      <c r="H153" s="197"/>
      <c r="I153" s="197"/>
      <c r="J153" s="197"/>
      <c r="K153" s="204"/>
      <c r="L153" s="197"/>
      <c r="M153" s="197"/>
      <c r="N153" s="197"/>
      <c r="O153" s="197"/>
      <c r="P153" s="197"/>
      <c r="Q153" s="197"/>
      <c r="R153" t="str">
        <f t="shared" si="2"/>
        <v>E5 ML Tennis</v>
      </c>
    </row>
    <row r="154" spans="1:18" ht="28.8" customHeight="1" x14ac:dyDescent="0.55000000000000004">
      <c r="A154" t="s">
        <v>317</v>
      </c>
      <c r="B154" t="s">
        <v>593</v>
      </c>
      <c r="C154" s="269" t="s">
        <v>277</v>
      </c>
      <c r="D154" t="s">
        <v>288</v>
      </c>
      <c r="E154" s="209">
        <v>46243</v>
      </c>
      <c r="F154" s="209">
        <v>46243</v>
      </c>
      <c r="G154" s="214" t="s">
        <v>594</v>
      </c>
      <c r="I154" t="s">
        <v>595</v>
      </c>
      <c r="R154" t="str">
        <f t="shared" si="2"/>
        <v>E5 ML Tennis</v>
      </c>
    </row>
    <row r="155" spans="1:18" ht="28.8" customHeight="1" x14ac:dyDescent="0.55000000000000004">
      <c r="A155" t="s">
        <v>317</v>
      </c>
      <c r="B155" t="s">
        <v>596</v>
      </c>
      <c r="C155" s="272" t="s">
        <v>277</v>
      </c>
      <c r="D155" t="s">
        <v>288</v>
      </c>
      <c r="E155" s="209">
        <v>46243</v>
      </c>
      <c r="F155" s="209">
        <v>46243</v>
      </c>
      <c r="G155" s="214" t="s">
        <v>597</v>
      </c>
      <c r="I155" t="s">
        <v>595</v>
      </c>
      <c r="R155" t="str">
        <f t="shared" si="2"/>
        <v>E5 ML Tennis</v>
      </c>
    </row>
    <row r="156" spans="1:18" ht="57.6" customHeight="1" x14ac:dyDescent="0.55000000000000004">
      <c r="A156" t="s">
        <v>317</v>
      </c>
      <c r="B156" t="s">
        <v>598</v>
      </c>
      <c r="C156" s="272" t="s">
        <v>277</v>
      </c>
      <c r="D156" t="s">
        <v>300</v>
      </c>
      <c r="E156" s="209">
        <v>46243</v>
      </c>
      <c r="F156" s="209">
        <v>46243</v>
      </c>
      <c r="G156" s="214" t="s">
        <v>599</v>
      </c>
      <c r="I156" t="s">
        <v>595</v>
      </c>
      <c r="R156" t="str">
        <f t="shared" si="2"/>
        <v>E5 ML Tennis</v>
      </c>
    </row>
    <row r="157" spans="1:18" ht="43.2" customHeight="1" x14ac:dyDescent="0.55000000000000004">
      <c r="A157" t="s">
        <v>317</v>
      </c>
      <c r="B157" t="s">
        <v>600</v>
      </c>
      <c r="C157" s="272" t="s">
        <v>277</v>
      </c>
      <c r="D157" t="s">
        <v>288</v>
      </c>
      <c r="E157" s="209">
        <v>46243</v>
      </c>
      <c r="F157" s="209">
        <v>46243</v>
      </c>
      <c r="G157" s="214" t="s">
        <v>601</v>
      </c>
      <c r="I157" t="s">
        <v>595</v>
      </c>
      <c r="R157" t="str">
        <f t="shared" si="2"/>
        <v>E5 ML Tennis</v>
      </c>
    </row>
    <row r="158" spans="1:18" ht="43.2" customHeight="1" x14ac:dyDescent="0.55000000000000004">
      <c r="A158" t="s">
        <v>384</v>
      </c>
      <c r="B158" t="s">
        <v>602</v>
      </c>
      <c r="C158" s="272" t="s">
        <v>277</v>
      </c>
      <c r="D158" t="s">
        <v>288</v>
      </c>
      <c r="E158" s="209">
        <v>46243</v>
      </c>
      <c r="F158" s="209">
        <v>46243</v>
      </c>
      <c r="G158" s="214" t="s">
        <v>603</v>
      </c>
      <c r="I158" t="s">
        <v>595</v>
      </c>
      <c r="R158" t="str">
        <f t="shared" si="2"/>
        <v>E9 Data Ops</v>
      </c>
    </row>
    <row r="159" spans="1:18" ht="28.8" customHeight="1" x14ac:dyDescent="0.55000000000000004">
      <c r="A159" t="s">
        <v>354</v>
      </c>
      <c r="B159" t="s">
        <v>604</v>
      </c>
      <c r="C159" s="272" t="s">
        <v>277</v>
      </c>
      <c r="D159" t="s">
        <v>300</v>
      </c>
      <c r="E159" s="209">
        <v>46243</v>
      </c>
      <c r="F159" s="209">
        <v>46243</v>
      </c>
      <c r="G159" s="214" t="s">
        <v>605</v>
      </c>
      <c r="I159" t="s">
        <v>595</v>
      </c>
      <c r="R159" t="str">
        <f t="shared" si="2"/>
        <v>E8 Model Quality</v>
      </c>
    </row>
    <row r="160" spans="1:18" ht="28.8" customHeight="1" x14ac:dyDescent="0.55000000000000004">
      <c r="A160" t="s">
        <v>415</v>
      </c>
      <c r="B160" t="s">
        <v>606</v>
      </c>
      <c r="C160" s="272" t="s">
        <v>277</v>
      </c>
      <c r="D160" t="s">
        <v>330</v>
      </c>
      <c r="E160" s="209">
        <v>46243</v>
      </c>
      <c r="F160" s="209">
        <v>46243</v>
      </c>
      <c r="G160" s="214" t="s">
        <v>607</v>
      </c>
      <c r="I160" t="s">
        <v>595</v>
      </c>
      <c r="R160" t="str">
        <f t="shared" si="2"/>
        <v>E10 Deploy</v>
      </c>
    </row>
    <row r="161" spans="1:18" ht="43.2" customHeight="1" x14ac:dyDescent="0.55000000000000004">
      <c r="A161" t="s">
        <v>354</v>
      </c>
      <c r="B161" t="s">
        <v>608</v>
      </c>
      <c r="C161" s="272" t="s">
        <v>277</v>
      </c>
      <c r="D161" t="s">
        <v>300</v>
      </c>
      <c r="E161" s="209">
        <v>46243</v>
      </c>
      <c r="F161" s="209">
        <v>46243</v>
      </c>
      <c r="G161" s="214" t="s">
        <v>609</v>
      </c>
      <c r="I161" t="s">
        <v>595</v>
      </c>
      <c r="R161" t="str">
        <f t="shared" si="2"/>
        <v>E8 Model Quality</v>
      </c>
    </row>
    <row r="162" spans="1:18" ht="43.2" customHeight="1" x14ac:dyDescent="0.55000000000000004">
      <c r="A162" t="s">
        <v>354</v>
      </c>
      <c r="B162" t="s">
        <v>610</v>
      </c>
      <c r="C162" s="272" t="s">
        <v>277</v>
      </c>
      <c r="D162" t="s">
        <v>300</v>
      </c>
      <c r="E162" s="209">
        <v>46243</v>
      </c>
      <c r="F162" s="209">
        <v>46243</v>
      </c>
      <c r="G162" s="214" t="s">
        <v>611</v>
      </c>
      <c r="I162" t="s">
        <v>595</v>
      </c>
      <c r="R162" t="str">
        <f t="shared" si="2"/>
        <v>E8 Model Quality</v>
      </c>
    </row>
    <row r="163" spans="1:18" ht="43.2" customHeight="1" x14ac:dyDescent="0.55000000000000004">
      <c r="A163" t="s">
        <v>354</v>
      </c>
      <c r="B163" t="s">
        <v>612</v>
      </c>
      <c r="C163" s="272" t="s">
        <v>277</v>
      </c>
      <c r="D163" t="s">
        <v>300</v>
      </c>
      <c r="E163" s="209">
        <v>46243</v>
      </c>
      <c r="F163" s="209">
        <v>46243</v>
      </c>
      <c r="G163" s="214" t="s">
        <v>613</v>
      </c>
      <c r="I163" t="s">
        <v>595</v>
      </c>
      <c r="R163" t="str">
        <f t="shared" si="2"/>
        <v>E8 Model Quality</v>
      </c>
    </row>
    <row r="164" spans="1:18" ht="28.8" customHeight="1" x14ac:dyDescent="0.55000000000000004">
      <c r="A164" t="s">
        <v>444</v>
      </c>
      <c r="B164" t="s">
        <v>614</v>
      </c>
      <c r="C164" s="272" t="s">
        <v>277</v>
      </c>
      <c r="D164" t="s">
        <v>615</v>
      </c>
      <c r="E164" s="209">
        <v>46243</v>
      </c>
      <c r="F164" s="209">
        <v>46243</v>
      </c>
      <c r="G164" s="214" t="s">
        <v>616</v>
      </c>
      <c r="I164" t="s">
        <v>595</v>
      </c>
      <c r="R164" t="str">
        <f t="shared" si="2"/>
        <v>E11 Ops Resilience</v>
      </c>
    </row>
    <row r="165" spans="1:18" ht="43.2" customHeight="1" x14ac:dyDescent="0.55000000000000004">
      <c r="A165" t="s">
        <v>384</v>
      </c>
      <c r="B165" t="s">
        <v>617</v>
      </c>
      <c r="C165" s="272" t="s">
        <v>277</v>
      </c>
      <c r="D165" t="s">
        <v>288</v>
      </c>
      <c r="E165" s="209">
        <v>46243</v>
      </c>
      <c r="F165" s="209">
        <v>46243</v>
      </c>
      <c r="G165" s="214" t="s">
        <v>618</v>
      </c>
      <c r="I165" t="s">
        <v>595</v>
      </c>
      <c r="R165" t="str">
        <f t="shared" si="2"/>
        <v>E9 Data Ops</v>
      </c>
    </row>
    <row r="166" spans="1:18" ht="28.8" customHeight="1" x14ac:dyDescent="0.55000000000000004">
      <c r="A166" t="s">
        <v>384</v>
      </c>
      <c r="B166" t="s">
        <v>619</v>
      </c>
      <c r="C166" s="272" t="s">
        <v>277</v>
      </c>
      <c r="D166" t="s">
        <v>288</v>
      </c>
      <c r="E166" s="209">
        <v>46243</v>
      </c>
      <c r="F166" s="209">
        <v>46243</v>
      </c>
      <c r="G166" s="214" t="s">
        <v>620</v>
      </c>
      <c r="I166" t="s">
        <v>595</v>
      </c>
      <c r="R166" t="str">
        <f t="shared" si="2"/>
        <v>E9 Data Ops</v>
      </c>
    </row>
    <row r="167" spans="1:18" ht="28.8" customHeight="1" x14ac:dyDescent="0.55000000000000004">
      <c r="A167" t="s">
        <v>384</v>
      </c>
      <c r="B167" t="s">
        <v>621</v>
      </c>
      <c r="C167" s="272" t="s">
        <v>277</v>
      </c>
      <c r="D167" t="s">
        <v>288</v>
      </c>
      <c r="E167" s="209">
        <v>46243</v>
      </c>
      <c r="F167" s="209">
        <v>46247</v>
      </c>
      <c r="G167" s="214" t="s">
        <v>622</v>
      </c>
      <c r="R167" t="str">
        <f t="shared" si="2"/>
        <v>E9 Data Ops</v>
      </c>
    </row>
    <row r="168" spans="1:18" ht="28.8" customHeight="1" x14ac:dyDescent="0.55000000000000004">
      <c r="A168" t="s">
        <v>354</v>
      </c>
      <c r="B168" t="s">
        <v>623</v>
      </c>
      <c r="C168" s="272" t="s">
        <v>277</v>
      </c>
      <c r="D168" t="s">
        <v>300</v>
      </c>
      <c r="E168" s="209">
        <v>46243</v>
      </c>
      <c r="F168" s="209">
        <v>46247</v>
      </c>
      <c r="G168" s="214" t="s">
        <v>624</v>
      </c>
      <c r="R168" t="str">
        <f t="shared" si="2"/>
        <v>E8 Model Quality</v>
      </c>
    </row>
    <row r="169" spans="1:18" ht="43.2" customHeight="1" x14ac:dyDescent="0.55000000000000004">
      <c r="A169" t="s">
        <v>354</v>
      </c>
      <c r="B169" t="s">
        <v>625</v>
      </c>
      <c r="C169" s="185" t="s">
        <v>16</v>
      </c>
      <c r="D169" t="s">
        <v>300</v>
      </c>
      <c r="E169" s="209">
        <v>46243</v>
      </c>
      <c r="G169" s="214" t="s">
        <v>626</v>
      </c>
      <c r="R169" t="str">
        <f t="shared" si="2"/>
        <v>E8 Model Quality</v>
      </c>
    </row>
    <row r="170" spans="1:18" ht="28.8" customHeight="1" x14ac:dyDescent="0.55000000000000004">
      <c r="A170" t="s">
        <v>354</v>
      </c>
      <c r="B170" t="s">
        <v>627</v>
      </c>
      <c r="C170" s="272" t="s">
        <v>277</v>
      </c>
      <c r="D170" t="s">
        <v>300</v>
      </c>
      <c r="E170" s="209">
        <v>46243</v>
      </c>
      <c r="F170" s="209">
        <v>46247</v>
      </c>
      <c r="G170" s="214" t="s">
        <v>628</v>
      </c>
      <c r="R170" t="str">
        <f t="shared" si="2"/>
        <v>E8 Model Quality</v>
      </c>
    </row>
    <row r="171" spans="1:18" ht="28.8" customHeight="1" x14ac:dyDescent="0.55000000000000004">
      <c r="A171" t="s">
        <v>354</v>
      </c>
      <c r="B171" t="s">
        <v>629</v>
      </c>
      <c r="C171" s="272" t="s">
        <v>277</v>
      </c>
      <c r="D171" t="s">
        <v>300</v>
      </c>
      <c r="E171" s="209">
        <v>46243</v>
      </c>
      <c r="F171" s="209">
        <v>46247</v>
      </c>
      <c r="G171" s="214" t="s">
        <v>630</v>
      </c>
      <c r="R171" t="str">
        <f t="shared" si="2"/>
        <v>E8 Model Quality</v>
      </c>
    </row>
    <row r="172" spans="1:18" ht="28.8" customHeight="1" x14ac:dyDescent="0.55000000000000004">
      <c r="A172" t="s">
        <v>354</v>
      </c>
      <c r="B172" t="s">
        <v>631</v>
      </c>
      <c r="C172" s="185" t="s">
        <v>16</v>
      </c>
      <c r="D172" t="s">
        <v>300</v>
      </c>
      <c r="E172" s="209">
        <v>46243</v>
      </c>
      <c r="G172" s="214" t="s">
        <v>632</v>
      </c>
      <c r="R172" t="str">
        <f t="shared" si="2"/>
        <v>E8 Model Quality</v>
      </c>
    </row>
    <row r="173" spans="1:18" ht="28.8" customHeight="1" x14ac:dyDescent="0.55000000000000004">
      <c r="A173" t="s">
        <v>328</v>
      </c>
      <c r="B173" t="s">
        <v>633</v>
      </c>
      <c r="C173" s="185" t="s">
        <v>16</v>
      </c>
      <c r="D173" t="s">
        <v>330</v>
      </c>
      <c r="E173" s="209">
        <v>46243</v>
      </c>
      <c r="G173" s="214" t="s">
        <v>634</v>
      </c>
      <c r="R173" t="str">
        <f t="shared" si="2"/>
        <v>E6 Picks</v>
      </c>
    </row>
    <row r="174" spans="1:18" ht="57.6" customHeight="1" x14ac:dyDescent="0.55000000000000004">
      <c r="A174" t="s">
        <v>384</v>
      </c>
      <c r="B174" t="s">
        <v>635</v>
      </c>
      <c r="C174" s="272" t="s">
        <v>277</v>
      </c>
      <c r="D174" t="s">
        <v>288</v>
      </c>
      <c r="E174" s="209">
        <v>46243</v>
      </c>
      <c r="G174" s="214" t="s">
        <v>636</v>
      </c>
      <c r="R174" t="str">
        <f t="shared" si="2"/>
        <v>E9 Data Ops</v>
      </c>
    </row>
    <row r="175" spans="1:18" ht="28.8" customHeight="1" x14ac:dyDescent="0.55000000000000004">
      <c r="A175" t="s">
        <v>384</v>
      </c>
      <c r="B175" t="s">
        <v>637</v>
      </c>
      <c r="C175" s="185" t="s">
        <v>16</v>
      </c>
      <c r="D175" t="s">
        <v>288</v>
      </c>
      <c r="E175" s="209">
        <v>46243</v>
      </c>
      <c r="G175" s="214" t="s">
        <v>638</v>
      </c>
      <c r="R175" t="str">
        <f t="shared" si="2"/>
        <v>E9 Data Ops</v>
      </c>
    </row>
    <row r="176" spans="1:18" ht="100.8" customHeight="1" x14ac:dyDescent="0.55000000000000004">
      <c r="A176" t="s">
        <v>415</v>
      </c>
      <c r="B176" t="s">
        <v>639</v>
      </c>
      <c r="C176" s="272" t="s">
        <v>277</v>
      </c>
      <c r="D176" t="s">
        <v>330</v>
      </c>
      <c r="E176" s="209">
        <v>46243</v>
      </c>
      <c r="F176" s="209">
        <v>46244</v>
      </c>
      <c r="G176" s="214" t="s">
        <v>640</v>
      </c>
      <c r="R176" t="str">
        <f t="shared" si="2"/>
        <v>E10 Deploy</v>
      </c>
    </row>
    <row r="177" spans="1:18" ht="28.8" customHeight="1" x14ac:dyDescent="0.55000000000000004">
      <c r="A177" t="s">
        <v>444</v>
      </c>
      <c r="B177" t="s">
        <v>641</v>
      </c>
      <c r="C177" s="272" t="s">
        <v>277</v>
      </c>
      <c r="D177" t="s">
        <v>615</v>
      </c>
      <c r="E177" s="209">
        <v>46243</v>
      </c>
      <c r="F177" s="209">
        <v>46247</v>
      </c>
      <c r="G177" s="214" t="s">
        <v>642</v>
      </c>
      <c r="R177" t="str">
        <f t="shared" si="2"/>
        <v>E11 Ops Resilience</v>
      </c>
    </row>
    <row r="178" spans="1:18" ht="28.8" customHeight="1" x14ac:dyDescent="0.55000000000000004">
      <c r="A178" t="s">
        <v>444</v>
      </c>
      <c r="B178" t="s">
        <v>643</v>
      </c>
      <c r="C178" s="272" t="s">
        <v>277</v>
      </c>
      <c r="D178" t="s">
        <v>615</v>
      </c>
      <c r="E178" s="209">
        <v>46243</v>
      </c>
      <c r="F178" s="209">
        <v>46247</v>
      </c>
      <c r="G178" s="214" t="s">
        <v>644</v>
      </c>
      <c r="R178" t="str">
        <f t="shared" si="2"/>
        <v>E11 Ops Resilience</v>
      </c>
    </row>
    <row r="179" spans="1:18" ht="86.4" customHeight="1" x14ac:dyDescent="0.55000000000000004">
      <c r="A179" t="s">
        <v>444</v>
      </c>
      <c r="B179" t="s">
        <v>645</v>
      </c>
      <c r="C179" s="272" t="s">
        <v>277</v>
      </c>
      <c r="D179" t="s">
        <v>615</v>
      </c>
      <c r="E179" s="209">
        <v>46243</v>
      </c>
      <c r="F179" s="209">
        <v>46244</v>
      </c>
      <c r="G179" s="214" t="s">
        <v>646</v>
      </c>
      <c r="R179" t="str">
        <f t="shared" si="2"/>
        <v>E11 Ops Resilience</v>
      </c>
    </row>
    <row r="180" spans="1:18" ht="43.2" customHeight="1" x14ac:dyDescent="0.55000000000000004">
      <c r="A180" t="s">
        <v>384</v>
      </c>
      <c r="B180" t="s">
        <v>647</v>
      </c>
      <c r="C180" s="19" t="s">
        <v>392</v>
      </c>
      <c r="D180" t="s">
        <v>288</v>
      </c>
      <c r="E180" s="209">
        <v>46243</v>
      </c>
      <c r="G180" s="214" t="s">
        <v>648</v>
      </c>
      <c r="R180" t="str">
        <f t="shared" si="2"/>
        <v>E9 Data Ops</v>
      </c>
    </row>
    <row r="181" spans="1:18" ht="28.8" customHeight="1" x14ac:dyDescent="0.55000000000000004">
      <c r="A181" t="s">
        <v>384</v>
      </c>
      <c r="B181" t="s">
        <v>649</v>
      </c>
      <c r="C181" s="272" t="s">
        <v>277</v>
      </c>
      <c r="D181" t="s">
        <v>288</v>
      </c>
      <c r="E181" s="209">
        <v>46244</v>
      </c>
      <c r="F181" s="209">
        <v>46243</v>
      </c>
      <c r="G181" s="214" t="s">
        <v>650</v>
      </c>
      <c r="R181" t="str">
        <f t="shared" si="2"/>
        <v>E9 Data Ops</v>
      </c>
    </row>
    <row r="182" spans="1:18" ht="72" customHeight="1" x14ac:dyDescent="0.55000000000000004">
      <c r="A182" t="s">
        <v>306</v>
      </c>
      <c r="B182" t="s">
        <v>651</v>
      </c>
      <c r="C182" s="272" t="s">
        <v>277</v>
      </c>
      <c r="D182" t="s">
        <v>300</v>
      </c>
      <c r="E182" s="209">
        <v>46243</v>
      </c>
      <c r="F182" s="209">
        <v>46243</v>
      </c>
      <c r="G182" s="214" t="s">
        <v>652</v>
      </c>
      <c r="I182" t="s">
        <v>653</v>
      </c>
      <c r="R182" t="str">
        <f t="shared" si="2"/>
        <v>E4 ML Football</v>
      </c>
    </row>
    <row r="183" spans="1:18" ht="57.6" customHeight="1" x14ac:dyDescent="0.55000000000000004">
      <c r="B183" t="s">
        <v>654</v>
      </c>
      <c r="C183" s="272" t="s">
        <v>277</v>
      </c>
      <c r="D183" t="s">
        <v>288</v>
      </c>
      <c r="E183" s="209">
        <v>46244</v>
      </c>
      <c r="F183" s="209">
        <v>46244</v>
      </c>
      <c r="G183" s="214" t="s">
        <v>655</v>
      </c>
      <c r="J183" t="s">
        <v>653</v>
      </c>
      <c r="R183" t="str">
        <f t="shared" si="2"/>
        <v>E4 ML Football</v>
      </c>
    </row>
    <row r="184" spans="1:18" ht="72" customHeight="1" x14ac:dyDescent="0.55000000000000004">
      <c r="A184" t="s">
        <v>354</v>
      </c>
      <c r="B184" t="s">
        <v>656</v>
      </c>
      <c r="C184" s="272" t="s">
        <v>277</v>
      </c>
      <c r="D184" t="s">
        <v>330</v>
      </c>
      <c r="E184" s="209">
        <v>46244</v>
      </c>
      <c r="F184" s="209">
        <v>46244</v>
      </c>
      <c r="G184" s="214" t="s">
        <v>657</v>
      </c>
      <c r="J184" t="s">
        <v>653</v>
      </c>
      <c r="R184" t="str">
        <f t="shared" si="2"/>
        <v>E8 Model Quality</v>
      </c>
    </row>
    <row r="185" spans="1:18" ht="43.2" customHeight="1" x14ac:dyDescent="0.55000000000000004">
      <c r="A185" t="s">
        <v>444</v>
      </c>
      <c r="B185" t="s">
        <v>658</v>
      </c>
      <c r="C185" s="272" t="s">
        <v>277</v>
      </c>
      <c r="D185" t="s">
        <v>615</v>
      </c>
      <c r="E185" s="209">
        <v>46244</v>
      </c>
      <c r="F185" s="209">
        <v>46244</v>
      </c>
      <c r="G185" s="214" t="s">
        <v>659</v>
      </c>
      <c r="J185" t="s">
        <v>653</v>
      </c>
      <c r="R185" t="str">
        <f t="shared" si="2"/>
        <v>E11 Ops Resilience</v>
      </c>
    </row>
    <row r="186" spans="1:18" ht="72" customHeight="1" x14ac:dyDescent="0.55000000000000004">
      <c r="A186" t="s">
        <v>286</v>
      </c>
      <c r="B186" t="s">
        <v>660</v>
      </c>
      <c r="C186" s="272" t="s">
        <v>277</v>
      </c>
      <c r="D186" t="s">
        <v>330</v>
      </c>
      <c r="E186" s="209">
        <v>46244</v>
      </c>
      <c r="F186" s="209">
        <v>46244</v>
      </c>
      <c r="G186" s="214" t="s">
        <v>661</v>
      </c>
      <c r="J186" t="s">
        <v>653</v>
      </c>
      <c r="R186" t="str">
        <f t="shared" si="2"/>
        <v>E2 Ingestion</v>
      </c>
    </row>
    <row r="187" spans="1:18" ht="100.8" customHeight="1" x14ac:dyDescent="0.55000000000000004">
      <c r="B187" t="s">
        <v>662</v>
      </c>
      <c r="C187" s="272" t="s">
        <v>277</v>
      </c>
      <c r="D187" t="s">
        <v>330</v>
      </c>
      <c r="E187" s="209">
        <v>46244</v>
      </c>
      <c r="F187" s="209">
        <v>46244</v>
      </c>
      <c r="G187" s="214" t="s">
        <v>663</v>
      </c>
      <c r="J187" t="s">
        <v>653</v>
      </c>
      <c r="R187" t="str">
        <f t="shared" si="2"/>
        <v>E2 Ingestion</v>
      </c>
    </row>
    <row r="188" spans="1:18" ht="72" customHeight="1" x14ac:dyDescent="0.55000000000000004">
      <c r="A188" t="s">
        <v>384</v>
      </c>
      <c r="B188" t="s">
        <v>664</v>
      </c>
      <c r="C188" s="272" t="s">
        <v>277</v>
      </c>
      <c r="D188" t="s">
        <v>288</v>
      </c>
      <c r="E188" s="209">
        <v>46244</v>
      </c>
      <c r="F188" s="209">
        <v>46244</v>
      </c>
      <c r="G188" s="214" t="s">
        <v>665</v>
      </c>
      <c r="J188" t="s">
        <v>653</v>
      </c>
      <c r="R188" t="str">
        <f t="shared" si="2"/>
        <v>E9 Data Ops</v>
      </c>
    </row>
    <row r="189" spans="1:18" ht="129.6" customHeight="1" x14ac:dyDescent="0.55000000000000004">
      <c r="A189" t="s">
        <v>306</v>
      </c>
      <c r="B189" t="s">
        <v>666</v>
      </c>
      <c r="C189" s="272" t="s">
        <v>277</v>
      </c>
      <c r="D189" t="s">
        <v>300</v>
      </c>
      <c r="E189" s="209">
        <v>46244</v>
      </c>
      <c r="F189" s="209">
        <v>46244</v>
      </c>
      <c r="G189" s="214" t="s">
        <v>667</v>
      </c>
      <c r="J189" t="s">
        <v>653</v>
      </c>
      <c r="R189" t="str">
        <f t="shared" si="2"/>
        <v>E4 ML Football</v>
      </c>
    </row>
    <row r="190" spans="1:18" ht="187.2" customHeight="1" x14ac:dyDescent="0.55000000000000004">
      <c r="A190" t="s">
        <v>354</v>
      </c>
      <c r="B190" t="s">
        <v>668</v>
      </c>
      <c r="C190" s="272" t="s">
        <v>277</v>
      </c>
      <c r="D190" t="s">
        <v>300</v>
      </c>
      <c r="E190" s="209">
        <v>46244</v>
      </c>
      <c r="F190" s="209">
        <v>46244</v>
      </c>
      <c r="G190" s="214" t="s">
        <v>669</v>
      </c>
      <c r="J190" t="s">
        <v>653</v>
      </c>
      <c r="R190" t="str">
        <f t="shared" si="2"/>
        <v>E8 Model Quality</v>
      </c>
    </row>
    <row r="191" spans="1:18" ht="72" customHeight="1" x14ac:dyDescent="0.55000000000000004">
      <c r="A191" t="s">
        <v>384</v>
      </c>
      <c r="B191" t="s">
        <v>670</v>
      </c>
      <c r="C191" s="272" t="s">
        <v>277</v>
      </c>
      <c r="D191" t="s">
        <v>288</v>
      </c>
      <c r="E191" s="209">
        <v>46244</v>
      </c>
      <c r="F191" s="209">
        <v>46244</v>
      </c>
      <c r="G191" s="214" t="s">
        <v>671</v>
      </c>
      <c r="J191" t="s">
        <v>653</v>
      </c>
      <c r="R191" t="str">
        <f t="shared" si="2"/>
        <v>E9 Data Ops</v>
      </c>
    </row>
    <row r="192" spans="1:18" ht="100.8" customHeight="1" x14ac:dyDescent="0.55000000000000004">
      <c r="A192" t="s">
        <v>354</v>
      </c>
      <c r="B192" t="s">
        <v>672</v>
      </c>
      <c r="C192" s="272" t="s">
        <v>277</v>
      </c>
      <c r="D192" t="s">
        <v>330</v>
      </c>
      <c r="E192" s="209">
        <v>46244</v>
      </c>
      <c r="F192" s="209">
        <v>46244</v>
      </c>
      <c r="G192" s="214" t="s">
        <v>673</v>
      </c>
      <c r="J192" t="s">
        <v>653</v>
      </c>
      <c r="R192" t="str">
        <f t="shared" si="2"/>
        <v>E8 Model Quality</v>
      </c>
    </row>
    <row r="193" spans="1:18" ht="115.2" customHeight="1" x14ac:dyDescent="0.55000000000000004">
      <c r="A193" t="s">
        <v>286</v>
      </c>
      <c r="B193" t="s">
        <v>674</v>
      </c>
      <c r="C193" s="272" t="s">
        <v>277</v>
      </c>
      <c r="D193" t="s">
        <v>330</v>
      </c>
      <c r="E193" s="209">
        <v>46244</v>
      </c>
      <c r="F193" s="209">
        <v>46244</v>
      </c>
      <c r="G193" s="214" t="s">
        <v>675</v>
      </c>
      <c r="J193" t="s">
        <v>653</v>
      </c>
      <c r="R193" t="str">
        <f t="shared" si="2"/>
        <v>E2 Ingestion</v>
      </c>
    </row>
    <row r="194" spans="1:18" ht="86.4" customHeight="1" x14ac:dyDescent="0.55000000000000004">
      <c r="A194" t="s">
        <v>384</v>
      </c>
      <c r="B194" t="s">
        <v>676</v>
      </c>
      <c r="C194" s="272" t="s">
        <v>277</v>
      </c>
      <c r="D194" t="s">
        <v>288</v>
      </c>
      <c r="E194" s="209">
        <v>46244</v>
      </c>
      <c r="F194" s="209">
        <v>46244</v>
      </c>
      <c r="G194" s="214" t="s">
        <v>677</v>
      </c>
      <c r="J194" t="s">
        <v>653</v>
      </c>
      <c r="R194" t="str">
        <f t="shared" si="2"/>
        <v>E9 Data Ops</v>
      </c>
    </row>
    <row r="195" spans="1:18" ht="86.4" customHeight="1" x14ac:dyDescent="0.55000000000000004">
      <c r="B195" t="s">
        <v>678</v>
      </c>
      <c r="C195" s="272" t="s">
        <v>277</v>
      </c>
      <c r="D195" t="s">
        <v>288</v>
      </c>
      <c r="E195" s="209">
        <v>46244</v>
      </c>
      <c r="F195" s="209">
        <v>46244</v>
      </c>
      <c r="G195" s="214" t="s">
        <v>679</v>
      </c>
      <c r="J195" t="s">
        <v>653</v>
      </c>
      <c r="R195" t="str">
        <f t="shared" si="2"/>
        <v>E9 Data Ops</v>
      </c>
    </row>
    <row r="196" spans="1:18" ht="115.2" customHeight="1" x14ac:dyDescent="0.55000000000000004">
      <c r="A196" t="s">
        <v>306</v>
      </c>
      <c r="B196" t="s">
        <v>680</v>
      </c>
      <c r="C196" s="272" t="s">
        <v>277</v>
      </c>
      <c r="D196" t="s">
        <v>300</v>
      </c>
      <c r="E196" s="209">
        <v>46244</v>
      </c>
      <c r="F196" s="209">
        <v>46244</v>
      </c>
      <c r="G196" s="214" t="s">
        <v>681</v>
      </c>
      <c r="J196" t="s">
        <v>653</v>
      </c>
      <c r="R196" t="str">
        <f t="shared" si="2"/>
        <v>E4 ML Football</v>
      </c>
    </row>
    <row r="197" spans="1:18" ht="86.4" customHeight="1" x14ac:dyDescent="0.55000000000000004">
      <c r="A197" t="s">
        <v>444</v>
      </c>
      <c r="B197" t="s">
        <v>682</v>
      </c>
      <c r="C197" s="272" t="s">
        <v>277</v>
      </c>
      <c r="D197" t="s">
        <v>615</v>
      </c>
      <c r="E197" s="209">
        <v>46244</v>
      </c>
      <c r="F197" s="209">
        <v>46244</v>
      </c>
      <c r="G197" s="214" t="s">
        <v>683</v>
      </c>
      <c r="J197" t="s">
        <v>653</v>
      </c>
      <c r="R197" t="str">
        <f t="shared" ref="R197:R260" si="3">IF($A197&lt;&gt;"",$A197,R196)</f>
        <v>E11 Ops Resilience</v>
      </c>
    </row>
    <row r="198" spans="1:18" ht="86.4" customHeight="1" x14ac:dyDescent="0.55000000000000004">
      <c r="A198" t="s">
        <v>306</v>
      </c>
      <c r="B198" t="s">
        <v>684</v>
      </c>
      <c r="C198" s="19" t="s">
        <v>392</v>
      </c>
      <c r="D198" t="s">
        <v>300</v>
      </c>
      <c r="E198" s="209">
        <v>46327</v>
      </c>
      <c r="G198" s="214" t="s">
        <v>685</v>
      </c>
      <c r="R198" t="str">
        <f t="shared" si="3"/>
        <v>E4 ML Football</v>
      </c>
    </row>
    <row r="199" spans="1:18" ht="129.6" customHeight="1" x14ac:dyDescent="0.55000000000000004">
      <c r="A199" t="s">
        <v>317</v>
      </c>
      <c r="B199" t="s">
        <v>686</v>
      </c>
      <c r="C199" s="272" t="s">
        <v>277</v>
      </c>
      <c r="D199" t="s">
        <v>330</v>
      </c>
      <c r="E199" s="209">
        <v>46244</v>
      </c>
      <c r="F199" s="209">
        <v>46244</v>
      </c>
      <c r="G199" s="214" t="s">
        <v>687</v>
      </c>
      <c r="J199" t="s">
        <v>653</v>
      </c>
      <c r="R199" t="str">
        <f t="shared" si="3"/>
        <v>E5 ML Tennis</v>
      </c>
    </row>
    <row r="200" spans="1:18" ht="100.8" customHeight="1" x14ac:dyDescent="0.55000000000000004">
      <c r="A200" t="s">
        <v>384</v>
      </c>
      <c r="B200" t="s">
        <v>688</v>
      </c>
      <c r="C200" s="272" t="s">
        <v>277</v>
      </c>
      <c r="D200" t="s">
        <v>288</v>
      </c>
      <c r="E200" s="209">
        <v>46244</v>
      </c>
      <c r="F200" s="209">
        <v>46244</v>
      </c>
      <c r="G200" s="214" t="s">
        <v>689</v>
      </c>
      <c r="J200" t="s">
        <v>653</v>
      </c>
      <c r="R200" t="str">
        <f t="shared" si="3"/>
        <v>E9 Data Ops</v>
      </c>
    </row>
    <row r="201" spans="1:18" ht="72" customHeight="1" x14ac:dyDescent="0.55000000000000004">
      <c r="A201" t="s">
        <v>444</v>
      </c>
      <c r="B201" t="s">
        <v>690</v>
      </c>
      <c r="C201" s="272" t="s">
        <v>277</v>
      </c>
      <c r="D201" t="s">
        <v>615</v>
      </c>
      <c r="E201" s="209">
        <v>46244</v>
      </c>
      <c r="F201" s="209">
        <v>46244</v>
      </c>
      <c r="G201" s="214" t="s">
        <v>691</v>
      </c>
      <c r="J201" t="s">
        <v>653</v>
      </c>
      <c r="R201" t="str">
        <f t="shared" si="3"/>
        <v>E11 Ops Resilience</v>
      </c>
    </row>
    <row r="202" spans="1:18" ht="100.8" customHeight="1" x14ac:dyDescent="0.55000000000000004">
      <c r="B202" t="s">
        <v>692</v>
      </c>
      <c r="C202" s="272" t="s">
        <v>277</v>
      </c>
      <c r="D202" t="s">
        <v>615</v>
      </c>
      <c r="E202" s="209">
        <v>46244</v>
      </c>
      <c r="F202" s="209">
        <v>46244</v>
      </c>
      <c r="G202" s="214" t="s">
        <v>693</v>
      </c>
      <c r="J202" t="s">
        <v>653</v>
      </c>
      <c r="R202" t="str">
        <f t="shared" si="3"/>
        <v>E11 Ops Resilience</v>
      </c>
    </row>
    <row r="203" spans="1:18" ht="144" customHeight="1" x14ac:dyDescent="0.55000000000000004">
      <c r="A203" t="s">
        <v>354</v>
      </c>
      <c r="B203" t="s">
        <v>694</v>
      </c>
      <c r="C203" s="272" t="s">
        <v>277</v>
      </c>
      <c r="D203" t="s">
        <v>300</v>
      </c>
      <c r="E203" s="209">
        <v>46244</v>
      </c>
      <c r="F203" s="209">
        <v>46244</v>
      </c>
      <c r="G203" s="214" t="s">
        <v>695</v>
      </c>
      <c r="J203" t="s">
        <v>653</v>
      </c>
      <c r="R203" t="str">
        <f t="shared" si="3"/>
        <v>E8 Model Quality</v>
      </c>
    </row>
    <row r="204" spans="1:18" ht="57.6" customHeight="1" x14ac:dyDescent="0.55000000000000004">
      <c r="A204" t="s">
        <v>328</v>
      </c>
      <c r="B204" t="s">
        <v>696</v>
      </c>
      <c r="C204" s="272" t="s">
        <v>277</v>
      </c>
      <c r="D204" t="s">
        <v>330</v>
      </c>
      <c r="E204" s="209">
        <v>46244</v>
      </c>
      <c r="F204" s="209">
        <v>46244</v>
      </c>
      <c r="G204" s="214" t="s">
        <v>697</v>
      </c>
      <c r="J204" t="s">
        <v>653</v>
      </c>
      <c r="R204" t="str">
        <f t="shared" si="3"/>
        <v>E6 Picks</v>
      </c>
    </row>
    <row r="205" spans="1:18" ht="115.2" customHeight="1" x14ac:dyDescent="0.55000000000000004">
      <c r="B205" t="s">
        <v>698</v>
      </c>
      <c r="C205" s="272" t="s">
        <v>277</v>
      </c>
      <c r="D205" t="s">
        <v>330</v>
      </c>
      <c r="E205" s="209">
        <v>46244</v>
      </c>
      <c r="F205" s="209">
        <v>46244</v>
      </c>
      <c r="G205" s="214" t="s">
        <v>699</v>
      </c>
      <c r="J205" t="s">
        <v>653</v>
      </c>
      <c r="R205" t="str">
        <f t="shared" si="3"/>
        <v>E6 Picks</v>
      </c>
    </row>
    <row r="206" spans="1:18" ht="144" customHeight="1" x14ac:dyDescent="0.55000000000000004">
      <c r="A206" t="s">
        <v>354</v>
      </c>
      <c r="B206" t="s">
        <v>700</v>
      </c>
      <c r="C206" s="272" t="s">
        <v>277</v>
      </c>
      <c r="D206" t="s">
        <v>330</v>
      </c>
      <c r="E206" s="209">
        <v>46244</v>
      </c>
      <c r="F206" s="209">
        <v>46245</v>
      </c>
      <c r="G206" s="214" t="s">
        <v>701</v>
      </c>
      <c r="J206" t="s">
        <v>653</v>
      </c>
      <c r="R206" t="str">
        <f t="shared" si="3"/>
        <v>E8 Model Quality</v>
      </c>
    </row>
    <row r="207" spans="1:18" ht="129.6" customHeight="1" x14ac:dyDescent="0.55000000000000004">
      <c r="A207" t="s">
        <v>384</v>
      </c>
      <c r="B207" t="s">
        <v>702</v>
      </c>
      <c r="C207" s="272" t="s">
        <v>277</v>
      </c>
      <c r="D207" t="s">
        <v>288</v>
      </c>
      <c r="E207" s="209">
        <v>46244</v>
      </c>
      <c r="F207" s="209">
        <v>46245</v>
      </c>
      <c r="G207" s="214" t="s">
        <v>703</v>
      </c>
      <c r="J207" t="s">
        <v>653</v>
      </c>
      <c r="R207" t="str">
        <f t="shared" si="3"/>
        <v>E9 Data Ops</v>
      </c>
    </row>
    <row r="208" spans="1:18" ht="144" customHeight="1" x14ac:dyDescent="0.55000000000000004">
      <c r="A208" t="s">
        <v>328</v>
      </c>
      <c r="B208" t="s">
        <v>704</v>
      </c>
      <c r="C208" s="272" t="s">
        <v>277</v>
      </c>
      <c r="D208" t="s">
        <v>330</v>
      </c>
      <c r="E208" s="209">
        <v>46245</v>
      </c>
      <c r="F208" s="209">
        <v>46245</v>
      </c>
      <c r="G208" s="214" t="s">
        <v>705</v>
      </c>
      <c r="J208" t="s">
        <v>653</v>
      </c>
      <c r="R208" t="str">
        <f t="shared" si="3"/>
        <v>E6 Picks</v>
      </c>
    </row>
    <row r="209" spans="1:18" ht="57.6" customHeight="1" x14ac:dyDescent="0.55000000000000004">
      <c r="A209" t="s">
        <v>444</v>
      </c>
      <c r="B209" t="s">
        <v>706</v>
      </c>
      <c r="C209" s="272" t="s">
        <v>277</v>
      </c>
      <c r="D209" t="s">
        <v>615</v>
      </c>
      <c r="E209" s="209">
        <v>46245</v>
      </c>
      <c r="F209" s="209">
        <v>46245</v>
      </c>
      <c r="G209" s="214" t="s">
        <v>707</v>
      </c>
      <c r="J209" t="s">
        <v>653</v>
      </c>
      <c r="R209" t="str">
        <f t="shared" si="3"/>
        <v>E11 Ops Resilience</v>
      </c>
    </row>
    <row r="210" spans="1:18" ht="86.4" customHeight="1" x14ac:dyDescent="0.55000000000000004">
      <c r="A210" t="s">
        <v>354</v>
      </c>
      <c r="B210" t="s">
        <v>708</v>
      </c>
      <c r="C210" s="272" t="s">
        <v>277</v>
      </c>
      <c r="D210" t="s">
        <v>330</v>
      </c>
      <c r="E210" s="209">
        <v>46245</v>
      </c>
      <c r="F210" s="209">
        <v>46245</v>
      </c>
      <c r="G210" s="214" t="s">
        <v>709</v>
      </c>
      <c r="J210" t="s">
        <v>653</v>
      </c>
      <c r="R210" t="str">
        <f t="shared" si="3"/>
        <v>E8 Model Quality</v>
      </c>
    </row>
    <row r="211" spans="1:18" ht="72" customHeight="1" x14ac:dyDescent="0.55000000000000004">
      <c r="A211" t="s">
        <v>444</v>
      </c>
      <c r="B211" t="s">
        <v>710</v>
      </c>
      <c r="C211" s="272" t="s">
        <v>277</v>
      </c>
      <c r="D211" t="s">
        <v>330</v>
      </c>
      <c r="E211" s="209">
        <v>46246</v>
      </c>
      <c r="F211" s="209">
        <v>46246</v>
      </c>
      <c r="G211" s="214" t="s">
        <v>711</v>
      </c>
      <c r="J211" t="s">
        <v>653</v>
      </c>
      <c r="R211" t="str">
        <f t="shared" si="3"/>
        <v>E11 Ops Resilience</v>
      </c>
    </row>
    <row r="212" spans="1:18" ht="43.2" customHeight="1" x14ac:dyDescent="0.55000000000000004">
      <c r="A212" t="s">
        <v>444</v>
      </c>
      <c r="B212" t="s">
        <v>712</v>
      </c>
      <c r="C212" s="272" t="s">
        <v>277</v>
      </c>
      <c r="D212" t="s">
        <v>330</v>
      </c>
      <c r="E212" s="209">
        <v>46246</v>
      </c>
      <c r="F212" s="209">
        <v>46246</v>
      </c>
      <c r="G212" s="214" t="s">
        <v>713</v>
      </c>
      <c r="J212" t="s">
        <v>653</v>
      </c>
      <c r="R212" t="str">
        <f t="shared" si="3"/>
        <v>E11 Ops Resilience</v>
      </c>
    </row>
    <row r="213" spans="1:18" ht="57.6" customHeight="1" x14ac:dyDescent="0.55000000000000004">
      <c r="A213" t="s">
        <v>444</v>
      </c>
      <c r="B213" t="s">
        <v>714</v>
      </c>
      <c r="C213" s="272" t="s">
        <v>277</v>
      </c>
      <c r="D213" t="s">
        <v>330</v>
      </c>
      <c r="E213" s="209">
        <v>46246</v>
      </c>
      <c r="F213" s="209">
        <v>46246</v>
      </c>
      <c r="G213" s="214" t="s">
        <v>715</v>
      </c>
      <c r="J213" t="s">
        <v>653</v>
      </c>
      <c r="R213" t="str">
        <f t="shared" si="3"/>
        <v>E11 Ops Resilience</v>
      </c>
    </row>
    <row r="214" spans="1:18" ht="72" customHeight="1" x14ac:dyDescent="0.55000000000000004">
      <c r="A214" t="s">
        <v>354</v>
      </c>
      <c r="B214" t="s">
        <v>716</v>
      </c>
      <c r="C214" s="272" t="s">
        <v>277</v>
      </c>
      <c r="D214" t="s">
        <v>300</v>
      </c>
      <c r="E214" s="209">
        <v>46247</v>
      </c>
      <c r="F214" s="209">
        <v>46247</v>
      </c>
      <c r="G214" s="214" t="s">
        <v>717</v>
      </c>
      <c r="J214" t="s">
        <v>653</v>
      </c>
      <c r="R214" t="str">
        <f t="shared" si="3"/>
        <v>E8 Model Quality</v>
      </c>
    </row>
    <row r="215" spans="1:18" ht="57.6" customHeight="1" x14ac:dyDescent="0.55000000000000004">
      <c r="A215" t="s">
        <v>354</v>
      </c>
      <c r="B215" t="s">
        <v>718</v>
      </c>
      <c r="C215" s="272" t="s">
        <v>277</v>
      </c>
      <c r="D215" t="s">
        <v>300</v>
      </c>
      <c r="E215" s="209">
        <v>46247</v>
      </c>
      <c r="F215" s="209">
        <v>46247</v>
      </c>
      <c r="G215" s="214" t="s">
        <v>719</v>
      </c>
      <c r="J215" t="s">
        <v>653</v>
      </c>
      <c r="R215" t="str">
        <f t="shared" si="3"/>
        <v>E8 Model Quality</v>
      </c>
    </row>
    <row r="216" spans="1:18" ht="57.6" customHeight="1" x14ac:dyDescent="0.55000000000000004">
      <c r="A216" t="s">
        <v>444</v>
      </c>
      <c r="B216" t="s">
        <v>720</v>
      </c>
      <c r="C216" s="272" t="s">
        <v>277</v>
      </c>
      <c r="D216" t="s">
        <v>330</v>
      </c>
      <c r="E216" s="209">
        <v>46247</v>
      </c>
      <c r="F216" s="209">
        <v>46247</v>
      </c>
      <c r="G216" s="214" t="s">
        <v>721</v>
      </c>
      <c r="J216" t="s">
        <v>653</v>
      </c>
      <c r="R216" t="str">
        <f t="shared" si="3"/>
        <v>E11 Ops Resilience</v>
      </c>
    </row>
    <row r="217" spans="1:18" ht="86.4" customHeight="1" x14ac:dyDescent="0.55000000000000004">
      <c r="A217" t="s">
        <v>354</v>
      </c>
      <c r="B217" t="s">
        <v>722</v>
      </c>
      <c r="C217" s="272" t="s">
        <v>277</v>
      </c>
      <c r="D217" t="s">
        <v>300</v>
      </c>
      <c r="E217" s="209">
        <v>46247</v>
      </c>
      <c r="F217" s="209">
        <v>46247</v>
      </c>
      <c r="G217" s="214" t="s">
        <v>723</v>
      </c>
      <c r="J217" t="s">
        <v>653</v>
      </c>
      <c r="R217" t="str">
        <f t="shared" si="3"/>
        <v>E8 Model Quality</v>
      </c>
    </row>
    <row r="218" spans="1:18" ht="72" customHeight="1" x14ac:dyDescent="0.55000000000000004">
      <c r="A218" t="s">
        <v>354</v>
      </c>
      <c r="B218" t="s">
        <v>724</v>
      </c>
      <c r="C218" s="272" t="s">
        <v>277</v>
      </c>
      <c r="D218" t="s">
        <v>330</v>
      </c>
      <c r="E218" s="209">
        <v>46247</v>
      </c>
      <c r="F218" s="209">
        <v>46247</v>
      </c>
      <c r="G218" s="214" t="s">
        <v>725</v>
      </c>
      <c r="J218" t="s">
        <v>653</v>
      </c>
      <c r="R218" t="str">
        <f t="shared" si="3"/>
        <v>E8 Model Quality</v>
      </c>
    </row>
    <row r="219" spans="1:18" ht="86.4" customHeight="1" x14ac:dyDescent="0.55000000000000004">
      <c r="A219" t="s">
        <v>328</v>
      </c>
      <c r="B219" t="s">
        <v>726</v>
      </c>
      <c r="C219" s="272" t="s">
        <v>277</v>
      </c>
      <c r="D219" t="s">
        <v>330</v>
      </c>
      <c r="E219" s="209">
        <v>46247</v>
      </c>
      <c r="F219" s="209">
        <v>46247</v>
      </c>
      <c r="G219" s="214" t="s">
        <v>727</v>
      </c>
      <c r="J219" t="s">
        <v>653</v>
      </c>
      <c r="R219" t="str">
        <f t="shared" si="3"/>
        <v>E6 Picks</v>
      </c>
    </row>
    <row r="220" spans="1:18" ht="72" customHeight="1" x14ac:dyDescent="0.55000000000000004">
      <c r="A220" t="s">
        <v>354</v>
      </c>
      <c r="B220" t="s">
        <v>728</v>
      </c>
      <c r="C220" s="272" t="s">
        <v>277</v>
      </c>
      <c r="D220" t="s">
        <v>300</v>
      </c>
      <c r="E220" s="209">
        <v>46247</v>
      </c>
      <c r="F220" s="209">
        <v>46247</v>
      </c>
      <c r="G220" s="214" t="s">
        <v>729</v>
      </c>
      <c r="J220" t="s">
        <v>653</v>
      </c>
      <c r="R220" t="str">
        <f t="shared" si="3"/>
        <v>E8 Model Quality</v>
      </c>
    </row>
    <row r="221" spans="1:18" ht="57.6" customHeight="1" x14ac:dyDescent="0.55000000000000004">
      <c r="A221" t="s">
        <v>384</v>
      </c>
      <c r="B221" t="s">
        <v>730</v>
      </c>
      <c r="C221" s="272" t="s">
        <v>277</v>
      </c>
      <c r="D221" t="s">
        <v>300</v>
      </c>
      <c r="E221" s="209">
        <v>46247</v>
      </c>
      <c r="F221" s="209">
        <v>46247</v>
      </c>
      <c r="G221" s="214" t="s">
        <v>731</v>
      </c>
      <c r="J221" t="s">
        <v>653</v>
      </c>
      <c r="R221" t="str">
        <f t="shared" si="3"/>
        <v>E9 Data Ops</v>
      </c>
    </row>
    <row r="222" spans="1:18" ht="72" customHeight="1" x14ac:dyDescent="0.55000000000000004">
      <c r="A222" t="s">
        <v>328</v>
      </c>
      <c r="B222" t="s">
        <v>732</v>
      </c>
      <c r="C222" s="272" t="s">
        <v>277</v>
      </c>
      <c r="D222" t="s">
        <v>330</v>
      </c>
      <c r="E222" s="209">
        <v>46247</v>
      </c>
      <c r="F222" s="209">
        <v>46247</v>
      </c>
      <c r="G222" s="214" t="s">
        <v>733</v>
      </c>
      <c r="J222" t="s">
        <v>653</v>
      </c>
      <c r="R222" t="str">
        <f t="shared" si="3"/>
        <v>E6 Picks</v>
      </c>
    </row>
    <row r="223" spans="1:18" ht="57.6" customHeight="1" x14ac:dyDescent="0.55000000000000004">
      <c r="A223" t="s">
        <v>384</v>
      </c>
      <c r="B223" t="s">
        <v>734</v>
      </c>
      <c r="C223" s="272" t="s">
        <v>277</v>
      </c>
      <c r="D223" t="s">
        <v>300</v>
      </c>
      <c r="E223" s="209">
        <v>46247</v>
      </c>
      <c r="F223" s="209">
        <v>46247</v>
      </c>
      <c r="G223" s="214" t="s">
        <v>735</v>
      </c>
      <c r="J223" t="s">
        <v>653</v>
      </c>
      <c r="R223" t="str">
        <f t="shared" si="3"/>
        <v>E9 Data Ops</v>
      </c>
    </row>
    <row r="224" spans="1:18" ht="72" customHeight="1" x14ac:dyDescent="0.55000000000000004">
      <c r="A224" t="s">
        <v>384</v>
      </c>
      <c r="B224" t="s">
        <v>736</v>
      </c>
      <c r="C224" s="272" t="s">
        <v>277</v>
      </c>
      <c r="D224" t="s">
        <v>300</v>
      </c>
      <c r="E224" s="209">
        <v>46247</v>
      </c>
      <c r="F224" s="209">
        <v>46247</v>
      </c>
      <c r="G224" s="214" t="s">
        <v>737</v>
      </c>
      <c r="J224" t="s">
        <v>653</v>
      </c>
      <c r="R224" t="str">
        <f t="shared" si="3"/>
        <v>E9 Data Ops</v>
      </c>
    </row>
    <row r="225" spans="1:18" ht="57.6" customHeight="1" x14ac:dyDescent="0.55000000000000004">
      <c r="A225" t="s">
        <v>354</v>
      </c>
      <c r="B225" t="s">
        <v>738</v>
      </c>
      <c r="C225" s="272" t="s">
        <v>277</v>
      </c>
      <c r="D225" t="s">
        <v>300</v>
      </c>
      <c r="E225" s="209">
        <v>46247</v>
      </c>
      <c r="F225" s="209">
        <v>46247</v>
      </c>
      <c r="G225" s="214" t="s">
        <v>739</v>
      </c>
      <c r="J225" t="s">
        <v>653</v>
      </c>
      <c r="R225" t="str">
        <f t="shared" si="3"/>
        <v>E8 Model Quality</v>
      </c>
    </row>
    <row r="226" spans="1:18" ht="43.2" customHeight="1" x14ac:dyDescent="0.55000000000000004">
      <c r="A226" t="s">
        <v>384</v>
      </c>
      <c r="B226" t="s">
        <v>740</v>
      </c>
      <c r="C226" s="272" t="s">
        <v>277</v>
      </c>
      <c r="D226" t="s">
        <v>741</v>
      </c>
      <c r="E226" s="209">
        <v>46247</v>
      </c>
      <c r="F226" s="209">
        <v>46247</v>
      </c>
      <c r="G226" s="214" t="s">
        <v>742</v>
      </c>
      <c r="J226" t="s">
        <v>653</v>
      </c>
      <c r="R226" t="str">
        <f t="shared" si="3"/>
        <v>E9 Data Ops</v>
      </c>
    </row>
    <row r="227" spans="1:18" ht="86.4" customHeight="1" x14ac:dyDescent="0.55000000000000004">
      <c r="A227" t="s">
        <v>384</v>
      </c>
      <c r="B227" t="s">
        <v>743</v>
      </c>
      <c r="C227" s="272" t="s">
        <v>277</v>
      </c>
      <c r="D227" t="s">
        <v>300</v>
      </c>
      <c r="E227" s="209">
        <v>46247</v>
      </c>
      <c r="F227" s="209">
        <v>46247</v>
      </c>
      <c r="G227" s="214" t="s">
        <v>744</v>
      </c>
      <c r="J227" t="s">
        <v>653</v>
      </c>
      <c r="R227" t="str">
        <f t="shared" si="3"/>
        <v>E9 Data Ops</v>
      </c>
    </row>
    <row r="228" spans="1:18" x14ac:dyDescent="0.55000000000000004">
      <c r="A228" t="s">
        <v>354</v>
      </c>
      <c r="B228" t="s">
        <v>745</v>
      </c>
      <c r="C228" s="272" t="s">
        <v>277</v>
      </c>
      <c r="D228" t="s">
        <v>300</v>
      </c>
      <c r="E228" s="209">
        <v>46247</v>
      </c>
      <c r="F228" s="209">
        <v>46247</v>
      </c>
      <c r="G228" s="214"/>
      <c r="J228" t="s">
        <v>653</v>
      </c>
      <c r="R228" t="str">
        <f t="shared" si="3"/>
        <v>E8 Model Quality</v>
      </c>
    </row>
    <row r="229" spans="1:18" x14ac:dyDescent="0.55000000000000004">
      <c r="A229" t="s">
        <v>354</v>
      </c>
      <c r="B229" t="s">
        <v>746</v>
      </c>
      <c r="C229" s="272" t="s">
        <v>277</v>
      </c>
      <c r="D229" t="s">
        <v>300</v>
      </c>
      <c r="E229" s="209">
        <v>46247</v>
      </c>
      <c r="F229" s="209">
        <v>46247</v>
      </c>
      <c r="G229" s="214"/>
      <c r="J229" t="s">
        <v>653</v>
      </c>
      <c r="R229" t="str">
        <f t="shared" si="3"/>
        <v>E8 Model Quality</v>
      </c>
    </row>
    <row r="230" spans="1:18" x14ac:dyDescent="0.55000000000000004">
      <c r="A230" t="s">
        <v>328</v>
      </c>
      <c r="B230" t="s">
        <v>747</v>
      </c>
      <c r="C230" s="272" t="s">
        <v>277</v>
      </c>
      <c r="D230" t="s">
        <v>330</v>
      </c>
      <c r="E230" s="209">
        <v>46247</v>
      </c>
      <c r="F230" s="209">
        <v>46247</v>
      </c>
      <c r="G230" s="214"/>
      <c r="J230" t="s">
        <v>653</v>
      </c>
      <c r="R230" t="str">
        <f t="shared" si="3"/>
        <v>E6 Picks</v>
      </c>
    </row>
    <row r="231" spans="1:18" x14ac:dyDescent="0.55000000000000004">
      <c r="A231" t="s">
        <v>354</v>
      </c>
      <c r="B231" t="s">
        <v>748</v>
      </c>
      <c r="C231" s="272" t="s">
        <v>277</v>
      </c>
      <c r="D231" t="s">
        <v>300</v>
      </c>
      <c r="E231" s="209">
        <v>46247</v>
      </c>
      <c r="F231" s="209">
        <v>46247</v>
      </c>
      <c r="G231" s="214"/>
      <c r="J231" t="s">
        <v>653</v>
      </c>
      <c r="R231" t="str">
        <f t="shared" si="3"/>
        <v>E8 Model Quality</v>
      </c>
    </row>
    <row r="232" spans="1:18" x14ac:dyDescent="0.55000000000000004">
      <c r="A232" t="s">
        <v>354</v>
      </c>
      <c r="B232" t="s">
        <v>749</v>
      </c>
      <c r="C232" s="272" t="s">
        <v>277</v>
      </c>
      <c r="D232" t="s">
        <v>330</v>
      </c>
      <c r="E232" s="209">
        <v>46247</v>
      </c>
      <c r="F232" s="209">
        <v>46247</v>
      </c>
      <c r="G232" s="214"/>
      <c r="J232" t="s">
        <v>653</v>
      </c>
      <c r="R232" t="str">
        <f t="shared" si="3"/>
        <v>E8 Model Quality</v>
      </c>
    </row>
    <row r="233" spans="1:18" x14ac:dyDescent="0.55000000000000004">
      <c r="A233" t="s">
        <v>444</v>
      </c>
      <c r="B233" t="s">
        <v>750</v>
      </c>
      <c r="C233" s="272" t="s">
        <v>277</v>
      </c>
      <c r="D233" t="s">
        <v>330</v>
      </c>
      <c r="E233" s="209">
        <v>46247</v>
      </c>
      <c r="F233" s="209">
        <v>46247</v>
      </c>
      <c r="G233" s="214"/>
      <c r="J233" t="s">
        <v>653</v>
      </c>
      <c r="R233" t="str">
        <f t="shared" si="3"/>
        <v>E11 Ops Resilience</v>
      </c>
    </row>
    <row r="234" spans="1:18" x14ac:dyDescent="0.55000000000000004">
      <c r="A234" t="s">
        <v>354</v>
      </c>
      <c r="B234" t="s">
        <v>751</v>
      </c>
      <c r="C234" s="272" t="s">
        <v>277</v>
      </c>
      <c r="D234" t="s">
        <v>300</v>
      </c>
      <c r="E234" s="209">
        <v>46247</v>
      </c>
      <c r="F234" s="209">
        <v>46247</v>
      </c>
      <c r="G234" s="214"/>
      <c r="J234" t="s">
        <v>653</v>
      </c>
      <c r="R234" t="str">
        <f t="shared" si="3"/>
        <v>E8 Model Quality</v>
      </c>
    </row>
    <row r="235" spans="1:18" x14ac:dyDescent="0.55000000000000004">
      <c r="A235" t="s">
        <v>384</v>
      </c>
      <c r="B235" t="s">
        <v>752</v>
      </c>
      <c r="C235" s="272" t="s">
        <v>277</v>
      </c>
      <c r="D235" t="s">
        <v>300</v>
      </c>
      <c r="E235" s="209">
        <v>46247</v>
      </c>
      <c r="F235" s="209">
        <v>46247</v>
      </c>
      <c r="G235" s="214"/>
      <c r="J235" t="s">
        <v>653</v>
      </c>
      <c r="R235" t="str">
        <f t="shared" si="3"/>
        <v>E9 Data Ops</v>
      </c>
    </row>
    <row r="236" spans="1:18" x14ac:dyDescent="0.55000000000000004">
      <c r="A236" t="s">
        <v>354</v>
      </c>
      <c r="B236" t="s">
        <v>753</v>
      </c>
      <c r="C236" s="272" t="s">
        <v>277</v>
      </c>
      <c r="D236" t="s">
        <v>300</v>
      </c>
      <c r="E236" s="209">
        <v>46247</v>
      </c>
      <c r="F236" s="209">
        <v>46247</v>
      </c>
      <c r="G236" s="214"/>
      <c r="J236" t="s">
        <v>653</v>
      </c>
      <c r="R236" t="str">
        <f t="shared" si="3"/>
        <v>E8 Model Quality</v>
      </c>
    </row>
    <row r="237" spans="1:18" x14ac:dyDescent="0.55000000000000004">
      <c r="A237" t="s">
        <v>317</v>
      </c>
      <c r="B237" t="s">
        <v>754</v>
      </c>
      <c r="C237" s="272" t="s">
        <v>277</v>
      </c>
      <c r="D237" t="s">
        <v>300</v>
      </c>
      <c r="E237" s="209">
        <v>46247</v>
      </c>
      <c r="F237" s="209">
        <v>46247</v>
      </c>
      <c r="G237" s="214"/>
      <c r="J237" t="s">
        <v>653</v>
      </c>
      <c r="R237" t="str">
        <f t="shared" si="3"/>
        <v>E5 ML Tennis</v>
      </c>
    </row>
    <row r="238" spans="1:18" x14ac:dyDescent="0.55000000000000004">
      <c r="A238" t="s">
        <v>444</v>
      </c>
      <c r="B238" t="s">
        <v>755</v>
      </c>
      <c r="C238" s="272" t="s">
        <v>277</v>
      </c>
      <c r="D238" t="s">
        <v>300</v>
      </c>
      <c r="E238" s="209">
        <v>46247</v>
      </c>
      <c r="F238" s="209">
        <v>46247</v>
      </c>
      <c r="G238" s="214"/>
      <c r="J238" t="s">
        <v>653</v>
      </c>
      <c r="R238" t="str">
        <f t="shared" si="3"/>
        <v>E11 Ops Resilience</v>
      </c>
    </row>
    <row r="239" spans="1:18" x14ac:dyDescent="0.55000000000000004">
      <c r="A239" t="s">
        <v>298</v>
      </c>
      <c r="B239" t="s">
        <v>756</v>
      </c>
      <c r="C239" s="272" t="s">
        <v>277</v>
      </c>
      <c r="D239" t="s">
        <v>300</v>
      </c>
      <c r="E239" s="209">
        <v>46247</v>
      </c>
      <c r="F239" s="209">
        <v>46247</v>
      </c>
      <c r="G239" s="214"/>
      <c r="J239" t="s">
        <v>653</v>
      </c>
      <c r="R239" t="str">
        <f t="shared" si="3"/>
        <v>E3 ML NBA</v>
      </c>
    </row>
    <row r="240" spans="1:18" x14ac:dyDescent="0.55000000000000004">
      <c r="A240" t="s">
        <v>444</v>
      </c>
      <c r="B240" t="s">
        <v>757</v>
      </c>
      <c r="C240" s="272" t="s">
        <v>277</v>
      </c>
      <c r="D240" t="s">
        <v>300</v>
      </c>
      <c r="E240" s="209">
        <v>46247</v>
      </c>
      <c r="F240" s="209">
        <v>46247</v>
      </c>
      <c r="G240" s="214"/>
      <c r="J240" t="s">
        <v>653</v>
      </c>
      <c r="R240" t="str">
        <f t="shared" si="3"/>
        <v>E11 Ops Resilience</v>
      </c>
    </row>
    <row r="241" spans="1:18" ht="72" customHeight="1" x14ac:dyDescent="0.55000000000000004">
      <c r="A241" t="s">
        <v>298</v>
      </c>
      <c r="B241" t="s">
        <v>758</v>
      </c>
      <c r="C241" s="272" t="s">
        <v>277</v>
      </c>
      <c r="D241" t="s">
        <v>330</v>
      </c>
      <c r="E241" s="209">
        <v>46247</v>
      </c>
      <c r="F241" s="209">
        <v>46247</v>
      </c>
      <c r="G241" s="214" t="s">
        <v>759</v>
      </c>
      <c r="J241" t="s">
        <v>653</v>
      </c>
      <c r="R241" t="str">
        <f t="shared" si="3"/>
        <v>E3 ML NBA</v>
      </c>
    </row>
    <row r="242" spans="1:18" ht="57.6" customHeight="1" x14ac:dyDescent="0.55000000000000004">
      <c r="A242" t="s">
        <v>338</v>
      </c>
      <c r="B242" t="s">
        <v>760</v>
      </c>
      <c r="C242" s="278" t="s">
        <v>277</v>
      </c>
      <c r="D242" t="s">
        <v>340</v>
      </c>
      <c r="E242" s="209">
        <v>46254</v>
      </c>
      <c r="F242" s="209">
        <v>46254</v>
      </c>
      <c r="G242" s="214" t="s">
        <v>761</v>
      </c>
      <c r="K242" t="s">
        <v>653</v>
      </c>
      <c r="R242" t="str">
        <f t="shared" si="3"/>
        <v>E7 Mobile</v>
      </c>
    </row>
    <row r="243" spans="1:18" ht="57.6" customHeight="1" x14ac:dyDescent="0.55000000000000004">
      <c r="B243" t="s">
        <v>762</v>
      </c>
      <c r="C243" s="278" t="s">
        <v>277</v>
      </c>
      <c r="D243" t="s">
        <v>340</v>
      </c>
      <c r="E243" s="209">
        <v>46254</v>
      </c>
      <c r="F243" s="209">
        <v>46255</v>
      </c>
      <c r="G243" s="214" t="s">
        <v>763</v>
      </c>
      <c r="K243" t="s">
        <v>653</v>
      </c>
      <c r="R243" t="str">
        <f t="shared" si="3"/>
        <v>E7 Mobile</v>
      </c>
    </row>
    <row r="244" spans="1:18" ht="43.2" customHeight="1" x14ac:dyDescent="0.55000000000000004">
      <c r="B244" t="s">
        <v>764</v>
      </c>
      <c r="C244" s="278" t="s">
        <v>277</v>
      </c>
      <c r="D244" t="s">
        <v>340</v>
      </c>
      <c r="E244" s="209">
        <v>46255</v>
      </c>
      <c r="F244" s="209">
        <v>46255</v>
      </c>
      <c r="G244" s="214" t="s">
        <v>765</v>
      </c>
      <c r="K244" t="s">
        <v>653</v>
      </c>
      <c r="R244" t="str">
        <f t="shared" si="3"/>
        <v>E7 Mobile</v>
      </c>
    </row>
    <row r="245" spans="1:18" ht="72" customHeight="1" x14ac:dyDescent="0.55000000000000004">
      <c r="B245" t="s">
        <v>766</v>
      </c>
      <c r="C245" s="278" t="s">
        <v>277</v>
      </c>
      <c r="D245" t="s">
        <v>340</v>
      </c>
      <c r="E245" s="209">
        <v>46256</v>
      </c>
      <c r="F245" s="209">
        <v>46256</v>
      </c>
      <c r="G245" s="214" t="s">
        <v>767</v>
      </c>
      <c r="K245" t="s">
        <v>653</v>
      </c>
      <c r="R245" t="str">
        <f t="shared" si="3"/>
        <v>E7 Mobile</v>
      </c>
    </row>
    <row r="246" spans="1:18" ht="72" customHeight="1" x14ac:dyDescent="0.55000000000000004">
      <c r="B246" t="s">
        <v>768</v>
      </c>
      <c r="C246" s="278" t="s">
        <v>277</v>
      </c>
      <c r="D246" t="s">
        <v>340</v>
      </c>
      <c r="E246" s="209">
        <v>46256</v>
      </c>
      <c r="F246" s="209">
        <v>46256</v>
      </c>
      <c r="G246" s="214" t="s">
        <v>769</v>
      </c>
      <c r="K246" t="s">
        <v>653</v>
      </c>
      <c r="R246" t="str">
        <f t="shared" si="3"/>
        <v>E7 Mobile</v>
      </c>
    </row>
    <row r="247" spans="1:18" ht="86.4" customHeight="1" x14ac:dyDescent="0.55000000000000004">
      <c r="A247" t="s">
        <v>354</v>
      </c>
      <c r="B247" t="s">
        <v>770</v>
      </c>
      <c r="C247" s="278" t="s">
        <v>277</v>
      </c>
      <c r="D247" t="s">
        <v>300</v>
      </c>
      <c r="E247" s="209">
        <v>46256</v>
      </c>
      <c r="F247" s="209">
        <v>46256</v>
      </c>
      <c r="G247" s="214" t="s">
        <v>771</v>
      </c>
      <c r="K247" t="s">
        <v>653</v>
      </c>
      <c r="R247" t="str">
        <f t="shared" si="3"/>
        <v>E8 Model Quality</v>
      </c>
    </row>
    <row r="248" spans="1:18" ht="86.4" customHeight="1" x14ac:dyDescent="0.55000000000000004">
      <c r="B248" t="s">
        <v>772</v>
      </c>
      <c r="C248" s="278" t="s">
        <v>277</v>
      </c>
      <c r="D248" t="s">
        <v>300</v>
      </c>
      <c r="E248" s="209">
        <v>46256</v>
      </c>
      <c r="F248" s="209">
        <v>46256</v>
      </c>
      <c r="G248" s="214" t="s">
        <v>773</v>
      </c>
      <c r="K248" t="s">
        <v>653</v>
      </c>
      <c r="R248" t="str">
        <f t="shared" si="3"/>
        <v>E8 Model Quality</v>
      </c>
    </row>
    <row r="249" spans="1:18" ht="100.8" customHeight="1" x14ac:dyDescent="0.55000000000000004">
      <c r="B249" t="s">
        <v>774</v>
      </c>
      <c r="C249" s="278" t="s">
        <v>277</v>
      </c>
      <c r="D249" t="s">
        <v>300</v>
      </c>
      <c r="E249" s="209">
        <v>46256</v>
      </c>
      <c r="F249" s="209">
        <v>46256</v>
      </c>
      <c r="G249" s="214" t="s">
        <v>775</v>
      </c>
      <c r="K249" t="s">
        <v>653</v>
      </c>
      <c r="R249" t="str">
        <f t="shared" si="3"/>
        <v>E8 Model Quality</v>
      </c>
    </row>
    <row r="250" spans="1:18" ht="100.8" customHeight="1" x14ac:dyDescent="0.55000000000000004">
      <c r="B250" t="s">
        <v>776</v>
      </c>
      <c r="C250" s="279" t="s">
        <v>277</v>
      </c>
      <c r="D250" t="s">
        <v>330</v>
      </c>
      <c r="E250" s="209">
        <v>46256</v>
      </c>
      <c r="F250" s="209">
        <v>46256</v>
      </c>
      <c r="G250" s="214" t="s">
        <v>777</v>
      </c>
      <c r="K250" t="s">
        <v>653</v>
      </c>
      <c r="R250" t="str">
        <f t="shared" si="3"/>
        <v>E8 Model Quality</v>
      </c>
    </row>
    <row r="251" spans="1:18" ht="86.4" customHeight="1" x14ac:dyDescent="0.55000000000000004">
      <c r="B251" t="s">
        <v>778</v>
      </c>
      <c r="C251" s="279" t="s">
        <v>277</v>
      </c>
      <c r="D251" t="s">
        <v>300</v>
      </c>
      <c r="E251" s="209">
        <v>46256</v>
      </c>
      <c r="F251" s="209">
        <v>46256</v>
      </c>
      <c r="G251" s="214" t="s">
        <v>779</v>
      </c>
      <c r="K251" t="s">
        <v>653</v>
      </c>
      <c r="R251" t="str">
        <f t="shared" si="3"/>
        <v>E8 Model Quality</v>
      </c>
    </row>
    <row r="252" spans="1:18" ht="86.4" customHeight="1" x14ac:dyDescent="0.55000000000000004">
      <c r="B252" t="s">
        <v>780</v>
      </c>
      <c r="C252" s="279" t="s">
        <v>277</v>
      </c>
      <c r="D252" t="s">
        <v>781</v>
      </c>
      <c r="E252" s="209">
        <v>46256</v>
      </c>
      <c r="F252" s="209">
        <v>46256</v>
      </c>
      <c r="G252" s="214" t="s">
        <v>782</v>
      </c>
      <c r="K252" t="s">
        <v>653</v>
      </c>
      <c r="R252" t="str">
        <f t="shared" si="3"/>
        <v>E8 Model Quality</v>
      </c>
    </row>
    <row r="253" spans="1:18" ht="100.8" customHeight="1" x14ac:dyDescent="0.55000000000000004">
      <c r="A253" t="s">
        <v>338</v>
      </c>
      <c r="B253" t="s">
        <v>783</v>
      </c>
      <c r="C253" s="279" t="s">
        <v>277</v>
      </c>
      <c r="D253" t="s">
        <v>340</v>
      </c>
      <c r="E253" s="209">
        <v>46256</v>
      </c>
      <c r="F253" s="209">
        <v>46256</v>
      </c>
      <c r="G253" s="214" t="s">
        <v>784</v>
      </c>
      <c r="K253" t="s">
        <v>653</v>
      </c>
      <c r="R253" t="str">
        <f t="shared" si="3"/>
        <v>E7 Mobile</v>
      </c>
    </row>
    <row r="254" spans="1:18" ht="100.8" customHeight="1" x14ac:dyDescent="0.55000000000000004">
      <c r="A254" t="s">
        <v>328</v>
      </c>
      <c r="B254" t="s">
        <v>785</v>
      </c>
      <c r="C254" s="280" t="s">
        <v>277</v>
      </c>
      <c r="D254" t="s">
        <v>330</v>
      </c>
      <c r="E254" s="209">
        <v>46257</v>
      </c>
      <c r="F254" s="209">
        <v>46257</v>
      </c>
      <c r="G254" s="214" t="s">
        <v>786</v>
      </c>
      <c r="K254" t="s">
        <v>653</v>
      </c>
      <c r="R254" t="str">
        <f t="shared" si="3"/>
        <v>E6 Picks</v>
      </c>
    </row>
    <row r="255" spans="1:18" ht="86.4" customHeight="1" x14ac:dyDescent="0.55000000000000004">
      <c r="B255" t="s">
        <v>787</v>
      </c>
      <c r="C255" s="280" t="s">
        <v>277</v>
      </c>
      <c r="D255" t="s">
        <v>330</v>
      </c>
      <c r="E255" s="209">
        <v>46257</v>
      </c>
      <c r="F255" s="209">
        <v>46257</v>
      </c>
      <c r="G255" s="214" t="s">
        <v>788</v>
      </c>
      <c r="K255" t="s">
        <v>653</v>
      </c>
      <c r="R255" t="str">
        <f t="shared" si="3"/>
        <v>E6 Picks</v>
      </c>
    </row>
    <row r="256" spans="1:18" ht="57.6" customHeight="1" x14ac:dyDescent="0.55000000000000004">
      <c r="A256" t="s">
        <v>338</v>
      </c>
      <c r="B256" t="s">
        <v>789</v>
      </c>
      <c r="C256" s="280" t="s">
        <v>277</v>
      </c>
      <c r="D256" t="s">
        <v>340</v>
      </c>
      <c r="E256" s="209">
        <v>46257</v>
      </c>
      <c r="F256" s="209">
        <v>46257</v>
      </c>
      <c r="G256" s="214" t="s">
        <v>790</v>
      </c>
      <c r="K256" t="s">
        <v>653</v>
      </c>
      <c r="R256" t="str">
        <f t="shared" si="3"/>
        <v>E7 Mobile</v>
      </c>
    </row>
    <row r="257" spans="1:18" ht="86.4" customHeight="1" x14ac:dyDescent="0.55000000000000004">
      <c r="A257" t="s">
        <v>354</v>
      </c>
      <c r="B257" t="s">
        <v>791</v>
      </c>
      <c r="C257" s="281" t="s">
        <v>277</v>
      </c>
      <c r="D257" t="s">
        <v>300</v>
      </c>
      <c r="E257" s="209">
        <v>46257</v>
      </c>
      <c r="F257" s="209">
        <v>46257</v>
      </c>
      <c r="G257" s="214" t="s">
        <v>792</v>
      </c>
      <c r="K257" t="s">
        <v>653</v>
      </c>
      <c r="R257" t="str">
        <f t="shared" si="3"/>
        <v>E8 Model Quality</v>
      </c>
    </row>
    <row r="258" spans="1:18" ht="28.8" customHeight="1" x14ac:dyDescent="0.55000000000000004">
      <c r="A258" t="s">
        <v>328</v>
      </c>
      <c r="B258" t="s">
        <v>793</v>
      </c>
      <c r="C258" s="281" t="s">
        <v>277</v>
      </c>
      <c r="D258" t="s">
        <v>340</v>
      </c>
      <c r="E258" s="209" t="s">
        <v>794</v>
      </c>
      <c r="F258" s="209" t="s">
        <v>794</v>
      </c>
      <c r="G258" s="214" t="s">
        <v>795</v>
      </c>
      <c r="L258" t="s">
        <v>653</v>
      </c>
      <c r="R258" t="str">
        <f t="shared" si="3"/>
        <v>E6 Picks</v>
      </c>
    </row>
    <row r="259" spans="1:18" ht="43.2" customHeight="1" x14ac:dyDescent="0.55000000000000004">
      <c r="B259" t="s">
        <v>796</v>
      </c>
      <c r="C259" s="281" t="s">
        <v>277</v>
      </c>
      <c r="D259" t="s">
        <v>330</v>
      </c>
      <c r="E259" s="209" t="s">
        <v>797</v>
      </c>
      <c r="F259" s="209" t="s">
        <v>797</v>
      </c>
      <c r="G259" s="214" t="s">
        <v>798</v>
      </c>
      <c r="L259" t="s">
        <v>653</v>
      </c>
      <c r="R259" t="str">
        <f t="shared" si="3"/>
        <v>E6 Picks</v>
      </c>
    </row>
    <row r="260" spans="1:18" ht="43.2" customHeight="1" x14ac:dyDescent="0.55000000000000004">
      <c r="A260" t="s">
        <v>338</v>
      </c>
      <c r="B260" t="s">
        <v>799</v>
      </c>
      <c r="C260" s="281" t="s">
        <v>277</v>
      </c>
      <c r="D260" t="s">
        <v>340</v>
      </c>
      <c r="E260" s="209" t="s">
        <v>797</v>
      </c>
      <c r="F260" s="209" t="s">
        <v>797</v>
      </c>
      <c r="G260" s="214" t="s">
        <v>800</v>
      </c>
      <c r="L260" t="s">
        <v>653</v>
      </c>
      <c r="R260" t="str">
        <f t="shared" si="3"/>
        <v>E7 Mobile</v>
      </c>
    </row>
    <row r="261" spans="1:18" ht="43.2" customHeight="1" x14ac:dyDescent="0.55000000000000004">
      <c r="B261" t="s">
        <v>801</v>
      </c>
      <c r="C261" s="281" t="s">
        <v>277</v>
      </c>
      <c r="D261" t="s">
        <v>340</v>
      </c>
      <c r="E261" s="209" t="s">
        <v>797</v>
      </c>
      <c r="F261" s="209" t="s">
        <v>797</v>
      </c>
      <c r="G261" s="214" t="s">
        <v>802</v>
      </c>
      <c r="L261" t="s">
        <v>653</v>
      </c>
      <c r="R261" t="str">
        <f t="shared" ref="R261:R291" si="4">IF($A261&lt;&gt;"",$A261,R260)</f>
        <v>E7 Mobile</v>
      </c>
    </row>
    <row r="262" spans="1:18" ht="43.2" customHeight="1" x14ac:dyDescent="0.55000000000000004">
      <c r="A262" t="s">
        <v>354</v>
      </c>
      <c r="B262" t="s">
        <v>803</v>
      </c>
      <c r="C262" s="281" t="s">
        <v>277</v>
      </c>
      <c r="D262" t="s">
        <v>300</v>
      </c>
      <c r="E262" s="209" t="s">
        <v>804</v>
      </c>
      <c r="F262" s="209" t="s">
        <v>804</v>
      </c>
      <c r="G262" s="214" t="s">
        <v>805</v>
      </c>
      <c r="L262" t="s">
        <v>653</v>
      </c>
      <c r="R262" t="str">
        <f t="shared" si="4"/>
        <v>E8 Model Quality</v>
      </c>
    </row>
    <row r="263" spans="1:18" ht="57.6" customHeight="1" x14ac:dyDescent="0.55000000000000004">
      <c r="A263" t="s">
        <v>415</v>
      </c>
      <c r="B263" t="s">
        <v>806</v>
      </c>
      <c r="C263" s="281" t="s">
        <v>277</v>
      </c>
      <c r="D263" t="s">
        <v>781</v>
      </c>
      <c r="E263" s="209" t="s">
        <v>807</v>
      </c>
      <c r="F263" s="209" t="s">
        <v>807</v>
      </c>
      <c r="G263" s="214" t="s">
        <v>808</v>
      </c>
      <c r="M263" t="s">
        <v>653</v>
      </c>
      <c r="R263" t="str">
        <f t="shared" si="4"/>
        <v>E10 Deploy</v>
      </c>
    </row>
    <row r="264" spans="1:18" ht="57.6" customHeight="1" x14ac:dyDescent="0.55000000000000004">
      <c r="A264" t="s">
        <v>328</v>
      </c>
      <c r="B264" t="s">
        <v>809</v>
      </c>
      <c r="C264" s="281" t="s">
        <v>277</v>
      </c>
      <c r="D264" t="s">
        <v>330</v>
      </c>
      <c r="E264" s="209" t="s">
        <v>810</v>
      </c>
      <c r="F264" s="209" t="s">
        <v>810</v>
      </c>
      <c r="G264" s="214" t="s">
        <v>811</v>
      </c>
      <c r="N264" t="s">
        <v>653</v>
      </c>
      <c r="R264" t="str">
        <f t="shared" si="4"/>
        <v>E6 Picks</v>
      </c>
    </row>
    <row r="265" spans="1:18" ht="28.8" customHeight="1" x14ac:dyDescent="0.55000000000000004">
      <c r="A265" t="s">
        <v>444</v>
      </c>
      <c r="B265" t="s">
        <v>812</v>
      </c>
      <c r="C265" s="281" t="s">
        <v>277</v>
      </c>
      <c r="D265" t="s">
        <v>330</v>
      </c>
      <c r="E265" s="209" t="s">
        <v>813</v>
      </c>
      <c r="F265" s="209" t="s">
        <v>813</v>
      </c>
      <c r="G265" s="214" t="s">
        <v>814</v>
      </c>
      <c r="O265" t="s">
        <v>653</v>
      </c>
      <c r="R265" t="str">
        <f t="shared" si="4"/>
        <v>E11 Ops Resilience</v>
      </c>
    </row>
    <row r="266" spans="1:18" ht="57.6" customHeight="1" x14ac:dyDescent="0.55000000000000004">
      <c r="A266" t="s">
        <v>286</v>
      </c>
      <c r="B266" t="s">
        <v>815</v>
      </c>
      <c r="C266" s="281" t="s">
        <v>277</v>
      </c>
      <c r="D266" t="s">
        <v>330</v>
      </c>
      <c r="E266" s="209" t="s">
        <v>813</v>
      </c>
      <c r="F266" s="209" t="s">
        <v>813</v>
      </c>
      <c r="G266" s="214" t="s">
        <v>816</v>
      </c>
      <c r="O266" t="s">
        <v>653</v>
      </c>
      <c r="R266" t="str">
        <f t="shared" si="4"/>
        <v>E2 Ingestion</v>
      </c>
    </row>
    <row r="267" spans="1:18" ht="43.2" customHeight="1" x14ac:dyDescent="0.55000000000000004">
      <c r="A267" t="s">
        <v>384</v>
      </c>
      <c r="B267" t="s">
        <v>817</v>
      </c>
      <c r="C267" s="281" t="s">
        <v>277</v>
      </c>
      <c r="D267" t="s">
        <v>300</v>
      </c>
      <c r="E267" s="209" t="s">
        <v>818</v>
      </c>
      <c r="F267" s="209" t="s">
        <v>818</v>
      </c>
      <c r="G267" s="214" t="s">
        <v>819</v>
      </c>
      <c r="O267" t="s">
        <v>653</v>
      </c>
      <c r="R267" t="str">
        <f t="shared" si="4"/>
        <v>E9 Data Ops</v>
      </c>
    </row>
    <row r="268" spans="1:18" ht="57.6" customHeight="1" x14ac:dyDescent="0.55000000000000004">
      <c r="A268" t="s">
        <v>338</v>
      </c>
      <c r="B268" t="s">
        <v>820</v>
      </c>
      <c r="C268" s="281" t="s">
        <v>277</v>
      </c>
      <c r="D268" t="s">
        <v>340</v>
      </c>
      <c r="E268" s="209">
        <v>46284</v>
      </c>
      <c r="F268" s="209">
        <v>46284</v>
      </c>
      <c r="G268" s="214" t="s">
        <v>821</v>
      </c>
      <c r="O268" t="s">
        <v>653</v>
      </c>
      <c r="R268" t="str">
        <f t="shared" si="4"/>
        <v>E7 Mobile</v>
      </c>
    </row>
    <row r="269" spans="1:18" ht="57.6" customHeight="1" x14ac:dyDescent="0.55000000000000004">
      <c r="B269" t="s">
        <v>822</v>
      </c>
      <c r="C269" s="281" t="s">
        <v>277</v>
      </c>
      <c r="D269" t="s">
        <v>340</v>
      </c>
      <c r="E269" s="209">
        <v>46284</v>
      </c>
      <c r="F269" s="209">
        <v>46284</v>
      </c>
      <c r="G269" s="214" t="s">
        <v>823</v>
      </c>
      <c r="O269" t="s">
        <v>653</v>
      </c>
      <c r="R269" t="str">
        <f t="shared" si="4"/>
        <v>E7 Mobile</v>
      </c>
    </row>
    <row r="270" spans="1:18" ht="72" customHeight="1" x14ac:dyDescent="0.55000000000000004">
      <c r="B270" t="s">
        <v>824</v>
      </c>
      <c r="C270" s="281" t="s">
        <v>277</v>
      </c>
      <c r="D270" t="s">
        <v>340</v>
      </c>
      <c r="E270" s="209">
        <v>46284</v>
      </c>
      <c r="F270" s="209">
        <v>46284</v>
      </c>
      <c r="G270" s="214" t="s">
        <v>825</v>
      </c>
      <c r="O270" t="s">
        <v>653</v>
      </c>
      <c r="R270" t="str">
        <f t="shared" si="4"/>
        <v>E7 Mobile</v>
      </c>
    </row>
    <row r="271" spans="1:18" ht="100.8" customHeight="1" x14ac:dyDescent="0.55000000000000004">
      <c r="A271" t="s">
        <v>415</v>
      </c>
      <c r="B271" t="s">
        <v>826</v>
      </c>
      <c r="C271" s="281" t="s">
        <v>277</v>
      </c>
      <c r="D271" t="s">
        <v>781</v>
      </c>
      <c r="E271" s="209">
        <v>46284</v>
      </c>
      <c r="F271" s="209">
        <v>46284</v>
      </c>
      <c r="G271" s="214" t="s">
        <v>827</v>
      </c>
      <c r="O271" t="s">
        <v>653</v>
      </c>
      <c r="R271" t="str">
        <f t="shared" si="4"/>
        <v>E10 Deploy</v>
      </c>
    </row>
    <row r="272" spans="1:18" ht="72" customHeight="1" x14ac:dyDescent="0.55000000000000004">
      <c r="A272" t="s">
        <v>338</v>
      </c>
      <c r="B272" t="s">
        <v>828</v>
      </c>
      <c r="C272" s="281" t="s">
        <v>277</v>
      </c>
      <c r="D272" t="s">
        <v>340</v>
      </c>
      <c r="E272" s="209">
        <v>46284</v>
      </c>
      <c r="F272" s="209">
        <v>46284</v>
      </c>
      <c r="G272" s="214" t="s">
        <v>829</v>
      </c>
      <c r="O272" t="s">
        <v>653</v>
      </c>
      <c r="R272" t="str">
        <f t="shared" si="4"/>
        <v>E7 Mobile</v>
      </c>
    </row>
    <row r="273" spans="1:18" ht="57.6" customHeight="1" x14ac:dyDescent="0.55000000000000004">
      <c r="B273" t="s">
        <v>830</v>
      </c>
      <c r="C273" s="281" t="s">
        <v>277</v>
      </c>
      <c r="D273" t="s">
        <v>340</v>
      </c>
      <c r="E273" s="209">
        <v>46284</v>
      </c>
      <c r="F273" s="209">
        <v>46284</v>
      </c>
      <c r="G273" s="214" t="s">
        <v>831</v>
      </c>
      <c r="O273" t="s">
        <v>653</v>
      </c>
      <c r="R273" t="str">
        <f t="shared" si="4"/>
        <v>E7 Mobile</v>
      </c>
    </row>
    <row r="274" spans="1:18" ht="100.8" customHeight="1" x14ac:dyDescent="0.55000000000000004">
      <c r="A274" t="s">
        <v>286</v>
      </c>
      <c r="B274" t="s">
        <v>832</v>
      </c>
      <c r="C274" s="281" t="s">
        <v>277</v>
      </c>
      <c r="D274" t="s">
        <v>330</v>
      </c>
      <c r="E274" s="209">
        <v>46284</v>
      </c>
      <c r="F274" s="209">
        <v>46284</v>
      </c>
      <c r="G274" s="214" t="s">
        <v>833</v>
      </c>
      <c r="O274" t="s">
        <v>653</v>
      </c>
      <c r="R274" t="str">
        <f t="shared" si="4"/>
        <v>E2 Ingestion</v>
      </c>
    </row>
    <row r="275" spans="1:18" ht="86.4" customHeight="1" x14ac:dyDescent="0.55000000000000004">
      <c r="A275" t="s">
        <v>444</v>
      </c>
      <c r="B275" t="s">
        <v>834</v>
      </c>
      <c r="C275" s="281" t="s">
        <v>277</v>
      </c>
      <c r="D275" t="s">
        <v>330</v>
      </c>
      <c r="E275" s="209">
        <v>46284</v>
      </c>
      <c r="F275" s="209">
        <v>46284</v>
      </c>
      <c r="G275" s="214" t="s">
        <v>835</v>
      </c>
      <c r="O275" t="s">
        <v>653</v>
      </c>
      <c r="R275" t="str">
        <f t="shared" si="4"/>
        <v>E11 Ops Resilience</v>
      </c>
    </row>
    <row r="276" spans="1:18" ht="100.8" customHeight="1" x14ac:dyDescent="0.55000000000000004">
      <c r="A276" t="s">
        <v>338</v>
      </c>
      <c r="B276" t="s">
        <v>836</v>
      </c>
      <c r="C276" s="281" t="s">
        <v>16</v>
      </c>
      <c r="D276" t="s">
        <v>340</v>
      </c>
      <c r="E276" s="209">
        <v>46284</v>
      </c>
      <c r="F276" s="209">
        <v>46284</v>
      </c>
      <c r="G276" s="214" t="s">
        <v>837</v>
      </c>
      <c r="O276" t="s">
        <v>653</v>
      </c>
      <c r="R276" t="str">
        <f t="shared" si="4"/>
        <v>E7 Mobile</v>
      </c>
    </row>
    <row r="277" spans="1:18" ht="100.8" customHeight="1" x14ac:dyDescent="0.55000000000000004">
      <c r="A277" t="s">
        <v>286</v>
      </c>
      <c r="B277" t="s">
        <v>838</v>
      </c>
      <c r="C277" s="282" t="s">
        <v>277</v>
      </c>
      <c r="D277" t="s">
        <v>330</v>
      </c>
      <c r="E277" s="209">
        <v>46299</v>
      </c>
      <c r="F277" s="209">
        <v>46299</v>
      </c>
      <c r="G277" s="214" t="s">
        <v>839</v>
      </c>
      <c r="Q277" t="s">
        <v>653</v>
      </c>
      <c r="R277" t="str">
        <f t="shared" si="4"/>
        <v>E2 Ingestion</v>
      </c>
    </row>
    <row r="278" spans="1:18" ht="100.8" customHeight="1" x14ac:dyDescent="0.55000000000000004">
      <c r="B278" t="s">
        <v>840</v>
      </c>
      <c r="C278" s="282" t="s">
        <v>277</v>
      </c>
      <c r="D278" t="s">
        <v>330</v>
      </c>
      <c r="E278" s="209">
        <v>46299</v>
      </c>
      <c r="F278" s="209">
        <v>46299</v>
      </c>
      <c r="G278" s="214" t="s">
        <v>841</v>
      </c>
      <c r="Q278" t="s">
        <v>653</v>
      </c>
      <c r="R278" t="str">
        <f t="shared" si="4"/>
        <v>E2 Ingestion</v>
      </c>
    </row>
    <row r="279" spans="1:18" ht="100.8" customHeight="1" x14ac:dyDescent="0.55000000000000004">
      <c r="B279" t="s">
        <v>842</v>
      </c>
      <c r="C279" s="283" t="s">
        <v>392</v>
      </c>
      <c r="D279" t="s">
        <v>330</v>
      </c>
      <c r="E279" s="209">
        <v>46315</v>
      </c>
      <c r="F279" s="209">
        <v>46315</v>
      </c>
      <c r="G279" s="214" t="s">
        <v>843</v>
      </c>
      <c r="R279" t="str">
        <f t="shared" si="4"/>
        <v>E2 Ingestion</v>
      </c>
    </row>
    <row r="280" spans="1:18" ht="100.8" customHeight="1" x14ac:dyDescent="0.55000000000000004">
      <c r="A280" t="s">
        <v>415</v>
      </c>
      <c r="B280" t="s">
        <v>844</v>
      </c>
      <c r="C280" s="282" t="s">
        <v>277</v>
      </c>
      <c r="D280" t="s">
        <v>781</v>
      </c>
      <c r="E280" s="209">
        <v>46299</v>
      </c>
      <c r="F280" s="209">
        <v>46299</v>
      </c>
      <c r="G280" s="214" t="s">
        <v>845</v>
      </c>
      <c r="Q280" t="s">
        <v>653</v>
      </c>
      <c r="R280" t="str">
        <f t="shared" si="4"/>
        <v>E10 Deploy</v>
      </c>
    </row>
    <row r="281" spans="1:18" ht="100.8" customHeight="1" x14ac:dyDescent="0.55000000000000004">
      <c r="A281" t="s">
        <v>384</v>
      </c>
      <c r="B281" t="s">
        <v>846</v>
      </c>
      <c r="C281" s="282" t="s">
        <v>277</v>
      </c>
      <c r="D281" t="s">
        <v>300</v>
      </c>
      <c r="E281" s="209">
        <v>46299</v>
      </c>
      <c r="F281" s="209">
        <v>46299</v>
      </c>
      <c r="G281" s="214" t="s">
        <v>847</v>
      </c>
      <c r="Q281" t="s">
        <v>653</v>
      </c>
      <c r="R281" t="str">
        <f t="shared" si="4"/>
        <v>E9 Data Ops</v>
      </c>
    </row>
    <row r="282" spans="1:18" ht="100.8" customHeight="1" x14ac:dyDescent="0.55000000000000004">
      <c r="A282" t="s">
        <v>354</v>
      </c>
      <c r="B282" t="s">
        <v>848</v>
      </c>
      <c r="C282" s="282" t="s">
        <v>277</v>
      </c>
      <c r="D282" t="s">
        <v>300</v>
      </c>
      <c r="E282" s="209">
        <v>46299</v>
      </c>
      <c r="F282" s="209">
        <v>46299</v>
      </c>
      <c r="G282" s="214" t="s">
        <v>849</v>
      </c>
      <c r="Q282" t="s">
        <v>653</v>
      </c>
      <c r="R282" t="str">
        <f t="shared" si="4"/>
        <v>E8 Model Quality</v>
      </c>
    </row>
    <row r="283" spans="1:18" ht="100.8" customHeight="1" x14ac:dyDescent="0.55000000000000004">
      <c r="A283" t="s">
        <v>415</v>
      </c>
      <c r="B283" t="s">
        <v>850</v>
      </c>
      <c r="C283" s="282" t="s">
        <v>277</v>
      </c>
      <c r="D283" t="s">
        <v>781</v>
      </c>
      <c r="E283" s="209">
        <v>46299</v>
      </c>
      <c r="F283" s="209">
        <v>46299</v>
      </c>
      <c r="G283" s="214" t="s">
        <v>851</v>
      </c>
      <c r="Q283" t="s">
        <v>653</v>
      </c>
      <c r="R283" t="str">
        <f t="shared" si="4"/>
        <v>E10 Deploy</v>
      </c>
    </row>
    <row r="284" spans="1:18" ht="100.8" customHeight="1" x14ac:dyDescent="0.55000000000000004">
      <c r="A284" t="s">
        <v>286</v>
      </c>
      <c r="B284" t="s">
        <v>852</v>
      </c>
      <c r="C284" s="282" t="s">
        <v>277</v>
      </c>
      <c r="D284" t="s">
        <v>330</v>
      </c>
      <c r="E284" s="209">
        <v>46299</v>
      </c>
      <c r="F284" s="209">
        <v>46299</v>
      </c>
      <c r="G284" s="214" t="s">
        <v>853</v>
      </c>
      <c r="Q284" t="s">
        <v>653</v>
      </c>
      <c r="R284" t="str">
        <f t="shared" si="4"/>
        <v>E2 Ingestion</v>
      </c>
    </row>
    <row r="285" spans="1:18" ht="100.8" customHeight="1" x14ac:dyDescent="0.55000000000000004">
      <c r="A285" t="s">
        <v>354</v>
      </c>
      <c r="B285" t="s">
        <v>854</v>
      </c>
      <c r="C285" s="282" t="s">
        <v>277</v>
      </c>
      <c r="D285" t="s">
        <v>300</v>
      </c>
      <c r="E285" s="209">
        <v>46299</v>
      </c>
      <c r="F285" s="209">
        <v>46299</v>
      </c>
      <c r="G285" s="214" t="s">
        <v>855</v>
      </c>
      <c r="Q285" t="s">
        <v>653</v>
      </c>
      <c r="R285" t="str">
        <f t="shared" si="4"/>
        <v>E8 Model Quality</v>
      </c>
    </row>
    <row r="286" spans="1:18" ht="100.8" customHeight="1" x14ac:dyDescent="0.55000000000000004">
      <c r="A286" t="s">
        <v>328</v>
      </c>
      <c r="B286" t="s">
        <v>856</v>
      </c>
      <c r="C286" s="282" t="s">
        <v>277</v>
      </c>
      <c r="D286" t="s">
        <v>330</v>
      </c>
      <c r="E286" s="209">
        <v>46299</v>
      </c>
      <c r="F286" s="209">
        <v>46299</v>
      </c>
      <c r="G286" s="214" t="s">
        <v>857</v>
      </c>
      <c r="Q286" t="s">
        <v>653</v>
      </c>
      <c r="R286" t="str">
        <f t="shared" si="4"/>
        <v>E6 Picks</v>
      </c>
    </row>
    <row r="287" spans="1:18" ht="100.8" customHeight="1" x14ac:dyDescent="0.55000000000000004">
      <c r="A287" t="s">
        <v>444</v>
      </c>
      <c r="B287" t="s">
        <v>858</v>
      </c>
      <c r="C287" s="282" t="s">
        <v>277</v>
      </c>
      <c r="D287" t="s">
        <v>330</v>
      </c>
      <c r="E287" s="209">
        <v>46300</v>
      </c>
      <c r="F287" s="209">
        <v>46300</v>
      </c>
      <c r="G287" s="214" t="s">
        <v>859</v>
      </c>
      <c r="R287" t="str">
        <f t="shared" si="4"/>
        <v>E11 Ops Resilience</v>
      </c>
    </row>
    <row r="288" spans="1:18" ht="100.8" customHeight="1" x14ac:dyDescent="0.55000000000000004">
      <c r="A288" t="s">
        <v>444</v>
      </c>
      <c r="B288" t="s">
        <v>860</v>
      </c>
      <c r="C288" s="282" t="s">
        <v>277</v>
      </c>
      <c r="D288" t="s">
        <v>330</v>
      </c>
      <c r="E288" s="209">
        <v>46300</v>
      </c>
      <c r="F288" s="209">
        <v>46300</v>
      </c>
      <c r="G288" s="214" t="s">
        <v>861</v>
      </c>
      <c r="R288" t="str">
        <f t="shared" si="4"/>
        <v>E11 Ops Resilience</v>
      </c>
    </row>
    <row r="289" spans="1:18" ht="100.8" customHeight="1" x14ac:dyDescent="0.55000000000000004">
      <c r="A289" t="s">
        <v>444</v>
      </c>
      <c r="B289" t="s">
        <v>862</v>
      </c>
      <c r="C289" s="284" t="s">
        <v>863</v>
      </c>
      <c r="D289" t="s">
        <v>330</v>
      </c>
      <c r="E289" s="209">
        <v>46300</v>
      </c>
      <c r="F289" s="209">
        <v>46300</v>
      </c>
      <c r="G289" s="214" t="s">
        <v>864</v>
      </c>
      <c r="R289" t="str">
        <f t="shared" si="4"/>
        <v>E11 Ops Resilience</v>
      </c>
    </row>
    <row r="290" spans="1:18" ht="100.8" customHeight="1" x14ac:dyDescent="0.55000000000000004">
      <c r="A290" t="s">
        <v>444</v>
      </c>
      <c r="B290" t="s">
        <v>865</v>
      </c>
      <c r="C290" s="282" t="s">
        <v>277</v>
      </c>
      <c r="D290" t="s">
        <v>330</v>
      </c>
      <c r="E290" s="209">
        <v>46307</v>
      </c>
      <c r="F290" s="209">
        <v>46307</v>
      </c>
      <c r="G290" s="214" t="s">
        <v>866</v>
      </c>
      <c r="R290" t="str">
        <f t="shared" si="4"/>
        <v>E11 Ops Resilience</v>
      </c>
    </row>
    <row r="291" spans="1:18" ht="100.8" customHeight="1" x14ac:dyDescent="0.55000000000000004">
      <c r="A291" t="s">
        <v>328</v>
      </c>
      <c r="B291" t="s">
        <v>867</v>
      </c>
      <c r="C291" s="285" t="s">
        <v>16</v>
      </c>
      <c r="D291" t="s">
        <v>330</v>
      </c>
      <c r="E291" s="209">
        <v>46307</v>
      </c>
      <c r="F291" s="209">
        <v>46307</v>
      </c>
      <c r="G291" s="214" t="s">
        <v>868</v>
      </c>
      <c r="R291" t="str">
        <f t="shared" si="4"/>
        <v>E6 Picks</v>
      </c>
    </row>
    <row r="293" spans="1:18" x14ac:dyDescent="0.55000000000000004">
      <c r="A293" s="23" t="s">
        <v>869</v>
      </c>
      <c r="B293" s="5" t="s">
        <v>277</v>
      </c>
      <c r="C293" s="15" t="s">
        <v>863</v>
      </c>
      <c r="D293" s="17" t="s">
        <v>16</v>
      </c>
      <c r="E293" s="21" t="s">
        <v>398</v>
      </c>
      <c r="F293" s="19" t="s">
        <v>392</v>
      </c>
    </row>
  </sheetData>
  <mergeCells count="2">
    <mergeCell ref="A2:Q2"/>
    <mergeCell ref="A1:Q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3"/>
  <sheetViews>
    <sheetView showGridLines="0" zoomScale="110" zoomScaleNormal="110" workbookViewId="0">
      <pane ySplit="3" topLeftCell="A4" activePane="bottomLeft" state="frozen"/>
      <selection pane="bottomLeft" sqref="A1:S1"/>
    </sheetView>
  </sheetViews>
  <sheetFormatPr defaultRowHeight="14.4" x14ac:dyDescent="0.55000000000000004"/>
  <cols>
    <col min="1" max="1" width="20" customWidth="1"/>
    <col min="2" max="19" width="11.47265625" customWidth="1"/>
    <col min="20" max="20" width="2" customWidth="1"/>
  </cols>
  <sheetData>
    <row r="1" spans="1:19" ht="30" customHeight="1" x14ac:dyDescent="0.55000000000000004">
      <c r="A1" s="306" t="s">
        <v>870</v>
      </c>
      <c r="B1" s="295"/>
      <c r="C1" s="295"/>
      <c r="D1" s="295"/>
      <c r="E1" s="295"/>
      <c r="F1" s="295"/>
      <c r="G1" s="295"/>
      <c r="H1" s="295"/>
      <c r="I1" s="295"/>
      <c r="J1" s="295"/>
      <c r="K1" s="295"/>
      <c r="L1" s="295"/>
      <c r="M1" s="295"/>
      <c r="N1" s="295"/>
      <c r="O1" s="295"/>
      <c r="P1" s="295"/>
      <c r="Q1" s="295"/>
      <c r="R1" s="295"/>
      <c r="S1" s="295"/>
    </row>
    <row r="2" spans="1:19" ht="18" customHeight="1" x14ac:dyDescent="0.55000000000000004">
      <c r="A2" s="313" t="s">
        <v>871</v>
      </c>
      <c r="B2" s="295"/>
      <c r="C2" s="295"/>
      <c r="D2" s="295"/>
      <c r="E2" s="295"/>
      <c r="F2" s="295"/>
      <c r="G2" s="295"/>
      <c r="H2" s="295"/>
      <c r="I2" s="295"/>
      <c r="J2" s="295"/>
      <c r="K2" s="295"/>
      <c r="L2" s="295"/>
      <c r="M2" s="295"/>
      <c r="N2" s="295"/>
      <c r="O2" s="295"/>
      <c r="P2" s="295"/>
      <c r="Q2" s="295"/>
      <c r="R2" s="295"/>
      <c r="S2" s="295"/>
    </row>
    <row r="4" spans="1:19" ht="20.05" customHeight="1" x14ac:dyDescent="0.55000000000000004">
      <c r="A4" s="301" t="s">
        <v>872</v>
      </c>
      <c r="B4" s="295"/>
      <c r="C4" s="295"/>
      <c r="D4" s="295"/>
      <c r="E4" s="295"/>
      <c r="F4" s="295"/>
      <c r="G4" s="295"/>
      <c r="H4" s="295"/>
      <c r="I4" s="295"/>
      <c r="J4" s="295"/>
      <c r="K4" s="295"/>
      <c r="L4" s="295"/>
      <c r="M4" s="295"/>
      <c r="N4" s="295"/>
      <c r="O4" s="295"/>
      <c r="P4" s="295"/>
      <c r="Q4" s="295"/>
      <c r="R4" s="295"/>
      <c r="S4" s="295"/>
    </row>
    <row r="5" spans="1:19" ht="52" customHeight="1" x14ac:dyDescent="0.55000000000000004">
      <c r="A5" s="35" t="s">
        <v>873</v>
      </c>
      <c r="B5" s="291" t="s">
        <v>874</v>
      </c>
      <c r="C5" s="292"/>
      <c r="D5" s="293"/>
      <c r="E5" s="296" t="s">
        <v>875</v>
      </c>
      <c r="F5" s="292"/>
      <c r="G5" s="293"/>
      <c r="H5" s="296" t="s">
        <v>876</v>
      </c>
      <c r="I5" s="292"/>
      <c r="J5" s="293"/>
      <c r="K5" s="291" t="s">
        <v>877</v>
      </c>
      <c r="L5" s="292"/>
      <c r="M5" s="293"/>
      <c r="N5" s="298" t="s">
        <v>878</v>
      </c>
      <c r="O5" s="292"/>
      <c r="P5" s="293"/>
      <c r="Q5" s="298" t="s">
        <v>879</v>
      </c>
      <c r="R5" s="292"/>
      <c r="S5" s="293"/>
    </row>
    <row r="6" spans="1:19" ht="15" customHeight="1" x14ac:dyDescent="0.55000000000000004">
      <c r="B6" s="294" t="s">
        <v>880</v>
      </c>
      <c r="C6" s="295"/>
      <c r="D6" s="295"/>
      <c r="E6" s="295"/>
      <c r="F6" s="295"/>
      <c r="G6" s="295"/>
      <c r="H6" s="295"/>
      <c r="I6" s="295"/>
      <c r="J6" s="295"/>
      <c r="K6" s="295"/>
      <c r="L6" s="295"/>
      <c r="M6" s="295"/>
      <c r="N6" s="295"/>
      <c r="O6" s="295"/>
      <c r="P6" s="295"/>
      <c r="Q6" s="295"/>
      <c r="R6" s="295"/>
      <c r="S6" s="295"/>
    </row>
    <row r="7" spans="1:19" ht="20.05" customHeight="1" x14ac:dyDescent="0.55000000000000004">
      <c r="A7" s="301" t="s">
        <v>881</v>
      </c>
      <c r="B7" s="295"/>
      <c r="C7" s="295"/>
      <c r="D7" s="295"/>
      <c r="E7" s="295"/>
      <c r="F7" s="295"/>
      <c r="G7" s="295"/>
      <c r="H7" s="295"/>
      <c r="I7" s="295"/>
      <c r="J7" s="295"/>
      <c r="K7" s="295"/>
      <c r="L7" s="295"/>
      <c r="M7" s="295"/>
      <c r="N7" s="295"/>
      <c r="O7" s="295"/>
      <c r="P7" s="295"/>
      <c r="Q7" s="295"/>
      <c r="R7" s="295"/>
      <c r="S7" s="295"/>
    </row>
    <row r="8" spans="1:19" ht="46" customHeight="1" x14ac:dyDescent="0.55000000000000004">
      <c r="A8" s="35" t="s">
        <v>882</v>
      </c>
      <c r="B8" s="304" t="s">
        <v>883</v>
      </c>
      <c r="C8" s="292"/>
      <c r="D8" s="292"/>
      <c r="E8" s="292"/>
      <c r="F8" s="292"/>
      <c r="G8" s="292"/>
      <c r="H8" s="292"/>
      <c r="I8" s="292"/>
      <c r="J8" s="293"/>
      <c r="K8" s="304" t="s">
        <v>884</v>
      </c>
      <c r="L8" s="292"/>
      <c r="M8" s="292"/>
      <c r="N8" s="292"/>
      <c r="O8" s="292"/>
      <c r="P8" s="292"/>
      <c r="Q8" s="292"/>
      <c r="R8" s="292"/>
      <c r="S8" s="293"/>
    </row>
    <row r="9" spans="1:19" ht="15" customHeight="1" x14ac:dyDescent="0.55000000000000004">
      <c r="B9" s="294" t="s">
        <v>880</v>
      </c>
      <c r="C9" s="295"/>
      <c r="D9" s="295"/>
      <c r="E9" s="295"/>
      <c r="F9" s="295"/>
      <c r="G9" s="295"/>
      <c r="H9" s="295"/>
      <c r="I9" s="295"/>
      <c r="J9" s="295"/>
      <c r="K9" s="295"/>
      <c r="L9" s="295"/>
      <c r="M9" s="295"/>
      <c r="N9" s="295"/>
      <c r="O9" s="295"/>
      <c r="P9" s="295"/>
      <c r="Q9" s="295"/>
      <c r="R9" s="295"/>
      <c r="S9" s="295"/>
    </row>
    <row r="10" spans="1:19" ht="20.05" customHeight="1" x14ac:dyDescent="0.55000000000000004">
      <c r="A10" s="301" t="s">
        <v>885</v>
      </c>
      <c r="B10" s="295"/>
      <c r="C10" s="295"/>
      <c r="D10" s="295"/>
      <c r="E10" s="295"/>
      <c r="F10" s="295"/>
      <c r="G10" s="295"/>
      <c r="H10" s="295"/>
      <c r="I10" s="295"/>
      <c r="J10" s="295"/>
      <c r="K10" s="295"/>
      <c r="L10" s="295"/>
      <c r="M10" s="295"/>
      <c r="N10" s="295"/>
      <c r="O10" s="295"/>
      <c r="P10" s="295"/>
      <c r="Q10" s="295"/>
      <c r="R10" s="295"/>
      <c r="S10" s="295"/>
    </row>
    <row r="11" spans="1:19" ht="54" customHeight="1" x14ac:dyDescent="0.55000000000000004">
      <c r="A11" s="35" t="s">
        <v>886</v>
      </c>
      <c r="B11" s="291" t="s">
        <v>887</v>
      </c>
      <c r="C11" s="292"/>
      <c r="D11" s="293"/>
      <c r="E11" s="291" t="s">
        <v>888</v>
      </c>
      <c r="F11" s="292"/>
      <c r="G11" s="293"/>
      <c r="H11" s="291" t="s">
        <v>889</v>
      </c>
      <c r="I11" s="292"/>
      <c r="J11" s="293"/>
      <c r="K11" s="296" t="s">
        <v>890</v>
      </c>
      <c r="L11" s="292"/>
      <c r="M11" s="293"/>
      <c r="N11" s="291" t="s">
        <v>891</v>
      </c>
      <c r="O11" s="292"/>
      <c r="P11" s="293"/>
      <c r="Q11" s="291" t="s">
        <v>892</v>
      </c>
      <c r="R11" s="292"/>
      <c r="S11" s="293"/>
    </row>
    <row r="12" spans="1:19" ht="15" customHeight="1" x14ac:dyDescent="0.55000000000000004">
      <c r="B12" s="294" t="s">
        <v>880</v>
      </c>
      <c r="C12" s="295"/>
      <c r="D12" s="295"/>
      <c r="E12" s="295"/>
      <c r="F12" s="295"/>
      <c r="G12" s="295"/>
      <c r="H12" s="295"/>
      <c r="I12" s="295"/>
      <c r="J12" s="295"/>
      <c r="K12" s="295"/>
      <c r="L12" s="295"/>
      <c r="M12" s="295"/>
      <c r="N12" s="295"/>
      <c r="O12" s="295"/>
      <c r="P12" s="295"/>
      <c r="Q12" s="295"/>
      <c r="R12" s="295"/>
      <c r="S12" s="295"/>
    </row>
    <row r="13" spans="1:19" ht="20.05" customHeight="1" x14ac:dyDescent="0.55000000000000004">
      <c r="A13" s="301" t="s">
        <v>893</v>
      </c>
      <c r="B13" s="295"/>
      <c r="C13" s="295"/>
      <c r="D13" s="295"/>
      <c r="E13" s="295"/>
      <c r="F13" s="295"/>
      <c r="G13" s="295"/>
      <c r="H13" s="295"/>
      <c r="I13" s="295"/>
      <c r="J13" s="295"/>
      <c r="K13" s="295"/>
      <c r="L13" s="295"/>
      <c r="M13" s="295"/>
      <c r="N13" s="295"/>
      <c r="O13" s="295"/>
      <c r="P13" s="295"/>
      <c r="Q13" s="295"/>
      <c r="R13" s="295"/>
      <c r="S13" s="295"/>
    </row>
    <row r="14" spans="1:19" ht="52" customHeight="1" x14ac:dyDescent="0.55000000000000004">
      <c r="A14" s="35" t="s">
        <v>894</v>
      </c>
      <c r="B14" s="299" t="s">
        <v>895</v>
      </c>
      <c r="C14" s="292"/>
      <c r="D14" s="292"/>
      <c r="E14" s="292"/>
      <c r="F14" s="292"/>
      <c r="G14" s="293"/>
      <c r="H14" s="299" t="s">
        <v>896</v>
      </c>
      <c r="I14" s="292"/>
      <c r="J14" s="292"/>
      <c r="K14" s="292"/>
      <c r="L14" s="292"/>
      <c r="M14" s="293"/>
      <c r="N14" s="299" t="s">
        <v>897</v>
      </c>
      <c r="O14" s="292"/>
      <c r="P14" s="293"/>
      <c r="Q14" s="296" t="s">
        <v>898</v>
      </c>
      <c r="R14" s="292"/>
      <c r="S14" s="293"/>
    </row>
    <row r="15" spans="1:19" ht="15" customHeight="1" x14ac:dyDescent="0.55000000000000004">
      <c r="B15" s="294" t="s">
        <v>899</v>
      </c>
      <c r="C15" s="295"/>
      <c r="D15" s="295"/>
      <c r="E15" s="295"/>
      <c r="F15" s="295"/>
      <c r="G15" s="295"/>
      <c r="H15" s="295"/>
      <c r="I15" s="295"/>
      <c r="J15" s="295"/>
      <c r="K15" s="295"/>
      <c r="L15" s="295"/>
      <c r="M15" s="295"/>
      <c r="N15" s="295"/>
      <c r="O15" s="295"/>
      <c r="P15" s="295"/>
      <c r="Q15" s="295"/>
      <c r="R15" s="295"/>
      <c r="S15" s="295"/>
    </row>
    <row r="16" spans="1:19" ht="20.05" customHeight="1" x14ac:dyDescent="0.55000000000000004">
      <c r="A16" s="301" t="s">
        <v>900</v>
      </c>
      <c r="B16" s="295"/>
      <c r="C16" s="295"/>
      <c r="D16" s="295"/>
      <c r="E16" s="295"/>
      <c r="F16" s="295"/>
      <c r="G16" s="295"/>
      <c r="H16" s="295"/>
      <c r="I16" s="295"/>
      <c r="J16" s="295"/>
      <c r="K16" s="295"/>
      <c r="L16" s="295"/>
      <c r="M16" s="295"/>
      <c r="N16" s="295"/>
      <c r="O16" s="295"/>
      <c r="P16" s="295"/>
      <c r="Q16" s="295"/>
      <c r="R16" s="295"/>
      <c r="S16" s="295"/>
    </row>
    <row r="17" spans="1:19" ht="54" customHeight="1" x14ac:dyDescent="0.55000000000000004">
      <c r="A17" s="35" t="s">
        <v>901</v>
      </c>
      <c r="B17" s="300" t="s">
        <v>902</v>
      </c>
      <c r="C17" s="292"/>
      <c r="D17" s="292"/>
      <c r="E17" s="292"/>
      <c r="F17" s="292"/>
      <c r="G17" s="293"/>
      <c r="H17" s="300" t="s">
        <v>903</v>
      </c>
      <c r="I17" s="292"/>
      <c r="J17" s="293"/>
      <c r="K17" s="300" t="s">
        <v>904</v>
      </c>
      <c r="L17" s="292"/>
      <c r="M17" s="293"/>
      <c r="N17" s="300" t="s">
        <v>905</v>
      </c>
      <c r="O17" s="292"/>
      <c r="P17" s="293"/>
      <c r="Q17" s="300" t="s">
        <v>906</v>
      </c>
      <c r="R17" s="292"/>
      <c r="S17" s="293"/>
    </row>
    <row r="18" spans="1:19" ht="15" customHeight="1" x14ac:dyDescent="0.55000000000000004">
      <c r="B18" s="294" t="s">
        <v>880</v>
      </c>
      <c r="C18" s="295"/>
      <c r="D18" s="295"/>
      <c r="E18" s="295"/>
      <c r="F18" s="295"/>
      <c r="G18" s="295"/>
      <c r="H18" s="295"/>
      <c r="I18" s="295"/>
      <c r="J18" s="295"/>
      <c r="K18" s="295"/>
      <c r="L18" s="295"/>
      <c r="M18" s="295"/>
      <c r="N18" s="295"/>
      <c r="O18" s="295"/>
      <c r="P18" s="295"/>
      <c r="Q18" s="295"/>
      <c r="R18" s="295"/>
      <c r="S18" s="295"/>
    </row>
    <row r="19" spans="1:19" ht="20.05" customHeight="1" x14ac:dyDescent="0.55000000000000004">
      <c r="A19" s="301" t="s">
        <v>907</v>
      </c>
      <c r="B19" s="295"/>
      <c r="C19" s="295"/>
      <c r="D19" s="295"/>
      <c r="E19" s="295"/>
      <c r="F19" s="295"/>
      <c r="G19" s="295"/>
      <c r="H19" s="295"/>
      <c r="I19" s="295"/>
      <c r="J19" s="295"/>
      <c r="K19" s="295"/>
      <c r="L19" s="295"/>
      <c r="M19" s="295"/>
      <c r="N19" s="295"/>
      <c r="O19" s="295"/>
      <c r="P19" s="295"/>
      <c r="Q19" s="295"/>
      <c r="R19" s="295"/>
      <c r="S19" s="295"/>
    </row>
    <row r="20" spans="1:19" ht="46" customHeight="1" x14ac:dyDescent="0.55000000000000004">
      <c r="A20" s="35" t="s">
        <v>908</v>
      </c>
      <c r="B20" s="302" t="s">
        <v>909</v>
      </c>
      <c r="C20" s="292"/>
      <c r="D20" s="292"/>
      <c r="E20" s="292"/>
      <c r="F20" s="292"/>
      <c r="G20" s="293"/>
      <c r="H20" s="302" t="s">
        <v>910</v>
      </c>
      <c r="I20" s="292"/>
      <c r="J20" s="292"/>
      <c r="K20" s="292"/>
      <c r="L20" s="292"/>
      <c r="M20" s="293"/>
      <c r="N20" s="302" t="s">
        <v>911</v>
      </c>
      <c r="O20" s="292"/>
      <c r="P20" s="292"/>
      <c r="Q20" s="292"/>
      <c r="R20" s="292"/>
      <c r="S20" s="293"/>
    </row>
    <row r="21" spans="1:19" ht="15" customHeight="1" x14ac:dyDescent="0.55000000000000004">
      <c r="B21" s="294" t="s">
        <v>880</v>
      </c>
      <c r="C21" s="295"/>
      <c r="D21" s="295"/>
      <c r="E21" s="295"/>
      <c r="F21" s="295"/>
      <c r="G21" s="295"/>
      <c r="H21" s="295"/>
      <c r="I21" s="295"/>
      <c r="J21" s="295"/>
      <c r="K21" s="295"/>
      <c r="L21" s="295"/>
      <c r="M21" s="295"/>
      <c r="N21" s="295"/>
      <c r="O21" s="295"/>
      <c r="P21" s="295"/>
      <c r="Q21" s="295"/>
      <c r="R21" s="295"/>
      <c r="S21" s="295"/>
    </row>
    <row r="22" spans="1:19" ht="20.05" customHeight="1" x14ac:dyDescent="0.55000000000000004">
      <c r="A22" s="301" t="s">
        <v>912</v>
      </c>
      <c r="B22" s="295"/>
      <c r="C22" s="295"/>
      <c r="D22" s="295"/>
      <c r="E22" s="295"/>
      <c r="F22" s="295"/>
      <c r="G22" s="295"/>
      <c r="H22" s="295"/>
      <c r="I22" s="295"/>
      <c r="J22" s="295"/>
      <c r="K22" s="295"/>
      <c r="L22" s="295"/>
      <c r="M22" s="295"/>
      <c r="N22" s="295"/>
      <c r="O22" s="295"/>
      <c r="P22" s="295"/>
      <c r="Q22" s="295"/>
      <c r="R22" s="295"/>
      <c r="S22" s="295"/>
    </row>
    <row r="23" spans="1:19" ht="52" customHeight="1" x14ac:dyDescent="0.55000000000000004">
      <c r="A23" s="35" t="s">
        <v>913</v>
      </c>
      <c r="B23" s="302" t="s">
        <v>914</v>
      </c>
      <c r="C23" s="292"/>
      <c r="D23" s="292"/>
      <c r="E23" s="292"/>
      <c r="F23" s="292"/>
      <c r="G23" s="293"/>
      <c r="H23" s="302" t="s">
        <v>915</v>
      </c>
      <c r="I23" s="292"/>
      <c r="J23" s="293"/>
      <c r="K23" s="302" t="s">
        <v>916</v>
      </c>
      <c r="L23" s="292"/>
      <c r="M23" s="293"/>
      <c r="N23" s="302" t="s">
        <v>917</v>
      </c>
      <c r="O23" s="292"/>
      <c r="P23" s="293"/>
      <c r="Q23" s="298" t="s">
        <v>918</v>
      </c>
      <c r="R23" s="292"/>
      <c r="S23" s="293"/>
    </row>
    <row r="26" spans="1:19" ht="20.05" customHeight="1" x14ac:dyDescent="0.55000000000000004">
      <c r="A26" s="307" t="s">
        <v>919</v>
      </c>
      <c r="B26" s="295"/>
      <c r="C26" s="295"/>
      <c r="D26" s="295"/>
      <c r="E26" s="295"/>
      <c r="F26" s="295"/>
      <c r="G26" s="295"/>
      <c r="H26" s="295"/>
      <c r="I26" s="295"/>
      <c r="J26" s="295"/>
      <c r="K26" s="295"/>
      <c r="L26" s="295"/>
      <c r="M26" s="295"/>
      <c r="N26" s="295"/>
      <c r="O26" s="295"/>
      <c r="P26" s="295"/>
      <c r="Q26" s="295"/>
      <c r="R26" s="295"/>
      <c r="S26" s="295"/>
    </row>
    <row r="27" spans="1:19" ht="52" customHeight="1" x14ac:dyDescent="0.55000000000000004">
      <c r="A27" s="35" t="s">
        <v>920</v>
      </c>
      <c r="B27" s="291" t="s">
        <v>921</v>
      </c>
      <c r="C27" s="292"/>
      <c r="D27" s="293"/>
      <c r="E27" s="291" t="s">
        <v>922</v>
      </c>
      <c r="F27" s="292"/>
      <c r="G27" s="293"/>
      <c r="H27" s="299" t="s">
        <v>923</v>
      </c>
      <c r="I27" s="292"/>
      <c r="J27" s="293"/>
      <c r="K27" s="300" t="s">
        <v>924</v>
      </c>
      <c r="L27" s="292"/>
      <c r="M27" s="293"/>
      <c r="N27" s="300" t="s">
        <v>925</v>
      </c>
      <c r="O27" s="292"/>
      <c r="P27" s="293"/>
      <c r="Q27" s="299" t="s">
        <v>926</v>
      </c>
      <c r="R27" s="292"/>
      <c r="S27" s="293"/>
    </row>
    <row r="30" spans="1:19" ht="20.05" customHeight="1" x14ac:dyDescent="0.55000000000000004">
      <c r="A30" s="301" t="s">
        <v>927</v>
      </c>
      <c r="B30" s="295"/>
      <c r="C30" s="295"/>
      <c r="D30" s="295"/>
      <c r="E30" s="295"/>
      <c r="F30" s="295"/>
      <c r="G30" s="295"/>
      <c r="H30" s="295"/>
      <c r="I30" s="295"/>
      <c r="J30" s="295"/>
      <c r="K30" s="295"/>
      <c r="L30" s="295"/>
      <c r="M30" s="295"/>
      <c r="N30" s="295"/>
      <c r="O30" s="295"/>
      <c r="P30" s="295"/>
      <c r="Q30" s="295"/>
      <c r="R30" s="295"/>
      <c r="S30" s="295"/>
    </row>
    <row r="31" spans="1:19" ht="16" customHeight="1" x14ac:dyDescent="0.55000000000000004">
      <c r="A31" s="297" t="s">
        <v>928</v>
      </c>
      <c r="B31" s="295"/>
      <c r="C31" s="295"/>
      <c r="D31" s="295"/>
      <c r="E31" s="295"/>
      <c r="F31" s="295"/>
      <c r="G31" s="295"/>
      <c r="H31" s="295"/>
      <c r="I31" s="295"/>
      <c r="J31" s="295"/>
      <c r="K31" s="295"/>
      <c r="L31" s="295"/>
      <c r="M31" s="295"/>
      <c r="N31" s="295"/>
      <c r="O31" s="295"/>
      <c r="P31" s="295"/>
      <c r="Q31" s="295"/>
      <c r="R31" s="295"/>
      <c r="S31" s="295"/>
    </row>
    <row r="32" spans="1:19" ht="16" customHeight="1" x14ac:dyDescent="0.55000000000000004">
      <c r="A32" s="297" t="s">
        <v>929</v>
      </c>
      <c r="B32" s="295"/>
      <c r="C32" s="295"/>
      <c r="D32" s="295"/>
      <c r="E32" s="295"/>
      <c r="F32" s="295"/>
      <c r="G32" s="295"/>
      <c r="H32" s="295"/>
      <c r="I32" s="295"/>
      <c r="J32" s="295"/>
      <c r="K32" s="295"/>
      <c r="L32" s="295"/>
      <c r="M32" s="295"/>
      <c r="N32" s="295"/>
      <c r="O32" s="295"/>
      <c r="P32" s="295"/>
      <c r="Q32" s="295"/>
      <c r="R32" s="295"/>
      <c r="S32" s="295"/>
    </row>
    <row r="33" spans="1:19" ht="16" customHeight="1" x14ac:dyDescent="0.55000000000000004">
      <c r="A33" s="297" t="s">
        <v>930</v>
      </c>
      <c r="B33" s="295"/>
      <c r="C33" s="295"/>
      <c r="D33" s="295"/>
      <c r="E33" s="295"/>
      <c r="F33" s="295"/>
      <c r="G33" s="295"/>
      <c r="H33" s="295"/>
      <c r="I33" s="295"/>
      <c r="J33" s="295"/>
      <c r="K33" s="295"/>
      <c r="L33" s="295"/>
      <c r="M33" s="295"/>
      <c r="N33" s="295"/>
      <c r="O33" s="295"/>
      <c r="P33" s="295"/>
      <c r="Q33" s="295"/>
      <c r="R33" s="295"/>
      <c r="S33" s="295"/>
    </row>
    <row r="34" spans="1:19" ht="16" customHeight="1" x14ac:dyDescent="0.55000000000000004">
      <c r="A34" s="297" t="s">
        <v>931</v>
      </c>
      <c r="B34" s="295"/>
      <c r="C34" s="295"/>
      <c r="D34" s="295"/>
      <c r="E34" s="295"/>
      <c r="F34" s="295"/>
      <c r="G34" s="295"/>
      <c r="H34" s="295"/>
      <c r="I34" s="295"/>
      <c r="J34" s="295"/>
      <c r="K34" s="295"/>
      <c r="L34" s="295"/>
      <c r="M34" s="295"/>
      <c r="N34" s="295"/>
      <c r="O34" s="295"/>
      <c r="P34" s="295"/>
      <c r="Q34" s="295"/>
      <c r="R34" s="295"/>
      <c r="S34" s="295"/>
    </row>
    <row r="35" spans="1:19" ht="16" customHeight="1" x14ac:dyDescent="0.55000000000000004">
      <c r="A35" s="297" t="s">
        <v>932</v>
      </c>
      <c r="B35" s="295"/>
      <c r="C35" s="295"/>
      <c r="D35" s="295"/>
      <c r="E35" s="295"/>
      <c r="F35" s="295"/>
      <c r="G35" s="295"/>
      <c r="H35" s="295"/>
      <c r="I35" s="295"/>
      <c r="J35" s="295"/>
      <c r="K35" s="295"/>
      <c r="L35" s="295"/>
      <c r="M35" s="295"/>
      <c r="N35" s="295"/>
      <c r="O35" s="295"/>
      <c r="P35" s="295"/>
      <c r="Q35" s="295"/>
      <c r="R35" s="295"/>
      <c r="S35" s="295"/>
    </row>
    <row r="36" spans="1:19" ht="16" customHeight="1" x14ac:dyDescent="0.55000000000000004">
      <c r="A36" s="297" t="s">
        <v>933</v>
      </c>
      <c r="B36" s="295"/>
      <c r="C36" s="295"/>
      <c r="D36" s="295"/>
      <c r="E36" s="295"/>
      <c r="F36" s="295"/>
      <c r="G36" s="295"/>
      <c r="H36" s="295"/>
      <c r="I36" s="295"/>
      <c r="J36" s="295"/>
      <c r="K36" s="295"/>
      <c r="L36" s="295"/>
      <c r="M36" s="295"/>
      <c r="N36" s="295"/>
      <c r="O36" s="295"/>
      <c r="P36" s="295"/>
      <c r="Q36" s="295"/>
      <c r="R36" s="295"/>
      <c r="S36" s="295"/>
    </row>
    <row r="37" spans="1:19" ht="16" customHeight="1" x14ac:dyDescent="0.55000000000000004">
      <c r="A37" s="308" t="s">
        <v>934</v>
      </c>
      <c r="B37" s="295"/>
      <c r="C37" s="295"/>
      <c r="D37" s="295"/>
      <c r="E37" s="295"/>
      <c r="F37" s="295"/>
      <c r="G37" s="295"/>
      <c r="H37" s="295"/>
      <c r="I37" s="295"/>
      <c r="J37" s="295"/>
      <c r="K37" s="295"/>
      <c r="L37" s="295"/>
      <c r="M37" s="295"/>
      <c r="N37" s="295"/>
      <c r="O37" s="295"/>
      <c r="P37" s="295"/>
      <c r="Q37" s="295"/>
      <c r="R37" s="295"/>
      <c r="S37" s="295"/>
    </row>
    <row r="39" spans="1:19" ht="18" customHeight="1" x14ac:dyDescent="0.55000000000000004">
      <c r="A39" s="36" t="s">
        <v>869</v>
      </c>
      <c r="B39" s="311" t="s">
        <v>935</v>
      </c>
      <c r="C39" s="295"/>
      <c r="D39" s="295"/>
      <c r="E39" s="309" t="s">
        <v>936</v>
      </c>
      <c r="F39" s="295"/>
      <c r="G39" s="295"/>
      <c r="H39" s="312" t="s">
        <v>937</v>
      </c>
      <c r="I39" s="295"/>
      <c r="J39" s="295"/>
      <c r="K39" s="305" t="s">
        <v>938</v>
      </c>
      <c r="L39" s="295"/>
      <c r="M39" s="295"/>
      <c r="N39" s="303" t="s">
        <v>300</v>
      </c>
      <c r="O39" s="295"/>
      <c r="P39" s="295"/>
      <c r="Q39" s="310" t="s">
        <v>939</v>
      </c>
      <c r="R39" s="295"/>
      <c r="S39" s="295"/>
    </row>
    <row r="41" spans="1:19" x14ac:dyDescent="0.55000000000000004">
      <c r="A41" s="274" t="s">
        <v>940</v>
      </c>
    </row>
    <row r="42" spans="1:19" ht="77.7" customHeight="1" x14ac:dyDescent="0.55000000000000004">
      <c r="A42" s="35" t="s">
        <v>941</v>
      </c>
      <c r="B42" s="275" t="s">
        <v>942</v>
      </c>
      <c r="H42" s="275" t="s">
        <v>943</v>
      </c>
      <c r="K42" s="275" t="s">
        <v>944</v>
      </c>
      <c r="N42" s="275" t="s">
        <v>945</v>
      </c>
      <c r="Q42" s="275" t="s">
        <v>946</v>
      </c>
    </row>
    <row r="43" spans="1:19" x14ac:dyDescent="0.55000000000000004">
      <c r="A43" s="276" t="s">
        <v>947</v>
      </c>
    </row>
  </sheetData>
  <mergeCells count="67">
    <mergeCell ref="A1:S1"/>
    <mergeCell ref="H14:M14"/>
    <mergeCell ref="N27:P27"/>
    <mergeCell ref="A26:S26"/>
    <mergeCell ref="H20:M20"/>
    <mergeCell ref="A16:S16"/>
    <mergeCell ref="N20:S20"/>
    <mergeCell ref="A7:S7"/>
    <mergeCell ref="N11:P11"/>
    <mergeCell ref="E5:G5"/>
    <mergeCell ref="K5:M5"/>
    <mergeCell ref="B27:D27"/>
    <mergeCell ref="A2:S2"/>
    <mergeCell ref="K11:M11"/>
    <mergeCell ref="B18:S18"/>
    <mergeCell ref="B6:S6"/>
    <mergeCell ref="Q11:S11"/>
    <mergeCell ref="B20:G20"/>
    <mergeCell ref="B5:D5"/>
    <mergeCell ref="B15:S15"/>
    <mergeCell ref="H5:J5"/>
    <mergeCell ref="A31:S31"/>
    <mergeCell ref="K39:M39"/>
    <mergeCell ref="A34:S34"/>
    <mergeCell ref="B9:S9"/>
    <mergeCell ref="K17:M17"/>
    <mergeCell ref="Q17:S17"/>
    <mergeCell ref="A30:S30"/>
    <mergeCell ref="A36:S36"/>
    <mergeCell ref="H23:J23"/>
    <mergeCell ref="A37:S37"/>
    <mergeCell ref="E39:G39"/>
    <mergeCell ref="Q39:S39"/>
    <mergeCell ref="B39:D39"/>
    <mergeCell ref="H39:J39"/>
    <mergeCell ref="N39:P39"/>
    <mergeCell ref="B8:J8"/>
    <mergeCell ref="B12:S12"/>
    <mergeCell ref="A35:S35"/>
    <mergeCell ref="A4:S4"/>
    <mergeCell ref="H17:J17"/>
    <mergeCell ref="H11:J11"/>
    <mergeCell ref="A10:S10"/>
    <mergeCell ref="K8:S8"/>
    <mergeCell ref="A19:S19"/>
    <mergeCell ref="E11:G11"/>
    <mergeCell ref="E27:G27"/>
    <mergeCell ref="A13:S13"/>
    <mergeCell ref="Q27:S27"/>
    <mergeCell ref="K27:M27"/>
    <mergeCell ref="H27:J27"/>
    <mergeCell ref="B11:D11"/>
    <mergeCell ref="B21:S21"/>
    <mergeCell ref="Q14:S14"/>
    <mergeCell ref="A33:S33"/>
    <mergeCell ref="Q5:S5"/>
    <mergeCell ref="Q23:S23"/>
    <mergeCell ref="B14:G14"/>
    <mergeCell ref="A32:S32"/>
    <mergeCell ref="B17:G17"/>
    <mergeCell ref="N14:P14"/>
    <mergeCell ref="A22:S22"/>
    <mergeCell ref="B23:G23"/>
    <mergeCell ref="N5:P5"/>
    <mergeCell ref="N23:P23"/>
    <mergeCell ref="N17:P17"/>
    <mergeCell ref="K23:M2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9"/>
  <sheetViews>
    <sheetView workbookViewId="0">
      <selection activeCell="J13" sqref="J13"/>
    </sheetView>
  </sheetViews>
  <sheetFormatPr defaultRowHeight="14.4" x14ac:dyDescent="0.55000000000000004"/>
  <cols>
    <col min="1" max="1" width="22" customWidth="1"/>
    <col min="2" max="3" width="9" customWidth="1"/>
    <col min="4" max="4" width="20" customWidth="1"/>
    <col min="5" max="5" width="10" customWidth="1"/>
    <col min="6" max="6" width="13" customWidth="1"/>
  </cols>
  <sheetData>
    <row r="1" spans="1:6" ht="26.05" customHeight="1" x14ac:dyDescent="0.55000000000000004">
      <c r="A1" s="286" t="s">
        <v>948</v>
      </c>
      <c r="B1" s="287"/>
      <c r="C1" s="287"/>
      <c r="D1" s="287"/>
      <c r="E1" s="287"/>
      <c r="F1" s="288"/>
    </row>
    <row r="3" spans="1:6" x14ac:dyDescent="0.55000000000000004">
      <c r="A3" s="1" t="s">
        <v>258</v>
      </c>
      <c r="B3" s="1" t="s">
        <v>949</v>
      </c>
      <c r="C3" s="1" t="s">
        <v>277</v>
      </c>
      <c r="D3" s="1" t="s">
        <v>950</v>
      </c>
      <c r="E3" s="1" t="s">
        <v>398</v>
      </c>
      <c r="F3" s="1" t="s">
        <v>951</v>
      </c>
    </row>
    <row r="4" spans="1:6" x14ac:dyDescent="0.55000000000000004">
      <c r="A4" s="23" t="s">
        <v>275</v>
      </c>
      <c r="B4" s="24">
        <f t="shared" ref="B4:B14" si="0">C4+D4+E4</f>
        <v>4</v>
      </c>
      <c r="C4" s="24">
        <f>COUNTIFS('Delivery Board'!$R$5:$R$500,$A4,'Delivery Board'!$C$5:$C$500,"Done")</f>
        <v>4</v>
      </c>
      <c r="D4" s="24">
        <f>COUNTIFS('Delivery Board'!$R$5:$R$500,$A4,'Delivery Board'!$C$5:$C$500,"Planned")+COUNTIFS('Delivery Board'!$R$5:$R$500,$A4,'Delivery Board'!$C$5:$C$500,"In progress")+COUNTIFS('Delivery Board'!$R$5:$R$500,$A4,'Delivery Board'!$C$5:$C$500,"Milestone")</f>
        <v>0</v>
      </c>
      <c r="E4" s="24">
        <f>COUNTIFS('Delivery Board'!$R$5:$R$500,$A4,'Delivery Board'!$C$5:$C$500,"Blocked")</f>
        <v>0</v>
      </c>
      <c r="F4" s="25">
        <f t="shared" ref="F4:F14" si="1">IF(B4=0,0,C4/B4)</f>
        <v>1</v>
      </c>
    </row>
    <row r="5" spans="1:6" x14ac:dyDescent="0.55000000000000004">
      <c r="A5" s="23" t="s">
        <v>286</v>
      </c>
      <c r="B5" s="24">
        <f t="shared" si="0"/>
        <v>14</v>
      </c>
      <c r="C5" s="24">
        <f>COUNTIFS('Delivery Board'!$R$5:$R$500,$A5,'Delivery Board'!$C$5:$C$500,"Done")</f>
        <v>13</v>
      </c>
      <c r="D5" s="24">
        <f>COUNTIFS('Delivery Board'!$R$5:$R$500,$A5,'Delivery Board'!$C$5:$C$500,"Planned")+COUNTIFS('Delivery Board'!$R$5:$R$500,$A5,'Delivery Board'!$C$5:$C$500,"In progress")+COUNTIFS('Delivery Board'!$R$5:$R$500,$A5,'Delivery Board'!$C$5:$C$500,"Milestone")</f>
        <v>1</v>
      </c>
      <c r="E5" s="24">
        <f>COUNTIFS('Delivery Board'!$R$5:$R$500,$A5,'Delivery Board'!$C$5:$C$500,"Blocked")</f>
        <v>0</v>
      </c>
      <c r="F5" s="25">
        <f t="shared" si="1"/>
        <v>0.9285714285714286</v>
      </c>
    </row>
    <row r="6" spans="1:6" x14ac:dyDescent="0.55000000000000004">
      <c r="A6" s="23" t="s">
        <v>298</v>
      </c>
      <c r="B6" s="24">
        <f t="shared" si="0"/>
        <v>5</v>
      </c>
      <c r="C6" s="24">
        <f>COUNTIFS('Delivery Board'!$R$5:$R$500,$A6,'Delivery Board'!$C$5:$C$500,"Done")</f>
        <v>5</v>
      </c>
      <c r="D6" s="24">
        <f>COUNTIFS('Delivery Board'!$R$5:$R$500,$A6,'Delivery Board'!$C$5:$C$500,"Planned")+COUNTIFS('Delivery Board'!$R$5:$R$500,$A6,'Delivery Board'!$C$5:$C$500,"In progress")+COUNTIFS('Delivery Board'!$R$5:$R$500,$A6,'Delivery Board'!$C$5:$C$500,"Milestone")</f>
        <v>0</v>
      </c>
      <c r="E6" s="24">
        <f>COUNTIFS('Delivery Board'!$R$5:$R$500,$A6,'Delivery Board'!$C$5:$C$500,"Blocked")</f>
        <v>0</v>
      </c>
      <c r="F6" s="25">
        <f t="shared" si="1"/>
        <v>1</v>
      </c>
    </row>
    <row r="7" spans="1:6" x14ac:dyDescent="0.55000000000000004">
      <c r="A7" s="23" t="s">
        <v>306</v>
      </c>
      <c r="B7" s="24">
        <f t="shared" si="0"/>
        <v>10</v>
      </c>
      <c r="C7" s="24">
        <f>COUNTIFS('Delivery Board'!$R$5:$R$500,$A7,'Delivery Board'!$C$5:$C$500,"Done")</f>
        <v>9</v>
      </c>
      <c r="D7" s="24">
        <f>COUNTIFS('Delivery Board'!$R$5:$R$500,$A7,'Delivery Board'!$C$5:$C$500,"Planned")+COUNTIFS('Delivery Board'!$R$5:$R$500,$A7,'Delivery Board'!$C$5:$C$500,"In progress")+COUNTIFS('Delivery Board'!$R$5:$R$500,$A7,'Delivery Board'!$C$5:$C$500,"Milestone")</f>
        <v>1</v>
      </c>
      <c r="E7" s="24">
        <f>COUNTIFS('Delivery Board'!$R$5:$R$500,$A7,'Delivery Board'!$C$5:$C$500,"Blocked")</f>
        <v>0</v>
      </c>
      <c r="F7" s="25">
        <f t="shared" si="1"/>
        <v>0.9</v>
      </c>
    </row>
    <row r="8" spans="1:6" x14ac:dyDescent="0.55000000000000004">
      <c r="A8" s="23" t="s">
        <v>317</v>
      </c>
      <c r="B8" s="24">
        <f t="shared" si="0"/>
        <v>24</v>
      </c>
      <c r="C8" s="24">
        <f>COUNTIFS('Delivery Board'!$R$5:$R$500,$A8,'Delivery Board'!$C$5:$C$500,"Done")</f>
        <v>24</v>
      </c>
      <c r="D8" s="24">
        <f>COUNTIFS('Delivery Board'!$R$5:$R$500,$A8,'Delivery Board'!$C$5:$C$500,"Planned")+COUNTIFS('Delivery Board'!$R$5:$R$500,$A8,'Delivery Board'!$C$5:$C$500,"In progress")+COUNTIFS('Delivery Board'!$R$5:$R$500,$A8,'Delivery Board'!$C$5:$C$500,"Milestone")</f>
        <v>0</v>
      </c>
      <c r="E8" s="24">
        <f>COUNTIFS('Delivery Board'!$R$5:$R$500,$A8,'Delivery Board'!$C$5:$C$500,"Blocked")</f>
        <v>0</v>
      </c>
      <c r="F8" s="25">
        <f t="shared" si="1"/>
        <v>1</v>
      </c>
    </row>
    <row r="9" spans="1:6" x14ac:dyDescent="0.55000000000000004">
      <c r="A9" s="23" t="s">
        <v>328</v>
      </c>
      <c r="B9" s="24">
        <f t="shared" si="0"/>
        <v>18</v>
      </c>
      <c r="C9" s="24">
        <f>COUNTIFS('Delivery Board'!$R$5:$R$500,$A9,'Delivery Board'!$C$5:$C$500,"Done")</f>
        <v>16</v>
      </c>
      <c r="D9" s="24">
        <f>COUNTIFS('Delivery Board'!$R$5:$R$500,$A9,'Delivery Board'!$C$5:$C$500,"Planned")+COUNTIFS('Delivery Board'!$R$5:$R$500,$A9,'Delivery Board'!$C$5:$C$500,"In progress")+COUNTIFS('Delivery Board'!$R$5:$R$500,$A9,'Delivery Board'!$C$5:$C$500,"Milestone")</f>
        <v>2</v>
      </c>
      <c r="E9" s="24">
        <f>COUNTIFS('Delivery Board'!$R$5:$R$500,$A9,'Delivery Board'!$C$5:$C$500,"Blocked")</f>
        <v>0</v>
      </c>
      <c r="F9" s="25">
        <f t="shared" si="1"/>
        <v>0.88888888888888884</v>
      </c>
    </row>
    <row r="10" spans="1:6" x14ac:dyDescent="0.55000000000000004">
      <c r="A10" s="23" t="s">
        <v>338</v>
      </c>
      <c r="B10" s="24">
        <f t="shared" si="0"/>
        <v>32</v>
      </c>
      <c r="C10" s="24">
        <f>COUNTIFS('Delivery Board'!$R$5:$R$500,$A10,'Delivery Board'!$C$5:$C$500,"Done")</f>
        <v>28</v>
      </c>
      <c r="D10" s="24">
        <f>COUNTIFS('Delivery Board'!$R$5:$R$500,$A10,'Delivery Board'!$C$5:$C$500,"Planned")+COUNTIFS('Delivery Board'!$R$5:$R$500,$A10,'Delivery Board'!$C$5:$C$500,"In progress")+COUNTIFS('Delivery Board'!$R$5:$R$500,$A10,'Delivery Board'!$C$5:$C$500,"Milestone")</f>
        <v>4</v>
      </c>
      <c r="E10" s="24">
        <f>COUNTIFS('Delivery Board'!$R$5:$R$500,$A10,'Delivery Board'!$C$5:$C$500,"Blocked")</f>
        <v>0</v>
      </c>
      <c r="F10" s="25">
        <f t="shared" si="1"/>
        <v>0.875</v>
      </c>
    </row>
    <row r="11" spans="1:6" x14ac:dyDescent="0.55000000000000004">
      <c r="A11" s="23" t="s">
        <v>354</v>
      </c>
      <c r="B11" s="24">
        <f t="shared" si="0"/>
        <v>65</v>
      </c>
      <c r="C11" s="24">
        <f>COUNTIFS('Delivery Board'!$R$5:$R$500,$A11,'Delivery Board'!$C$5:$C$500,"Done")</f>
        <v>61</v>
      </c>
      <c r="D11" s="24">
        <f>COUNTIFS('Delivery Board'!$R$5:$R$500,$A11,'Delivery Board'!$C$5:$C$500,"Planned")+COUNTIFS('Delivery Board'!$R$5:$R$500,$A11,'Delivery Board'!$C$5:$C$500,"In progress")+COUNTIFS('Delivery Board'!$R$5:$R$500,$A11,'Delivery Board'!$C$5:$C$500,"Milestone")</f>
        <v>4</v>
      </c>
      <c r="E11" s="24">
        <f>COUNTIFS('Delivery Board'!$R$5:$R$500,$A11,'Delivery Board'!$C$5:$C$500,"Blocked")</f>
        <v>0</v>
      </c>
      <c r="F11" s="25">
        <f t="shared" si="1"/>
        <v>0.93846153846153846</v>
      </c>
    </row>
    <row r="12" spans="1:6" x14ac:dyDescent="0.55000000000000004">
      <c r="A12" s="23" t="s">
        <v>384</v>
      </c>
      <c r="B12" s="24">
        <f t="shared" si="0"/>
        <v>47</v>
      </c>
      <c r="C12" s="24">
        <f>COUNTIFS('Delivery Board'!$R$5:$R$500,$A12,'Delivery Board'!$C$5:$C$500,"Done")</f>
        <v>37</v>
      </c>
      <c r="D12" s="24">
        <f>COUNTIFS('Delivery Board'!$R$5:$R$500,$A12,'Delivery Board'!$C$5:$C$500,"Planned")+COUNTIFS('Delivery Board'!$R$5:$R$500,$A12,'Delivery Board'!$C$5:$C$500,"In progress")+COUNTIFS('Delivery Board'!$R$5:$R$500,$A12,'Delivery Board'!$C$5:$C$500,"Milestone")</f>
        <v>9</v>
      </c>
      <c r="E12" s="24">
        <f>COUNTIFS('Delivery Board'!$R$5:$R$500,$A12,'Delivery Board'!$C$5:$C$500,"Blocked")</f>
        <v>1</v>
      </c>
      <c r="F12" s="25">
        <f t="shared" si="1"/>
        <v>0.78723404255319152</v>
      </c>
    </row>
    <row r="13" spans="1:6" x14ac:dyDescent="0.55000000000000004">
      <c r="A13" s="23" t="s">
        <v>415</v>
      </c>
      <c r="B13" s="24">
        <f t="shared" si="0"/>
        <v>36</v>
      </c>
      <c r="C13" s="24">
        <f>COUNTIFS('Delivery Board'!$R$5:$R$500,$A13,'Delivery Board'!$C$5:$C$500,"Done")</f>
        <v>33</v>
      </c>
      <c r="D13" s="24">
        <f>COUNTIFS('Delivery Board'!$R$5:$R$500,$A13,'Delivery Board'!$C$5:$C$500,"Planned")+COUNTIFS('Delivery Board'!$R$5:$R$500,$A13,'Delivery Board'!$C$5:$C$500,"In progress")+COUNTIFS('Delivery Board'!$R$5:$R$500,$A13,'Delivery Board'!$C$5:$C$500,"Milestone")</f>
        <v>3</v>
      </c>
      <c r="E13" s="24">
        <f>COUNTIFS('Delivery Board'!$R$5:$R$500,$A13,'Delivery Board'!$C$5:$C$500,"Blocked")</f>
        <v>0</v>
      </c>
      <c r="F13" s="25">
        <f t="shared" si="1"/>
        <v>0.91666666666666663</v>
      </c>
    </row>
    <row r="14" spans="1:6" x14ac:dyDescent="0.55000000000000004">
      <c r="A14" s="23" t="s">
        <v>444</v>
      </c>
      <c r="B14" s="24">
        <f t="shared" si="0"/>
        <v>32</v>
      </c>
      <c r="C14" s="24">
        <f>COUNTIFS('Delivery Board'!$R$5:$R$500,$A14,'Delivery Board'!$C$5:$C$500,"Done")</f>
        <v>28</v>
      </c>
      <c r="D14" s="24">
        <f>COUNTIFS('Delivery Board'!$R$5:$R$500,$A14,'Delivery Board'!$C$5:$C$500,"Planned")+COUNTIFS('Delivery Board'!$R$5:$R$500,$A14,'Delivery Board'!$C$5:$C$500,"In progress")+COUNTIFS('Delivery Board'!$R$5:$R$500,$A14,'Delivery Board'!$C$5:$C$500,"Milestone")</f>
        <v>4</v>
      </c>
      <c r="E14" s="24">
        <f>COUNTIFS('Delivery Board'!$R$5:$R$500,$A14,'Delivery Board'!$C$5:$C$500,"Blocked")</f>
        <v>0</v>
      </c>
      <c r="F14" s="25">
        <f t="shared" si="1"/>
        <v>0.875</v>
      </c>
    </row>
    <row r="16" spans="1:6" x14ac:dyDescent="0.55000000000000004">
      <c r="A16" s="26" t="s">
        <v>952</v>
      </c>
      <c r="B16" s="27">
        <f>SUM(B4:B14)</f>
        <v>287</v>
      </c>
      <c r="C16" s="27">
        <f>SUM(C4:C14)</f>
        <v>258</v>
      </c>
      <c r="D16">
        <f>SUM(D4:D14)</f>
        <v>28</v>
      </c>
      <c r="E16">
        <f>SUM(E4:E14)</f>
        <v>1</v>
      </c>
      <c r="F16" s="28">
        <f>IF(B16=0,0,C16/B16)</f>
        <v>0.89895470383275267</v>
      </c>
    </row>
    <row r="18" spans="1:2" x14ac:dyDescent="0.55000000000000004">
      <c r="A18" s="41" t="s">
        <v>953</v>
      </c>
      <c r="B18" s="42">
        <f>COUNTIFS('Delivery Board'!$R$5:$R$500,"&lt;&gt;",'Delivery Board'!$C$5:$C$500,"Done")+COUNTIFS('Delivery Board'!$R$5:$R$500,"&lt;&gt;",'Delivery Board'!$C$5:$C$500,"Planned")+COUNTIFS('Delivery Board'!$R$5:$R$500,"&lt;&gt;",'Delivery Board'!$C$5:$C$500,"In progress")+COUNTIFS('Delivery Board'!$R$5:$R$500,"&lt;&gt;",'Delivery Board'!$C$5:$C$500,"Milestone")+COUNTIFS('Delivery Board'!$R$5:$R$500,"&lt;&gt;",'Delivery Board'!$C$5:$C$500,"Blocked")-B16</f>
        <v>0</v>
      </c>
    </row>
    <row r="19" spans="1:2" x14ac:dyDescent="0.55000000000000004">
      <c r="A19" s="43" t="s">
        <v>954</v>
      </c>
    </row>
  </sheetData>
  <mergeCells count="1">
    <mergeCell ref="A1:F1"/>
  </mergeCells>
  <conditionalFormatting sqref="F4:F14">
    <cfRule type="cellIs" dxfId="1" priority="1" operator="greaterThanOrEqual">
      <formula>0.99</formula>
    </cfRule>
    <cfRule type="cellIs" dxfId="0" priority="2" operator="lessThan">
      <formula>0.5</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9"/>
  <sheetViews>
    <sheetView tabSelected="1" workbookViewId="0">
      <pane ySplit="3" topLeftCell="A55" activePane="bottomLeft" state="frozen"/>
      <selection pane="bottomLeft" activeCell="E54" sqref="E54"/>
    </sheetView>
  </sheetViews>
  <sheetFormatPr defaultRowHeight="14.4" x14ac:dyDescent="0.55000000000000004"/>
  <cols>
    <col min="1" max="1" width="34" customWidth="1"/>
    <col min="2" max="2" width="13" customWidth="1"/>
    <col min="3" max="3" width="11" customWidth="1"/>
    <col min="4" max="4" width="12" customWidth="1"/>
    <col min="5" max="5" width="95.578125" style="277" customWidth="1"/>
  </cols>
  <sheetData>
    <row r="1" spans="1:5" ht="26.05" customHeight="1" x14ac:dyDescent="0.55000000000000004">
      <c r="A1" s="286" t="s">
        <v>0</v>
      </c>
      <c r="B1" s="287"/>
      <c r="C1" s="287"/>
      <c r="D1" s="287"/>
      <c r="E1" s="288"/>
    </row>
    <row r="3" spans="1:5" x14ac:dyDescent="0.55000000000000004">
      <c r="A3" s="29" t="s">
        <v>1</v>
      </c>
      <c r="B3" s="29" t="s">
        <v>2</v>
      </c>
      <c r="C3" s="29" t="s">
        <v>3</v>
      </c>
      <c r="D3" s="29" t="s">
        <v>4</v>
      </c>
      <c r="E3" s="1" t="s">
        <v>5</v>
      </c>
    </row>
    <row r="4" spans="1:5" ht="28" customHeight="1" x14ac:dyDescent="0.55000000000000004">
      <c r="A4" s="30" t="s">
        <v>6</v>
      </c>
      <c r="B4" s="11" t="s">
        <v>7</v>
      </c>
      <c r="C4" s="21" t="s">
        <v>8</v>
      </c>
      <c r="D4" s="11" t="s">
        <v>9</v>
      </c>
      <c r="E4" s="31" t="s">
        <v>10</v>
      </c>
    </row>
    <row r="5" spans="1:5" ht="28" customHeight="1" x14ac:dyDescent="0.55000000000000004">
      <c r="A5" s="32" t="s">
        <v>11</v>
      </c>
      <c r="B5" s="6" t="s">
        <v>7</v>
      </c>
      <c r="C5" s="19" t="s">
        <v>12</v>
      </c>
      <c r="D5" s="6" t="s">
        <v>9</v>
      </c>
      <c r="E5" s="33" t="s">
        <v>13</v>
      </c>
    </row>
    <row r="6" spans="1:5" ht="28" customHeight="1" x14ac:dyDescent="0.55000000000000004">
      <c r="A6" s="30" t="s">
        <v>14</v>
      </c>
      <c r="B6" s="11" t="s">
        <v>15</v>
      </c>
      <c r="C6" s="21" t="s">
        <v>8</v>
      </c>
      <c r="D6" s="11" t="s">
        <v>16</v>
      </c>
      <c r="E6" s="31" t="s">
        <v>17</v>
      </c>
    </row>
    <row r="7" spans="1:5" ht="28" customHeight="1" x14ac:dyDescent="0.55000000000000004">
      <c r="A7" s="32" t="s">
        <v>18</v>
      </c>
      <c r="B7" s="6" t="s">
        <v>7</v>
      </c>
      <c r="C7" s="19" t="s">
        <v>12</v>
      </c>
      <c r="D7" s="6" t="s">
        <v>16</v>
      </c>
      <c r="E7" s="33" t="s">
        <v>19</v>
      </c>
    </row>
    <row r="8" spans="1:5" ht="28" customHeight="1" x14ac:dyDescent="0.55000000000000004">
      <c r="A8" s="30" t="s">
        <v>20</v>
      </c>
      <c r="B8" s="11" t="s">
        <v>15</v>
      </c>
      <c r="C8" s="17" t="s">
        <v>21</v>
      </c>
      <c r="D8" s="11" t="s">
        <v>22</v>
      </c>
      <c r="E8" s="31" t="s">
        <v>23</v>
      </c>
    </row>
    <row r="9" spans="1:5" ht="28" customHeight="1" x14ac:dyDescent="0.55000000000000004">
      <c r="A9" s="32" t="s">
        <v>24</v>
      </c>
      <c r="B9" s="6" t="s">
        <v>7</v>
      </c>
      <c r="C9" s="19" t="s">
        <v>12</v>
      </c>
      <c r="D9" s="6" t="s">
        <v>25</v>
      </c>
      <c r="E9" s="33" t="s">
        <v>26</v>
      </c>
    </row>
    <row r="10" spans="1:5" ht="28" customHeight="1" x14ac:dyDescent="0.55000000000000004">
      <c r="A10" s="30" t="s">
        <v>27</v>
      </c>
      <c r="B10" s="11" t="s">
        <v>28</v>
      </c>
      <c r="C10" s="17" t="s">
        <v>21</v>
      </c>
      <c r="D10" s="11" t="s">
        <v>9</v>
      </c>
      <c r="E10" s="31" t="s">
        <v>29</v>
      </c>
    </row>
    <row r="11" spans="1:5" ht="28" customHeight="1" x14ac:dyDescent="0.55000000000000004">
      <c r="A11" s="32" t="s">
        <v>30</v>
      </c>
      <c r="B11" s="6" t="s">
        <v>15</v>
      </c>
      <c r="C11" s="19" t="s">
        <v>12</v>
      </c>
      <c r="D11" s="6" t="s">
        <v>16</v>
      </c>
      <c r="E11" s="33" t="s">
        <v>31</v>
      </c>
    </row>
    <row r="12" spans="1:5" ht="28" customHeight="1" x14ac:dyDescent="0.55000000000000004">
      <c r="A12" s="30" t="s">
        <v>32</v>
      </c>
      <c r="B12" s="11" t="s">
        <v>15</v>
      </c>
      <c r="C12" s="34" t="s">
        <v>33</v>
      </c>
      <c r="D12" s="11" t="s">
        <v>34</v>
      </c>
      <c r="E12" s="31" t="s">
        <v>35</v>
      </c>
    </row>
    <row r="13" spans="1:5" ht="28" customHeight="1" x14ac:dyDescent="0.55000000000000004">
      <c r="A13" s="32" t="s">
        <v>36</v>
      </c>
      <c r="B13" s="6" t="s">
        <v>15</v>
      </c>
      <c r="C13" s="17" t="s">
        <v>21</v>
      </c>
      <c r="D13" s="6" t="s">
        <v>34</v>
      </c>
      <c r="E13" s="33" t="s">
        <v>37</v>
      </c>
    </row>
    <row r="14" spans="1:5" ht="28" customHeight="1" x14ac:dyDescent="0.55000000000000004">
      <c r="A14" s="30" t="s">
        <v>38</v>
      </c>
      <c r="B14" s="11" t="s">
        <v>7</v>
      </c>
      <c r="C14" s="17" t="s">
        <v>21</v>
      </c>
      <c r="D14" s="11" t="s">
        <v>16</v>
      </c>
      <c r="E14" s="31" t="s">
        <v>39</v>
      </c>
    </row>
    <row r="15" spans="1:5" ht="28" customHeight="1" x14ac:dyDescent="0.55000000000000004">
      <c r="A15" s="32" t="s">
        <v>40</v>
      </c>
      <c r="B15" s="6" t="s">
        <v>7</v>
      </c>
      <c r="C15" s="17" t="s">
        <v>21</v>
      </c>
      <c r="D15" s="6" t="s">
        <v>9</v>
      </c>
      <c r="E15" s="33" t="s">
        <v>41</v>
      </c>
    </row>
    <row r="16" spans="1:5" ht="30" customHeight="1" x14ac:dyDescent="0.55000000000000004">
      <c r="A16" s="30" t="s">
        <v>42</v>
      </c>
      <c r="B16" s="11" t="s">
        <v>7</v>
      </c>
      <c r="C16" s="19" t="s">
        <v>12</v>
      </c>
      <c r="D16" s="11" t="s">
        <v>43</v>
      </c>
      <c r="E16" s="31" t="s">
        <v>44</v>
      </c>
    </row>
    <row r="17" spans="1:5" ht="30" customHeight="1" x14ac:dyDescent="0.55000000000000004">
      <c r="A17" s="32" t="s">
        <v>45</v>
      </c>
      <c r="B17" s="6" t="s">
        <v>7</v>
      </c>
      <c r="C17" s="21" t="s">
        <v>8</v>
      </c>
      <c r="D17" s="6" t="s">
        <v>9</v>
      </c>
      <c r="E17" s="33" t="s">
        <v>46</v>
      </c>
    </row>
    <row r="18" spans="1:5" ht="30" customHeight="1" x14ac:dyDescent="0.55000000000000004">
      <c r="A18" s="30" t="s">
        <v>47</v>
      </c>
      <c r="B18" s="11" t="s">
        <v>15</v>
      </c>
      <c r="C18" s="17" t="s">
        <v>21</v>
      </c>
      <c r="D18" s="11" t="s">
        <v>22</v>
      </c>
      <c r="E18" s="31" t="s">
        <v>48</v>
      </c>
    </row>
    <row r="19" spans="1:5" ht="30" customHeight="1" x14ac:dyDescent="0.55000000000000004">
      <c r="A19" s="32" t="s">
        <v>49</v>
      </c>
      <c r="B19" s="6" t="s">
        <v>7</v>
      </c>
      <c r="C19" s="17" t="s">
        <v>21</v>
      </c>
      <c r="D19" s="6" t="s">
        <v>9</v>
      </c>
      <c r="E19" s="33" t="s">
        <v>50</v>
      </c>
    </row>
    <row r="20" spans="1:5" ht="32.049999999999997" customHeight="1" x14ac:dyDescent="0.55000000000000004">
      <c r="A20" s="30" t="s">
        <v>51</v>
      </c>
      <c r="B20" s="11" t="s">
        <v>52</v>
      </c>
      <c r="C20" s="21" t="s">
        <v>8</v>
      </c>
      <c r="D20" s="11" t="s">
        <v>53</v>
      </c>
      <c r="E20" s="31" t="s">
        <v>54</v>
      </c>
    </row>
    <row r="21" spans="1:5" ht="32.049999999999997" customHeight="1" x14ac:dyDescent="0.55000000000000004">
      <c r="A21" s="32" t="s">
        <v>55</v>
      </c>
      <c r="B21" s="6" t="s">
        <v>7</v>
      </c>
      <c r="C21" s="19" t="s">
        <v>12</v>
      </c>
      <c r="D21" s="6" t="s">
        <v>43</v>
      </c>
      <c r="E21" s="33" t="s">
        <v>56</v>
      </c>
    </row>
    <row r="22" spans="1:5" ht="32.049999999999997" customHeight="1" x14ac:dyDescent="0.55000000000000004">
      <c r="A22" s="30" t="s">
        <v>57</v>
      </c>
      <c r="B22" s="11" t="s">
        <v>58</v>
      </c>
      <c r="C22" s="17" t="s">
        <v>21</v>
      </c>
      <c r="D22" s="11" t="s">
        <v>9</v>
      </c>
      <c r="E22" s="31" t="s">
        <v>59</v>
      </c>
    </row>
    <row r="23" spans="1:5" ht="32.049999999999997" customHeight="1" x14ac:dyDescent="0.55000000000000004">
      <c r="A23" s="32" t="s">
        <v>60</v>
      </c>
      <c r="B23" s="6" t="s">
        <v>58</v>
      </c>
      <c r="C23" s="17" t="s">
        <v>21</v>
      </c>
      <c r="D23" s="6" t="s">
        <v>9</v>
      </c>
      <c r="E23" s="33" t="s">
        <v>61</v>
      </c>
    </row>
    <row r="24" spans="1:5" ht="32.049999999999997" customHeight="1" x14ac:dyDescent="0.55000000000000004">
      <c r="A24" s="30" t="s">
        <v>62</v>
      </c>
      <c r="B24" s="11" t="s">
        <v>58</v>
      </c>
      <c r="C24" s="17" t="s">
        <v>21</v>
      </c>
      <c r="D24" s="11" t="s">
        <v>9</v>
      </c>
      <c r="E24" s="31" t="s">
        <v>63</v>
      </c>
    </row>
    <row r="25" spans="1:5" ht="32.049999999999997" customHeight="1" x14ac:dyDescent="0.55000000000000004">
      <c r="A25" s="53" t="s">
        <v>64</v>
      </c>
      <c r="B25" s="51" t="s">
        <v>22</v>
      </c>
      <c r="C25" s="54" t="s">
        <v>21</v>
      </c>
      <c r="D25" s="51" t="s">
        <v>9</v>
      </c>
      <c r="E25" s="55" t="s">
        <v>65</v>
      </c>
    </row>
    <row r="26" spans="1:5" ht="32.049999999999997" customHeight="1" x14ac:dyDescent="0.55000000000000004">
      <c r="A26" s="56" t="s">
        <v>66</v>
      </c>
      <c r="B26" s="46" t="s">
        <v>58</v>
      </c>
      <c r="C26" s="54" t="s">
        <v>33</v>
      </c>
      <c r="D26" s="46" t="s">
        <v>53</v>
      </c>
      <c r="E26" s="57" t="s">
        <v>67</v>
      </c>
    </row>
    <row r="27" spans="1:5" ht="32.049999999999997" customHeight="1" x14ac:dyDescent="0.55000000000000004">
      <c r="A27" s="53" t="s">
        <v>68</v>
      </c>
      <c r="B27" s="51" t="s">
        <v>22</v>
      </c>
      <c r="C27" s="54" t="s">
        <v>33</v>
      </c>
      <c r="D27" s="51" t="s">
        <v>9</v>
      </c>
      <c r="E27" s="55" t="s">
        <v>69</v>
      </c>
    </row>
    <row r="28" spans="1:5" ht="46" customHeight="1" x14ac:dyDescent="0.55000000000000004">
      <c r="A28" s="71" t="s">
        <v>70</v>
      </c>
      <c r="B28" s="60" t="s">
        <v>22</v>
      </c>
      <c r="C28" s="67" t="s">
        <v>12</v>
      </c>
      <c r="D28" s="94" t="s">
        <v>53</v>
      </c>
      <c r="E28" s="94" t="s">
        <v>71</v>
      </c>
    </row>
    <row r="29" spans="1:5" ht="46" customHeight="1" x14ac:dyDescent="0.55000000000000004">
      <c r="A29" s="72" t="s">
        <v>72</v>
      </c>
      <c r="B29" s="65" t="s">
        <v>7</v>
      </c>
      <c r="C29" s="69" t="s">
        <v>21</v>
      </c>
      <c r="D29" s="93" t="s">
        <v>53</v>
      </c>
      <c r="E29" s="93" t="s">
        <v>73</v>
      </c>
    </row>
    <row r="30" spans="1:5" ht="32.049999999999997" customHeight="1" x14ac:dyDescent="0.55000000000000004">
      <c r="A30" s="78" t="s">
        <v>74</v>
      </c>
      <c r="B30" s="75" t="s">
        <v>7</v>
      </c>
      <c r="C30" s="79" t="s">
        <v>21</v>
      </c>
      <c r="D30" s="75" t="s">
        <v>9</v>
      </c>
      <c r="E30" s="80" t="s">
        <v>75</v>
      </c>
    </row>
    <row r="31" spans="1:5" ht="32.049999999999997" customHeight="1" x14ac:dyDescent="0.55000000000000004">
      <c r="A31" s="92" t="s">
        <v>76</v>
      </c>
      <c r="B31" s="83" t="s">
        <v>58</v>
      </c>
      <c r="C31" s="90" t="s">
        <v>21</v>
      </c>
      <c r="D31" s="83" t="s">
        <v>77</v>
      </c>
      <c r="E31" s="93" t="s">
        <v>78</v>
      </c>
    </row>
    <row r="32" spans="1:5" ht="32.049999999999997" customHeight="1" x14ac:dyDescent="0.55000000000000004">
      <c r="A32" s="106" t="s">
        <v>79</v>
      </c>
      <c r="B32" s="102" t="s">
        <v>22</v>
      </c>
      <c r="C32" s="104" t="s">
        <v>21</v>
      </c>
      <c r="D32" s="102" t="s">
        <v>53</v>
      </c>
      <c r="E32" s="107" t="s">
        <v>80</v>
      </c>
    </row>
    <row r="33" spans="1:5" ht="32.049999999999997" customHeight="1" x14ac:dyDescent="0.55000000000000004">
      <c r="A33" s="108" t="s">
        <v>81</v>
      </c>
      <c r="B33" s="97" t="s">
        <v>7</v>
      </c>
      <c r="C33" s="104" t="s">
        <v>21</v>
      </c>
      <c r="D33" s="97" t="s">
        <v>43</v>
      </c>
      <c r="E33" s="109" t="s">
        <v>82</v>
      </c>
    </row>
    <row r="34" spans="1:5" ht="32.049999999999997" customHeight="1" x14ac:dyDescent="0.55000000000000004">
      <c r="A34" s="133" t="s">
        <v>83</v>
      </c>
      <c r="B34" s="128" t="s">
        <v>58</v>
      </c>
      <c r="C34" s="122" t="s">
        <v>12</v>
      </c>
      <c r="D34" s="128" t="s">
        <v>9</v>
      </c>
      <c r="E34" s="134" t="s">
        <v>84</v>
      </c>
    </row>
    <row r="35" spans="1:5" ht="32.049999999999997" customHeight="1" x14ac:dyDescent="0.55000000000000004">
      <c r="A35" s="135" t="s">
        <v>85</v>
      </c>
      <c r="B35" s="123" t="s">
        <v>7</v>
      </c>
      <c r="C35" s="131" t="s">
        <v>21</v>
      </c>
      <c r="D35" s="123" t="s">
        <v>9</v>
      </c>
      <c r="E35" s="136" t="s">
        <v>86</v>
      </c>
    </row>
    <row r="36" spans="1:5" ht="74.05" customHeight="1" x14ac:dyDescent="0.55000000000000004">
      <c r="A36" s="146" t="s">
        <v>20</v>
      </c>
      <c r="B36" s="144" t="s">
        <v>7</v>
      </c>
      <c r="C36" s="147" t="s">
        <v>8</v>
      </c>
      <c r="D36" s="152" t="s">
        <v>87</v>
      </c>
      <c r="E36" s="152" t="s">
        <v>88</v>
      </c>
    </row>
    <row r="37" spans="1:5" ht="32.049999999999997" customHeight="1" x14ac:dyDescent="0.55000000000000004">
      <c r="A37" s="149" t="s">
        <v>89</v>
      </c>
      <c r="B37" s="139" t="s">
        <v>58</v>
      </c>
      <c r="C37" s="150" t="s">
        <v>21</v>
      </c>
      <c r="D37" s="139" t="s">
        <v>9</v>
      </c>
      <c r="E37" s="151" t="s">
        <v>90</v>
      </c>
    </row>
    <row r="38" spans="1:5" ht="32.049999999999997" customHeight="1" x14ac:dyDescent="0.55000000000000004">
      <c r="A38" s="146" t="s">
        <v>91</v>
      </c>
      <c r="B38" s="144" t="s">
        <v>58</v>
      </c>
      <c r="C38" s="150" t="s">
        <v>33</v>
      </c>
      <c r="D38" s="144" t="s">
        <v>9</v>
      </c>
      <c r="E38" s="148" t="s">
        <v>92</v>
      </c>
    </row>
    <row r="39" spans="1:5" ht="32.049999999999997" customHeight="1" x14ac:dyDescent="0.55000000000000004">
      <c r="A39" s="159" t="s">
        <v>93</v>
      </c>
      <c r="B39" s="156" t="s">
        <v>7</v>
      </c>
      <c r="C39" s="160" t="s">
        <v>12</v>
      </c>
      <c r="D39" s="156" t="s">
        <v>9</v>
      </c>
      <c r="E39" s="161" t="s">
        <v>94</v>
      </c>
    </row>
    <row r="40" spans="1:5" ht="32.049999999999997" customHeight="1" x14ac:dyDescent="0.55000000000000004">
      <c r="A40" s="167" t="s">
        <v>95</v>
      </c>
      <c r="B40" s="164" t="s">
        <v>58</v>
      </c>
      <c r="C40" s="168" t="s">
        <v>12</v>
      </c>
      <c r="D40" s="164" t="s">
        <v>9</v>
      </c>
      <c r="E40" s="169" t="s">
        <v>96</v>
      </c>
    </row>
    <row r="41" spans="1:5" ht="32.049999999999997" customHeight="1" x14ac:dyDescent="0.55000000000000004">
      <c r="A41" s="170" t="s">
        <v>97</v>
      </c>
      <c r="B41" s="171" t="s">
        <v>22</v>
      </c>
      <c r="C41" s="172" t="s">
        <v>21</v>
      </c>
      <c r="D41" s="171" t="s">
        <v>53</v>
      </c>
      <c r="E41" s="173" t="s">
        <v>98</v>
      </c>
    </row>
    <row r="42" spans="1:5" ht="32.049999999999997" customHeight="1" x14ac:dyDescent="0.55000000000000004">
      <c r="A42" s="187" t="s">
        <v>99</v>
      </c>
      <c r="B42" s="182" t="s">
        <v>58</v>
      </c>
      <c r="C42" s="176" t="s">
        <v>12</v>
      </c>
      <c r="D42" s="182" t="s">
        <v>9</v>
      </c>
      <c r="E42" s="188" t="s">
        <v>100</v>
      </c>
    </row>
    <row r="43" spans="1:5" ht="32.049999999999997" customHeight="1" x14ac:dyDescent="0.55000000000000004">
      <c r="A43" s="189" t="s">
        <v>101</v>
      </c>
      <c r="B43" s="177" t="s">
        <v>7</v>
      </c>
      <c r="C43" s="185" t="s">
        <v>21</v>
      </c>
      <c r="D43" s="177" t="s">
        <v>43</v>
      </c>
      <c r="E43" s="190" t="s">
        <v>102</v>
      </c>
    </row>
    <row r="44" spans="1:5" ht="32.049999999999997" customHeight="1" x14ac:dyDescent="0.55000000000000004">
      <c r="A44" s="187" t="s">
        <v>103</v>
      </c>
      <c r="B44" s="182" t="s">
        <v>58</v>
      </c>
      <c r="C44" s="185" t="s">
        <v>21</v>
      </c>
      <c r="D44" s="182" t="s">
        <v>53</v>
      </c>
      <c r="E44" s="188" t="s">
        <v>104</v>
      </c>
    </row>
    <row r="45" spans="1:5" ht="32.049999999999997" customHeight="1" x14ac:dyDescent="0.55000000000000004">
      <c r="A45" s="189" t="s">
        <v>105</v>
      </c>
      <c r="B45" s="177" t="s">
        <v>22</v>
      </c>
      <c r="C45" s="185" t="s">
        <v>33</v>
      </c>
      <c r="D45" s="177" t="s">
        <v>9</v>
      </c>
      <c r="E45" s="190" t="s">
        <v>106</v>
      </c>
    </row>
    <row r="46" spans="1:5" ht="32.049999999999997" customHeight="1" x14ac:dyDescent="0.55000000000000004">
      <c r="A46" s="205" t="s">
        <v>107</v>
      </c>
      <c r="B46" s="193" t="s">
        <v>22</v>
      </c>
      <c r="C46" s="198" t="s">
        <v>12</v>
      </c>
      <c r="D46" s="193" t="s">
        <v>9</v>
      </c>
      <c r="E46" s="206" t="s">
        <v>108</v>
      </c>
    </row>
    <row r="47" spans="1:5" ht="56.7" customHeight="1" x14ac:dyDescent="0.55000000000000004">
      <c r="A47" s="207" t="s">
        <v>109</v>
      </c>
      <c r="B47" s="199" t="s">
        <v>7</v>
      </c>
      <c r="C47" s="202" t="s">
        <v>21</v>
      </c>
      <c r="D47" s="199" t="s">
        <v>9</v>
      </c>
      <c r="E47" s="208" t="s">
        <v>110</v>
      </c>
    </row>
    <row r="48" spans="1:5" ht="39.299999999999997" customHeight="1" x14ac:dyDescent="0.55000000000000004">
      <c r="A48" s="205" t="s">
        <v>111</v>
      </c>
      <c r="B48" s="193" t="s">
        <v>22</v>
      </c>
      <c r="C48" s="202" t="s">
        <v>21</v>
      </c>
      <c r="D48" s="193" t="s">
        <v>9</v>
      </c>
      <c r="E48" s="206" t="s">
        <v>112</v>
      </c>
    </row>
    <row r="49" spans="1:5" ht="28.8" customHeight="1" x14ac:dyDescent="0.55000000000000004">
      <c r="A49" t="s">
        <v>113</v>
      </c>
      <c r="B49" t="s">
        <v>7</v>
      </c>
      <c r="C49" t="s">
        <v>21</v>
      </c>
      <c r="D49" t="s">
        <v>9</v>
      </c>
      <c r="E49" s="277" t="s">
        <v>114</v>
      </c>
    </row>
    <row r="50" spans="1:5" ht="28.8" customHeight="1" x14ac:dyDescent="0.55000000000000004">
      <c r="A50" t="s">
        <v>115</v>
      </c>
      <c r="B50" t="s">
        <v>7</v>
      </c>
      <c r="C50" t="s">
        <v>21</v>
      </c>
      <c r="D50" t="s">
        <v>9</v>
      </c>
      <c r="E50" s="277" t="s">
        <v>116</v>
      </c>
    </row>
    <row r="51" spans="1:5" ht="28.8" customHeight="1" x14ac:dyDescent="0.55000000000000004">
      <c r="A51" t="s">
        <v>117</v>
      </c>
      <c r="B51" t="s">
        <v>7</v>
      </c>
      <c r="C51" t="s">
        <v>21</v>
      </c>
      <c r="D51" t="s">
        <v>9</v>
      </c>
      <c r="E51" s="277" t="s">
        <v>118</v>
      </c>
    </row>
    <row r="52" spans="1:5" ht="28.8" customHeight="1" x14ac:dyDescent="0.55000000000000004">
      <c r="A52" t="s">
        <v>119</v>
      </c>
      <c r="B52" t="s">
        <v>22</v>
      </c>
      <c r="C52" t="s">
        <v>120</v>
      </c>
      <c r="D52" t="s">
        <v>53</v>
      </c>
      <c r="E52" s="277" t="s">
        <v>121</v>
      </c>
    </row>
    <row r="53" spans="1:5" ht="28.8" customHeight="1" x14ac:dyDescent="0.55000000000000004">
      <c r="A53" t="s">
        <v>122</v>
      </c>
      <c r="B53" t="s">
        <v>22</v>
      </c>
      <c r="C53" t="s">
        <v>120</v>
      </c>
      <c r="D53" t="s">
        <v>53</v>
      </c>
      <c r="E53" s="277" t="s">
        <v>123</v>
      </c>
    </row>
    <row r="54" spans="1:5" ht="57.6" customHeight="1" x14ac:dyDescent="0.55000000000000004">
      <c r="A54" s="214" t="s">
        <v>124</v>
      </c>
      <c r="B54" s="214" t="s">
        <v>22</v>
      </c>
      <c r="C54" s="214" t="s">
        <v>120</v>
      </c>
      <c r="D54" s="214" t="s">
        <v>53</v>
      </c>
      <c r="E54" s="214" t="s">
        <v>125</v>
      </c>
    </row>
    <row r="55" spans="1:5" ht="72" customHeight="1" x14ac:dyDescent="0.55000000000000004">
      <c r="A55" s="214" t="s">
        <v>126</v>
      </c>
      <c r="B55" s="214" t="s">
        <v>7</v>
      </c>
      <c r="C55" s="214" t="s">
        <v>12</v>
      </c>
      <c r="D55" s="214" t="s">
        <v>53</v>
      </c>
      <c r="E55" s="214" t="s">
        <v>127</v>
      </c>
    </row>
    <row r="56" spans="1:5" ht="43.2" customHeight="1" x14ac:dyDescent="0.55000000000000004">
      <c r="A56" s="214" t="s">
        <v>128</v>
      </c>
      <c r="B56" s="214" t="s">
        <v>7</v>
      </c>
      <c r="C56" s="214" t="s">
        <v>21</v>
      </c>
      <c r="D56" s="214" t="s">
        <v>9</v>
      </c>
      <c r="E56" s="214" t="s">
        <v>129</v>
      </c>
    </row>
    <row r="57" spans="1:5" ht="43.2" customHeight="1" x14ac:dyDescent="0.55000000000000004">
      <c r="A57" s="214" t="s">
        <v>130</v>
      </c>
      <c r="B57" s="214" t="s">
        <v>7</v>
      </c>
      <c r="C57" s="214" t="s">
        <v>21</v>
      </c>
      <c r="D57" s="214" t="s">
        <v>53</v>
      </c>
      <c r="E57" s="214" t="s">
        <v>131</v>
      </c>
    </row>
    <row r="58" spans="1:5" ht="72" customHeight="1" x14ac:dyDescent="0.55000000000000004">
      <c r="A58" s="214" t="s">
        <v>132</v>
      </c>
      <c r="B58" s="214" t="s">
        <v>7</v>
      </c>
      <c r="C58" s="214" t="s">
        <v>21</v>
      </c>
      <c r="D58" s="214" t="s">
        <v>53</v>
      </c>
      <c r="E58" s="214" t="s">
        <v>133</v>
      </c>
    </row>
    <row r="59" spans="1:5" ht="100.8" customHeight="1" x14ac:dyDescent="0.55000000000000004">
      <c r="A59" s="214" t="s">
        <v>134</v>
      </c>
      <c r="B59" s="214" t="s">
        <v>7</v>
      </c>
      <c r="C59" s="214" t="s">
        <v>12</v>
      </c>
      <c r="D59" s="214" t="s">
        <v>9</v>
      </c>
      <c r="E59" s="214" t="s">
        <v>135</v>
      </c>
    </row>
    <row r="60" spans="1:5" ht="72" customHeight="1" x14ac:dyDescent="0.55000000000000004">
      <c r="A60" s="214" t="s">
        <v>136</v>
      </c>
      <c r="B60" s="214" t="s">
        <v>7</v>
      </c>
      <c r="C60" s="214" t="s">
        <v>12</v>
      </c>
      <c r="D60" s="214" t="s">
        <v>53</v>
      </c>
      <c r="E60" s="214" t="s">
        <v>137</v>
      </c>
    </row>
    <row r="61" spans="1:5" ht="72" customHeight="1" x14ac:dyDescent="0.55000000000000004">
      <c r="A61" s="214" t="s">
        <v>138</v>
      </c>
      <c r="B61" s="214" t="s">
        <v>7</v>
      </c>
      <c r="C61" s="214" t="s">
        <v>21</v>
      </c>
      <c r="D61" s="214" t="s">
        <v>9</v>
      </c>
      <c r="E61" s="214" t="s">
        <v>139</v>
      </c>
    </row>
    <row r="62" spans="1:5" ht="72" customHeight="1" x14ac:dyDescent="0.55000000000000004">
      <c r="A62" s="214" t="s">
        <v>140</v>
      </c>
      <c r="B62" s="214" t="s">
        <v>7</v>
      </c>
      <c r="C62" s="214" t="s">
        <v>21</v>
      </c>
      <c r="D62" s="214" t="s">
        <v>9</v>
      </c>
      <c r="E62" s="214" t="s">
        <v>141</v>
      </c>
    </row>
    <row r="63" spans="1:5" ht="57.6" customHeight="1" x14ac:dyDescent="0.55000000000000004">
      <c r="A63" s="214" t="s">
        <v>142</v>
      </c>
      <c r="B63" s="214" t="s">
        <v>7</v>
      </c>
      <c r="C63" s="214" t="s">
        <v>33</v>
      </c>
      <c r="D63" s="214" t="s">
        <v>9</v>
      </c>
      <c r="E63" s="214" t="s">
        <v>143</v>
      </c>
    </row>
    <row r="64" spans="1:5" ht="28.8" customHeight="1" x14ac:dyDescent="0.55000000000000004">
      <c r="A64" s="214" t="s">
        <v>144</v>
      </c>
      <c r="B64" s="214" t="s">
        <v>7</v>
      </c>
      <c r="C64" s="214" t="s">
        <v>33</v>
      </c>
      <c r="D64" s="214" t="s">
        <v>9</v>
      </c>
      <c r="E64" s="214" t="s">
        <v>145</v>
      </c>
    </row>
    <row r="65" spans="1:5" ht="129.6" customHeight="1" x14ac:dyDescent="0.55000000000000004">
      <c r="A65" s="214" t="s">
        <v>146</v>
      </c>
      <c r="B65" s="214" t="s">
        <v>7</v>
      </c>
      <c r="C65" s="214" t="s">
        <v>21</v>
      </c>
      <c r="D65" s="214" t="s">
        <v>9</v>
      </c>
      <c r="E65" s="214" t="s">
        <v>147</v>
      </c>
    </row>
    <row r="66" spans="1:5" ht="28.8" customHeight="1" x14ac:dyDescent="0.55000000000000004">
      <c r="A66" s="214" t="s">
        <v>148</v>
      </c>
      <c r="B66" t="s">
        <v>22</v>
      </c>
      <c r="C66" t="s">
        <v>21</v>
      </c>
      <c r="D66" t="s">
        <v>53</v>
      </c>
      <c r="E66" s="277" t="s">
        <v>149</v>
      </c>
    </row>
    <row r="67" spans="1:5" ht="28.8" customHeight="1" x14ac:dyDescent="0.55000000000000004">
      <c r="A67" s="214" t="s">
        <v>150</v>
      </c>
      <c r="B67" t="s">
        <v>7</v>
      </c>
      <c r="C67" t="s">
        <v>33</v>
      </c>
      <c r="D67" t="s">
        <v>9</v>
      </c>
      <c r="E67" s="277" t="s">
        <v>151</v>
      </c>
    </row>
    <row r="68" spans="1:5" ht="57.6" customHeight="1" x14ac:dyDescent="0.55000000000000004">
      <c r="A68" s="214" t="s">
        <v>152</v>
      </c>
      <c r="B68" t="s">
        <v>22</v>
      </c>
      <c r="C68" t="s">
        <v>33</v>
      </c>
      <c r="D68" t="s">
        <v>53</v>
      </c>
      <c r="E68" s="277" t="s">
        <v>153</v>
      </c>
    </row>
    <row r="69" spans="1:5" ht="43.2" customHeight="1" x14ac:dyDescent="0.55000000000000004">
      <c r="A69" s="214" t="s">
        <v>154</v>
      </c>
      <c r="B69" t="s">
        <v>7</v>
      </c>
      <c r="C69" t="s">
        <v>21</v>
      </c>
      <c r="D69" t="s">
        <v>9</v>
      </c>
      <c r="E69" s="277" t="s">
        <v>155</v>
      </c>
    </row>
    <row r="70" spans="1:5" ht="57.6" customHeight="1" x14ac:dyDescent="0.55000000000000004">
      <c r="A70" s="214" t="s">
        <v>156</v>
      </c>
      <c r="B70" t="s">
        <v>22</v>
      </c>
      <c r="C70" t="s">
        <v>12</v>
      </c>
      <c r="D70" t="s">
        <v>53</v>
      </c>
      <c r="E70" s="277" t="s">
        <v>157</v>
      </c>
    </row>
    <row r="71" spans="1:5" ht="28.8" customHeight="1" x14ac:dyDescent="0.55000000000000004">
      <c r="A71" s="214" t="s">
        <v>158</v>
      </c>
      <c r="B71" t="s">
        <v>7</v>
      </c>
      <c r="C71" t="s">
        <v>12</v>
      </c>
      <c r="D71" t="s">
        <v>9</v>
      </c>
      <c r="E71" s="277" t="s">
        <v>159</v>
      </c>
    </row>
    <row r="72" spans="1:5" ht="28.8" customHeight="1" x14ac:dyDescent="0.55000000000000004">
      <c r="A72" s="214" t="s">
        <v>160</v>
      </c>
      <c r="B72" t="s">
        <v>22</v>
      </c>
      <c r="C72" t="s">
        <v>21</v>
      </c>
      <c r="D72" t="s">
        <v>53</v>
      </c>
      <c r="E72" s="277" t="s">
        <v>161</v>
      </c>
    </row>
    <row r="73" spans="1:5" ht="28.8" customHeight="1" x14ac:dyDescent="0.55000000000000004">
      <c r="A73" s="214" t="s">
        <v>162</v>
      </c>
      <c r="B73" t="s">
        <v>7</v>
      </c>
      <c r="C73" t="s">
        <v>21</v>
      </c>
      <c r="D73" t="s">
        <v>9</v>
      </c>
      <c r="E73" s="277" t="s">
        <v>163</v>
      </c>
    </row>
    <row r="74" spans="1:5" ht="28.8" customHeight="1" x14ac:dyDescent="0.55000000000000004">
      <c r="A74" s="214" t="s">
        <v>164</v>
      </c>
      <c r="B74" t="s">
        <v>22</v>
      </c>
      <c r="C74" t="s">
        <v>21</v>
      </c>
      <c r="D74" t="s">
        <v>53</v>
      </c>
      <c r="E74" s="277" t="s">
        <v>165</v>
      </c>
    </row>
    <row r="75" spans="1:5" ht="28.8" customHeight="1" x14ac:dyDescent="0.55000000000000004">
      <c r="A75" s="214" t="s">
        <v>166</v>
      </c>
      <c r="B75" t="s">
        <v>22</v>
      </c>
      <c r="C75" t="s">
        <v>33</v>
      </c>
      <c r="D75" t="s">
        <v>53</v>
      </c>
      <c r="E75" s="277" t="s">
        <v>167</v>
      </c>
    </row>
    <row r="76" spans="1:5" ht="28.8" customHeight="1" x14ac:dyDescent="0.55000000000000004">
      <c r="A76" s="214" t="s">
        <v>168</v>
      </c>
      <c r="B76" t="s">
        <v>22</v>
      </c>
      <c r="C76" t="s">
        <v>21</v>
      </c>
      <c r="D76" t="s">
        <v>53</v>
      </c>
      <c r="E76" s="277" t="s">
        <v>169</v>
      </c>
    </row>
    <row r="77" spans="1:5" ht="28.8" customHeight="1" x14ac:dyDescent="0.55000000000000004">
      <c r="A77" s="214" t="s">
        <v>170</v>
      </c>
      <c r="B77" t="s">
        <v>7</v>
      </c>
      <c r="C77" t="s">
        <v>33</v>
      </c>
      <c r="D77" t="s">
        <v>9</v>
      </c>
      <c r="E77" s="277" t="s">
        <v>171</v>
      </c>
    </row>
    <row r="78" spans="1:5" ht="57.6" customHeight="1" x14ac:dyDescent="0.55000000000000004">
      <c r="A78" s="214" t="s">
        <v>172</v>
      </c>
      <c r="B78" t="s">
        <v>7</v>
      </c>
      <c r="C78" t="s">
        <v>21</v>
      </c>
      <c r="D78" t="s">
        <v>9</v>
      </c>
      <c r="E78" s="277" t="s">
        <v>173</v>
      </c>
    </row>
    <row r="79" spans="1:5" ht="28.8" customHeight="1" x14ac:dyDescent="0.55000000000000004">
      <c r="A79" s="214" t="s">
        <v>174</v>
      </c>
      <c r="B79" t="s">
        <v>22</v>
      </c>
      <c r="C79" t="s">
        <v>12</v>
      </c>
      <c r="D79" t="s">
        <v>53</v>
      </c>
      <c r="E79" s="277" t="s">
        <v>175</v>
      </c>
    </row>
    <row r="80" spans="1:5" ht="28.8" customHeight="1" x14ac:dyDescent="0.55000000000000004">
      <c r="A80" s="214" t="s">
        <v>176</v>
      </c>
      <c r="B80" t="s">
        <v>7</v>
      </c>
      <c r="C80" t="s">
        <v>21</v>
      </c>
      <c r="D80" t="s">
        <v>9</v>
      </c>
      <c r="E80" s="277" t="s">
        <v>177</v>
      </c>
    </row>
    <row r="81" spans="1:5" ht="57.6" customHeight="1" x14ac:dyDescent="0.55000000000000004">
      <c r="A81" s="214" t="s">
        <v>178</v>
      </c>
      <c r="B81" t="s">
        <v>7</v>
      </c>
      <c r="C81" t="s">
        <v>21</v>
      </c>
      <c r="D81" t="s">
        <v>9</v>
      </c>
      <c r="E81" s="277" t="s">
        <v>179</v>
      </c>
    </row>
    <row r="82" spans="1:5" ht="28.8" customHeight="1" x14ac:dyDescent="0.55000000000000004">
      <c r="A82" s="214" t="s">
        <v>180</v>
      </c>
      <c r="B82" t="s">
        <v>7</v>
      </c>
      <c r="C82" t="s">
        <v>21</v>
      </c>
      <c r="D82" t="s">
        <v>9</v>
      </c>
      <c r="E82" s="277" t="s">
        <v>181</v>
      </c>
    </row>
    <row r="83" spans="1:5" ht="28.8" customHeight="1" x14ac:dyDescent="0.55000000000000004">
      <c r="A83" s="214" t="s">
        <v>182</v>
      </c>
      <c r="B83" t="s">
        <v>22</v>
      </c>
      <c r="C83" t="s">
        <v>12</v>
      </c>
      <c r="D83" t="s">
        <v>53</v>
      </c>
      <c r="E83" s="277" t="s">
        <v>183</v>
      </c>
    </row>
    <row r="84" spans="1:5" ht="57.6" customHeight="1" x14ac:dyDescent="0.55000000000000004">
      <c r="A84" s="214" t="s">
        <v>184</v>
      </c>
      <c r="B84" t="s">
        <v>7</v>
      </c>
      <c r="C84" t="s">
        <v>21</v>
      </c>
      <c r="D84" t="s">
        <v>9</v>
      </c>
      <c r="E84" s="277" t="s">
        <v>185</v>
      </c>
    </row>
    <row r="85" spans="1:5" ht="28.8" customHeight="1" x14ac:dyDescent="0.55000000000000004">
      <c r="A85" s="214" t="s">
        <v>186</v>
      </c>
      <c r="B85" t="s">
        <v>7</v>
      </c>
      <c r="C85" t="s">
        <v>21</v>
      </c>
      <c r="D85" t="s">
        <v>9</v>
      </c>
      <c r="E85" s="277" t="s">
        <v>187</v>
      </c>
    </row>
    <row r="86" spans="1:5" ht="28.8" customHeight="1" x14ac:dyDescent="0.55000000000000004">
      <c r="A86" s="214" t="s">
        <v>188</v>
      </c>
      <c r="B86" t="s">
        <v>22</v>
      </c>
      <c r="C86" t="s">
        <v>33</v>
      </c>
      <c r="D86" t="s">
        <v>53</v>
      </c>
      <c r="E86" s="277" t="s">
        <v>189</v>
      </c>
    </row>
    <row r="87" spans="1:5" ht="28.8" customHeight="1" x14ac:dyDescent="0.55000000000000004">
      <c r="A87" s="214" t="s">
        <v>190</v>
      </c>
      <c r="B87" t="s">
        <v>22</v>
      </c>
      <c r="C87" t="s">
        <v>33</v>
      </c>
      <c r="D87" t="s">
        <v>53</v>
      </c>
      <c r="E87" s="277" t="s">
        <v>191</v>
      </c>
    </row>
    <row r="88" spans="1:5" ht="28.8" customHeight="1" x14ac:dyDescent="0.55000000000000004">
      <c r="A88" s="214" t="s">
        <v>192</v>
      </c>
      <c r="B88" t="s">
        <v>22</v>
      </c>
      <c r="C88" t="s">
        <v>21</v>
      </c>
      <c r="D88" t="s">
        <v>53</v>
      </c>
      <c r="E88" s="277" t="s">
        <v>193</v>
      </c>
    </row>
    <row r="89" spans="1:5" ht="28.8" customHeight="1" x14ac:dyDescent="0.55000000000000004">
      <c r="A89" s="214" t="s">
        <v>194</v>
      </c>
      <c r="B89" t="s">
        <v>22</v>
      </c>
      <c r="C89" t="s">
        <v>12</v>
      </c>
      <c r="D89" t="s">
        <v>53</v>
      </c>
      <c r="E89" s="277" t="s">
        <v>195</v>
      </c>
    </row>
    <row r="90" spans="1:5" ht="28.8" customHeight="1" x14ac:dyDescent="0.55000000000000004">
      <c r="A90" s="214" t="s">
        <v>196</v>
      </c>
      <c r="B90" t="s">
        <v>22</v>
      </c>
      <c r="C90" t="s">
        <v>33</v>
      </c>
      <c r="D90" t="s">
        <v>53</v>
      </c>
      <c r="E90" s="277" t="s">
        <v>197</v>
      </c>
    </row>
    <row r="91" spans="1:5" ht="28.8" customHeight="1" x14ac:dyDescent="0.55000000000000004">
      <c r="A91" s="214" t="s">
        <v>198</v>
      </c>
      <c r="B91" t="s">
        <v>22</v>
      </c>
      <c r="C91" t="s">
        <v>12</v>
      </c>
      <c r="D91" t="s">
        <v>53</v>
      </c>
      <c r="E91" s="277" t="s">
        <v>199</v>
      </c>
    </row>
    <row r="92" spans="1:5" ht="100.8" customHeight="1" x14ac:dyDescent="0.55000000000000004">
      <c r="A92" s="214" t="s">
        <v>200</v>
      </c>
      <c r="B92" t="s">
        <v>22</v>
      </c>
      <c r="C92" t="s">
        <v>33</v>
      </c>
      <c r="D92" t="s">
        <v>53</v>
      </c>
      <c r="E92" s="277" t="s">
        <v>201</v>
      </c>
    </row>
    <row r="93" spans="1:5" ht="86.4" customHeight="1" x14ac:dyDescent="0.55000000000000004">
      <c r="A93" s="214" t="s">
        <v>202</v>
      </c>
      <c r="B93" t="s">
        <v>7</v>
      </c>
      <c r="C93" t="s">
        <v>33</v>
      </c>
      <c r="D93" t="s">
        <v>9</v>
      </c>
      <c r="E93" s="277" t="s">
        <v>203</v>
      </c>
    </row>
    <row r="94" spans="1:5" ht="72" customHeight="1" x14ac:dyDescent="0.55000000000000004">
      <c r="A94" s="214" t="s">
        <v>204</v>
      </c>
      <c r="B94" t="s">
        <v>22</v>
      </c>
      <c r="C94" t="s">
        <v>21</v>
      </c>
      <c r="D94" t="s">
        <v>53</v>
      </c>
      <c r="E94" s="277" t="s">
        <v>205</v>
      </c>
    </row>
    <row r="95" spans="1:5" ht="28.8" customHeight="1" x14ac:dyDescent="0.55000000000000004">
      <c r="A95" s="214" t="s">
        <v>206</v>
      </c>
      <c r="B95" t="s">
        <v>22</v>
      </c>
      <c r="C95" t="s">
        <v>12</v>
      </c>
      <c r="D95" t="s">
        <v>53</v>
      </c>
      <c r="E95" t="s">
        <v>207</v>
      </c>
    </row>
    <row r="96" spans="1:5" ht="28.8" customHeight="1" x14ac:dyDescent="0.55000000000000004">
      <c r="A96" s="214" t="s">
        <v>208</v>
      </c>
      <c r="B96" t="s">
        <v>22</v>
      </c>
      <c r="C96" t="s">
        <v>33</v>
      </c>
      <c r="D96" t="s">
        <v>53</v>
      </c>
      <c r="E96" t="s">
        <v>209</v>
      </c>
    </row>
    <row r="97" spans="1:5" ht="28.8" customHeight="1" x14ac:dyDescent="0.55000000000000004">
      <c r="A97" s="214" t="s">
        <v>210</v>
      </c>
      <c r="B97" t="s">
        <v>58</v>
      </c>
      <c r="C97" t="s">
        <v>21</v>
      </c>
      <c r="D97" t="s">
        <v>53</v>
      </c>
      <c r="E97" t="s">
        <v>211</v>
      </c>
    </row>
    <row r="98" spans="1:5" ht="28.8" customHeight="1" x14ac:dyDescent="0.55000000000000004">
      <c r="A98" s="214" t="s">
        <v>212</v>
      </c>
      <c r="B98" t="s">
        <v>22</v>
      </c>
      <c r="C98" t="s">
        <v>21</v>
      </c>
      <c r="D98" t="s">
        <v>9</v>
      </c>
      <c r="E98" t="s">
        <v>213</v>
      </c>
    </row>
    <row r="99" spans="1:5" ht="28.8" customHeight="1" x14ac:dyDescent="0.55000000000000004">
      <c r="A99" s="214" t="s">
        <v>214</v>
      </c>
      <c r="B99" t="s">
        <v>58</v>
      </c>
      <c r="C99" t="s">
        <v>21</v>
      </c>
      <c r="D99" t="s">
        <v>77</v>
      </c>
      <c r="E99" t="s">
        <v>215</v>
      </c>
    </row>
    <row r="100" spans="1:5" ht="28.8" customHeight="1" x14ac:dyDescent="0.55000000000000004">
      <c r="A100" s="214" t="s">
        <v>216</v>
      </c>
      <c r="B100" t="s">
        <v>22</v>
      </c>
      <c r="C100" t="s">
        <v>21</v>
      </c>
      <c r="D100" t="s">
        <v>77</v>
      </c>
      <c r="E100" t="s">
        <v>217</v>
      </c>
    </row>
    <row r="101" spans="1:5" ht="28.8" customHeight="1" x14ac:dyDescent="0.55000000000000004">
      <c r="A101" s="214" t="s">
        <v>218</v>
      </c>
      <c r="B101" t="s">
        <v>58</v>
      </c>
      <c r="C101" t="s">
        <v>21</v>
      </c>
      <c r="D101" t="s">
        <v>77</v>
      </c>
      <c r="E101" t="s">
        <v>219</v>
      </c>
    </row>
    <row r="102" spans="1:5" ht="43.2" customHeight="1" x14ac:dyDescent="0.55000000000000004">
      <c r="A102" s="214" t="s">
        <v>220</v>
      </c>
      <c r="B102" t="s">
        <v>58</v>
      </c>
      <c r="C102" t="s">
        <v>33</v>
      </c>
      <c r="D102" t="s">
        <v>9</v>
      </c>
      <c r="E102" t="s">
        <v>221</v>
      </c>
    </row>
    <row r="103" spans="1:5" ht="28.8" customHeight="1" x14ac:dyDescent="0.55000000000000004">
      <c r="A103" s="214" t="s">
        <v>222</v>
      </c>
      <c r="B103" t="s">
        <v>7</v>
      </c>
      <c r="C103" t="s">
        <v>33</v>
      </c>
      <c r="D103" t="s">
        <v>9</v>
      </c>
      <c r="E103" t="s">
        <v>223</v>
      </c>
    </row>
    <row r="104" spans="1:5" ht="28.8" customHeight="1" x14ac:dyDescent="0.55000000000000004">
      <c r="A104" s="214" t="s">
        <v>224</v>
      </c>
      <c r="B104" t="s">
        <v>58</v>
      </c>
      <c r="C104" t="s">
        <v>12</v>
      </c>
      <c r="D104" t="s">
        <v>53</v>
      </c>
      <c r="E104" t="s">
        <v>225</v>
      </c>
    </row>
    <row r="105" spans="1:5" ht="28.8" customHeight="1" x14ac:dyDescent="0.55000000000000004">
      <c r="A105" s="214" t="s">
        <v>226</v>
      </c>
      <c r="B105" t="s">
        <v>7</v>
      </c>
      <c r="C105" t="s">
        <v>21</v>
      </c>
      <c r="D105" t="s">
        <v>9</v>
      </c>
      <c r="E105" t="s">
        <v>227</v>
      </c>
    </row>
    <row r="106" spans="1:5" ht="28.8" customHeight="1" x14ac:dyDescent="0.55000000000000004">
      <c r="A106" s="214" t="s">
        <v>228</v>
      </c>
      <c r="B106" t="s">
        <v>7</v>
      </c>
      <c r="C106" t="s">
        <v>21</v>
      </c>
      <c r="D106" t="s">
        <v>9</v>
      </c>
      <c r="E106" t="s">
        <v>229</v>
      </c>
    </row>
    <row r="107" spans="1:5" ht="28.8" customHeight="1" x14ac:dyDescent="0.55000000000000004">
      <c r="A107" s="214" t="s">
        <v>230</v>
      </c>
      <c r="B107" t="s">
        <v>7</v>
      </c>
      <c r="C107" t="s">
        <v>21</v>
      </c>
      <c r="D107" t="s">
        <v>9</v>
      </c>
      <c r="E107" t="s">
        <v>231</v>
      </c>
    </row>
    <row r="108" spans="1:5" ht="28.8" customHeight="1" x14ac:dyDescent="0.55000000000000004">
      <c r="A108" s="214" t="s">
        <v>232</v>
      </c>
      <c r="B108" t="s">
        <v>58</v>
      </c>
      <c r="C108" t="s">
        <v>12</v>
      </c>
      <c r="D108" t="s">
        <v>53</v>
      </c>
      <c r="E108" t="s">
        <v>233</v>
      </c>
    </row>
    <row r="109" spans="1:5" ht="43.2" customHeight="1" x14ac:dyDescent="0.55000000000000004">
      <c r="A109" s="214" t="s">
        <v>234</v>
      </c>
      <c r="B109" t="s">
        <v>58</v>
      </c>
      <c r="C109" t="s">
        <v>21</v>
      </c>
      <c r="D109" t="s">
        <v>53</v>
      </c>
      <c r="E109" t="s">
        <v>235</v>
      </c>
    </row>
    <row r="110" spans="1:5" ht="28.8" customHeight="1" x14ac:dyDescent="0.55000000000000004">
      <c r="A110" s="214" t="s">
        <v>236</v>
      </c>
      <c r="B110" t="s">
        <v>58</v>
      </c>
      <c r="C110" t="s">
        <v>12</v>
      </c>
      <c r="D110" t="s">
        <v>53</v>
      </c>
      <c r="E110" t="s">
        <v>237</v>
      </c>
    </row>
    <row r="111" spans="1:5" ht="28.8" customHeight="1" x14ac:dyDescent="0.55000000000000004">
      <c r="A111" s="214" t="s">
        <v>238</v>
      </c>
      <c r="B111" t="s">
        <v>7</v>
      </c>
      <c r="C111" t="s">
        <v>33</v>
      </c>
      <c r="D111" t="s">
        <v>9</v>
      </c>
      <c r="E111" t="s">
        <v>239</v>
      </c>
    </row>
    <row r="112" spans="1:5" ht="28.8" customHeight="1" x14ac:dyDescent="0.55000000000000004">
      <c r="A112" s="214" t="s">
        <v>240</v>
      </c>
      <c r="B112" t="s">
        <v>7</v>
      </c>
      <c r="C112" t="s">
        <v>33</v>
      </c>
      <c r="D112" t="s">
        <v>9</v>
      </c>
      <c r="E112" t="s">
        <v>241</v>
      </c>
    </row>
    <row r="113" spans="1:5" ht="28.8" customHeight="1" x14ac:dyDescent="0.55000000000000004">
      <c r="A113" s="214" t="s">
        <v>242</v>
      </c>
      <c r="B113" t="s">
        <v>58</v>
      </c>
      <c r="C113" t="s">
        <v>12</v>
      </c>
      <c r="D113" t="s">
        <v>53</v>
      </c>
      <c r="E113" t="s">
        <v>243</v>
      </c>
    </row>
    <row r="114" spans="1:5" ht="28.8" customHeight="1" x14ac:dyDescent="0.55000000000000004">
      <c r="A114" s="214" t="s">
        <v>244</v>
      </c>
      <c r="B114" t="s">
        <v>58</v>
      </c>
      <c r="C114" t="s">
        <v>21</v>
      </c>
      <c r="D114" t="s">
        <v>53</v>
      </c>
      <c r="E114" t="s">
        <v>245</v>
      </c>
    </row>
    <row r="115" spans="1:5" ht="28.8" customHeight="1" x14ac:dyDescent="0.55000000000000004">
      <c r="A115" s="214" t="s">
        <v>246</v>
      </c>
      <c r="B115" t="s">
        <v>58</v>
      </c>
      <c r="C115" t="s">
        <v>12</v>
      </c>
      <c r="D115" t="s">
        <v>53</v>
      </c>
      <c r="E115" t="s">
        <v>247</v>
      </c>
    </row>
    <row r="116" spans="1:5" ht="28.8" customHeight="1" x14ac:dyDescent="0.55000000000000004">
      <c r="A116" s="214" t="s">
        <v>248</v>
      </c>
      <c r="B116" t="s">
        <v>58</v>
      </c>
      <c r="C116" t="s">
        <v>21</v>
      </c>
      <c r="D116" t="s">
        <v>53</v>
      </c>
      <c r="E116" t="s">
        <v>249</v>
      </c>
    </row>
    <row r="117" spans="1:5" ht="43.2" x14ac:dyDescent="0.55000000000000004">
      <c r="A117" s="214" t="s">
        <v>250</v>
      </c>
      <c r="B117" t="s">
        <v>58</v>
      </c>
      <c r="C117" t="s">
        <v>12</v>
      </c>
      <c r="D117" t="s">
        <v>53</v>
      </c>
      <c r="E117" t="s">
        <v>251</v>
      </c>
    </row>
    <row r="118" spans="1:5" ht="43.2" x14ac:dyDescent="0.55000000000000004">
      <c r="A118" s="214" t="s">
        <v>252</v>
      </c>
      <c r="B118" t="s">
        <v>58</v>
      </c>
      <c r="C118" t="s">
        <v>12</v>
      </c>
      <c r="D118" t="s">
        <v>53</v>
      </c>
      <c r="E118" t="s">
        <v>253</v>
      </c>
    </row>
    <row r="119" spans="1:5" ht="28.8" x14ac:dyDescent="0.55000000000000004">
      <c r="A119" s="214" t="s">
        <v>254</v>
      </c>
      <c r="B119" t="s">
        <v>7</v>
      </c>
      <c r="C119" t="s">
        <v>33</v>
      </c>
      <c r="D119" t="s">
        <v>77</v>
      </c>
      <c r="E119" t="s">
        <v>255</v>
      </c>
    </row>
  </sheetData>
  <mergeCells count="1">
    <mergeCell ref="A1:E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7"/>
  <sheetViews>
    <sheetView workbookViewId="0">
      <pane ySplit="4" topLeftCell="A5" activePane="bottomLeft" state="frozen"/>
      <selection pane="bottomLeft"/>
    </sheetView>
  </sheetViews>
  <sheetFormatPr defaultRowHeight="14.4" x14ac:dyDescent="0.55000000000000004"/>
  <cols>
    <col min="1" max="1" width="10" customWidth="1"/>
    <col min="2" max="2" width="48" customWidth="1"/>
    <col min="3" max="3" width="12" customWidth="1"/>
    <col min="4" max="4" width="18" customWidth="1"/>
    <col min="5" max="5" width="86" customWidth="1"/>
  </cols>
  <sheetData>
    <row r="1" spans="1:5" ht="18.3" customHeight="1" x14ac:dyDescent="0.7">
      <c r="A1" s="218" t="s">
        <v>955</v>
      </c>
    </row>
    <row r="2" spans="1:5" ht="46" customHeight="1" x14ac:dyDescent="0.55000000000000004">
      <c r="A2" s="314" t="s">
        <v>956</v>
      </c>
      <c r="B2" s="295"/>
      <c r="C2" s="295"/>
      <c r="D2" s="295"/>
      <c r="E2" s="295"/>
    </row>
    <row r="4" spans="1:5" x14ac:dyDescent="0.55000000000000004">
      <c r="A4" s="219" t="s">
        <v>957</v>
      </c>
      <c r="B4" s="219" t="s">
        <v>1</v>
      </c>
      <c r="C4" s="219" t="s">
        <v>4</v>
      </c>
      <c r="D4" s="219" t="s">
        <v>958</v>
      </c>
      <c r="E4" s="219" t="s">
        <v>959</v>
      </c>
    </row>
    <row r="5" spans="1:5" ht="44.05" customHeight="1" x14ac:dyDescent="0.55000000000000004">
      <c r="A5" s="220" t="s">
        <v>960</v>
      </c>
      <c r="B5" s="214" t="s">
        <v>961</v>
      </c>
      <c r="C5" s="227" t="s">
        <v>277</v>
      </c>
      <c r="D5" s="214" t="s">
        <v>962</v>
      </c>
      <c r="E5" s="214" t="s">
        <v>963</v>
      </c>
    </row>
    <row r="6" spans="1:5" ht="44.05" customHeight="1" x14ac:dyDescent="0.55000000000000004">
      <c r="A6" s="220" t="s">
        <v>960</v>
      </c>
      <c r="B6" s="214" t="s">
        <v>964</v>
      </c>
      <c r="C6" s="227" t="s">
        <v>277</v>
      </c>
      <c r="D6" s="214" t="s">
        <v>962</v>
      </c>
      <c r="E6" s="214" t="s">
        <v>965</v>
      </c>
    </row>
    <row r="7" spans="1:5" ht="44.05" customHeight="1" x14ac:dyDescent="0.55000000000000004">
      <c r="A7" s="230" t="s">
        <v>966</v>
      </c>
      <c r="B7" s="214" t="s">
        <v>967</v>
      </c>
      <c r="C7" s="231" t="s">
        <v>277</v>
      </c>
      <c r="D7" s="214" t="s">
        <v>960</v>
      </c>
      <c r="E7" s="214" t="s">
        <v>968</v>
      </c>
    </row>
    <row r="8" spans="1:5" ht="44.05" customHeight="1" x14ac:dyDescent="0.55000000000000004">
      <c r="A8" s="222" t="s">
        <v>966</v>
      </c>
      <c r="B8" s="214" t="s">
        <v>969</v>
      </c>
      <c r="C8" s="233" t="s">
        <v>277</v>
      </c>
      <c r="D8" s="214" t="s">
        <v>970</v>
      </c>
      <c r="E8" s="214" t="s">
        <v>971</v>
      </c>
    </row>
    <row r="9" spans="1:5" ht="44.05" customHeight="1" x14ac:dyDescent="0.55000000000000004">
      <c r="A9" s="222" t="s">
        <v>966</v>
      </c>
      <c r="B9" s="214" t="s">
        <v>972</v>
      </c>
      <c r="C9" s="232" t="s">
        <v>277</v>
      </c>
      <c r="D9" s="214" t="s">
        <v>960</v>
      </c>
      <c r="E9" s="214" t="s">
        <v>973</v>
      </c>
    </row>
    <row r="10" spans="1:5" ht="44.05" customHeight="1" x14ac:dyDescent="0.55000000000000004">
      <c r="A10" s="223" t="s">
        <v>974</v>
      </c>
      <c r="B10" s="214" t="s">
        <v>975</v>
      </c>
      <c r="C10" s="221" t="s">
        <v>277</v>
      </c>
      <c r="D10" s="214" t="s">
        <v>976</v>
      </c>
      <c r="E10" s="214" t="s">
        <v>977</v>
      </c>
    </row>
    <row r="11" spans="1:5" ht="44.05" customHeight="1" x14ac:dyDescent="0.55000000000000004">
      <c r="A11" t="s">
        <v>974</v>
      </c>
      <c r="B11" s="214" t="s">
        <v>978</v>
      </c>
      <c r="C11" t="s">
        <v>277</v>
      </c>
      <c r="D11" t="s">
        <v>979</v>
      </c>
    </row>
    <row r="12" spans="1:5" ht="44.05" customHeight="1" x14ac:dyDescent="0.55000000000000004">
      <c r="A12" t="s">
        <v>974</v>
      </c>
      <c r="B12" s="214" t="s">
        <v>980</v>
      </c>
      <c r="C12" t="s">
        <v>277</v>
      </c>
      <c r="D12" t="s">
        <v>979</v>
      </c>
    </row>
    <row r="13" spans="1:5" ht="44.05" customHeight="1" x14ac:dyDescent="0.55000000000000004">
      <c r="A13" s="223" t="s">
        <v>974</v>
      </c>
      <c r="B13" s="214" t="s">
        <v>981</v>
      </c>
      <c r="C13" s="221" t="s">
        <v>277</v>
      </c>
      <c r="D13" s="214" t="s">
        <v>982</v>
      </c>
      <c r="E13" s="214" t="s">
        <v>983</v>
      </c>
    </row>
    <row r="14" spans="1:5" ht="44.05" customHeight="1" x14ac:dyDescent="0.55000000000000004">
      <c r="A14" s="234" t="s">
        <v>974</v>
      </c>
      <c r="B14" s="214" t="s">
        <v>984</v>
      </c>
      <c r="C14" s="235" t="s">
        <v>277</v>
      </c>
      <c r="D14" s="214" t="s">
        <v>985</v>
      </c>
      <c r="E14" s="214" t="s">
        <v>986</v>
      </c>
    </row>
    <row r="15" spans="1:5" ht="44.05" customHeight="1" x14ac:dyDescent="0.55000000000000004">
      <c r="A15" s="234" t="s">
        <v>974</v>
      </c>
      <c r="B15" s="214" t="s">
        <v>987</v>
      </c>
      <c r="C15" s="235" t="s">
        <v>277</v>
      </c>
      <c r="D15" s="214" t="s">
        <v>982</v>
      </c>
      <c r="E15" s="214" t="s">
        <v>988</v>
      </c>
    </row>
    <row r="16" spans="1:5" ht="44.05" customHeight="1" x14ac:dyDescent="0.55000000000000004">
      <c r="A16" s="234" t="s">
        <v>974</v>
      </c>
      <c r="B16" s="214" t="s">
        <v>989</v>
      </c>
      <c r="C16" s="235" t="s">
        <v>277</v>
      </c>
      <c r="D16" s="214" t="s">
        <v>982</v>
      </c>
      <c r="E16" s="214" t="s">
        <v>990</v>
      </c>
    </row>
    <row r="17" spans="1:5" ht="44.05" customHeight="1" x14ac:dyDescent="0.55000000000000004">
      <c r="A17" s="224" t="s">
        <v>991</v>
      </c>
      <c r="B17" s="214" t="s">
        <v>992</v>
      </c>
      <c r="C17" s="221" t="s">
        <v>277</v>
      </c>
      <c r="D17" s="214" t="s">
        <v>993</v>
      </c>
      <c r="E17" s="214" t="s">
        <v>994</v>
      </c>
    </row>
    <row r="18" spans="1:5" ht="44.05" customHeight="1" x14ac:dyDescent="0.55000000000000004">
      <c r="A18" s="224" t="s">
        <v>991</v>
      </c>
      <c r="B18" s="214" t="s">
        <v>995</v>
      </c>
      <c r="C18" s="222" t="s">
        <v>392</v>
      </c>
      <c r="D18" s="214" t="s">
        <v>993</v>
      </c>
      <c r="E18" s="214" t="s">
        <v>996</v>
      </c>
    </row>
    <row r="19" spans="1:5" ht="44.05" customHeight="1" x14ac:dyDescent="0.55000000000000004">
      <c r="A19" s="225" t="s">
        <v>997</v>
      </c>
      <c r="B19" s="214" t="s">
        <v>998</v>
      </c>
      <c r="C19" s="224" t="s">
        <v>999</v>
      </c>
      <c r="D19" s="214" t="s">
        <v>962</v>
      </c>
      <c r="E19" s="214" t="s">
        <v>1000</v>
      </c>
    </row>
    <row r="20" spans="1:5" x14ac:dyDescent="0.55000000000000004">
      <c r="A20" s="225" t="s">
        <v>997</v>
      </c>
      <c r="B20" s="214" t="s">
        <v>1001</v>
      </c>
      <c r="C20" s="224" t="s">
        <v>999</v>
      </c>
      <c r="D20" s="214" t="s">
        <v>962</v>
      </c>
      <c r="E20" s="214" t="s">
        <v>1002</v>
      </c>
    </row>
    <row r="21" spans="1:5" ht="58" customHeight="1" x14ac:dyDescent="0.55000000000000004">
      <c r="A21" s="225" t="s">
        <v>997</v>
      </c>
      <c r="B21" s="214" t="s">
        <v>1003</v>
      </c>
      <c r="C21" s="224" t="s">
        <v>999</v>
      </c>
      <c r="D21" s="214" t="s">
        <v>962</v>
      </c>
      <c r="E21" s="214" t="s">
        <v>1004</v>
      </c>
    </row>
    <row r="22" spans="1:5" ht="58" customHeight="1" x14ac:dyDescent="0.55000000000000004"/>
    <row r="23" spans="1:5" ht="58" customHeight="1" x14ac:dyDescent="0.55000000000000004">
      <c r="A23" s="228" t="s">
        <v>960</v>
      </c>
      <c r="B23" s="214" t="s">
        <v>1005</v>
      </c>
      <c r="C23" s="227" t="s">
        <v>277</v>
      </c>
      <c r="D23" s="214" t="s">
        <v>1006</v>
      </c>
      <c r="E23" s="214" t="s">
        <v>1007</v>
      </c>
    </row>
    <row r="24" spans="1:5" ht="58" customHeight="1" x14ac:dyDescent="0.55000000000000004">
      <c r="A24" s="229" t="s">
        <v>966</v>
      </c>
      <c r="B24" s="214" t="s">
        <v>1008</v>
      </c>
      <c r="C24" s="233" t="s">
        <v>277</v>
      </c>
      <c r="D24" s="214" t="s">
        <v>1009</v>
      </c>
      <c r="E24" s="214" t="s">
        <v>1010</v>
      </c>
    </row>
    <row r="25" spans="1:5" ht="58" customHeight="1" x14ac:dyDescent="0.55000000000000004">
      <c r="A25" s="230" t="s">
        <v>966</v>
      </c>
      <c r="B25" s="214" t="s">
        <v>1011</v>
      </c>
      <c r="C25" s="233" t="s">
        <v>277</v>
      </c>
      <c r="D25" s="214" t="s">
        <v>1012</v>
      </c>
      <c r="E25" s="214" t="s">
        <v>1013</v>
      </c>
    </row>
    <row r="26" spans="1:5" ht="43.2" customHeight="1" x14ac:dyDescent="0.55000000000000004">
      <c r="A26" s="230" t="s">
        <v>966</v>
      </c>
      <c r="B26" s="214" t="s">
        <v>1014</v>
      </c>
      <c r="C26" s="232" t="s">
        <v>277</v>
      </c>
      <c r="D26" s="214" t="s">
        <v>1009</v>
      </c>
      <c r="E26" s="214" t="s">
        <v>1015</v>
      </c>
    </row>
    <row r="27" spans="1:5" ht="86.4" customHeight="1" x14ac:dyDescent="0.55000000000000004">
      <c r="A27" s="234" t="s">
        <v>974</v>
      </c>
      <c r="B27" s="214" t="s">
        <v>1016</v>
      </c>
      <c r="C27" s="236" t="s">
        <v>277</v>
      </c>
      <c r="D27" s="214" t="s">
        <v>979</v>
      </c>
      <c r="E27" s="214" t="s">
        <v>1017</v>
      </c>
    </row>
    <row r="28" spans="1:5" ht="72" customHeight="1" x14ac:dyDescent="0.55000000000000004">
      <c r="A28" s="226" t="s">
        <v>960</v>
      </c>
      <c r="B28" s="214" t="s">
        <v>1018</v>
      </c>
      <c r="C28" t="s">
        <v>277</v>
      </c>
      <c r="D28" t="s">
        <v>1019</v>
      </c>
    </row>
    <row r="29" spans="1:5" ht="57.6" customHeight="1" x14ac:dyDescent="0.55000000000000004">
      <c r="A29" t="s">
        <v>974</v>
      </c>
      <c r="B29" s="214" t="s">
        <v>1020</v>
      </c>
      <c r="C29" t="s">
        <v>277</v>
      </c>
      <c r="D29" t="s">
        <v>979</v>
      </c>
    </row>
    <row r="30" spans="1:5" ht="72" customHeight="1" x14ac:dyDescent="0.55000000000000004">
      <c r="A30" t="s">
        <v>974</v>
      </c>
      <c r="B30" s="214" t="s">
        <v>1021</v>
      </c>
      <c r="C30" t="s">
        <v>277</v>
      </c>
      <c r="D30" t="s">
        <v>1022</v>
      </c>
    </row>
    <row r="31" spans="1:5" ht="72" customHeight="1" x14ac:dyDescent="0.55000000000000004">
      <c r="A31" t="s">
        <v>966</v>
      </c>
      <c r="B31" s="214" t="s">
        <v>1023</v>
      </c>
      <c r="C31" t="s">
        <v>277</v>
      </c>
      <c r="D31" t="s">
        <v>1024</v>
      </c>
    </row>
    <row r="32" spans="1:5" ht="57.6" customHeight="1" x14ac:dyDescent="0.55000000000000004">
      <c r="A32" t="s">
        <v>966</v>
      </c>
      <c r="B32" s="214" t="s">
        <v>1025</v>
      </c>
      <c r="C32" t="s">
        <v>277</v>
      </c>
      <c r="D32" t="s">
        <v>1026</v>
      </c>
    </row>
    <row r="33" spans="1:4" ht="72" customHeight="1" x14ac:dyDescent="0.55000000000000004">
      <c r="A33" t="s">
        <v>966</v>
      </c>
      <c r="B33" s="214" t="s">
        <v>1027</v>
      </c>
      <c r="C33" t="s">
        <v>277</v>
      </c>
      <c r="D33" t="s">
        <v>1024</v>
      </c>
    </row>
    <row r="34" spans="1:4" ht="72" customHeight="1" x14ac:dyDescent="0.55000000000000004">
      <c r="A34" t="s">
        <v>966</v>
      </c>
      <c r="B34" s="214" t="s">
        <v>1028</v>
      </c>
      <c r="C34" t="s">
        <v>277</v>
      </c>
      <c r="D34" t="s">
        <v>1029</v>
      </c>
    </row>
    <row r="35" spans="1:4" ht="72" customHeight="1" x14ac:dyDescent="0.55000000000000004">
      <c r="A35" t="s">
        <v>974</v>
      </c>
      <c r="B35" s="214" t="s">
        <v>1030</v>
      </c>
      <c r="C35" t="s">
        <v>277</v>
      </c>
      <c r="D35" t="s">
        <v>1031</v>
      </c>
    </row>
    <row r="36" spans="1:4" ht="86.4" customHeight="1" x14ac:dyDescent="0.55000000000000004">
      <c r="A36" t="s">
        <v>966</v>
      </c>
      <c r="B36" s="214" t="s">
        <v>1032</v>
      </c>
      <c r="C36" t="s">
        <v>277</v>
      </c>
      <c r="D36" t="s">
        <v>1033</v>
      </c>
    </row>
    <row r="37" spans="1:4" ht="72" customHeight="1" x14ac:dyDescent="0.55000000000000004">
      <c r="A37" t="s">
        <v>974</v>
      </c>
      <c r="B37" s="214" t="s">
        <v>1034</v>
      </c>
      <c r="C37" t="s">
        <v>277</v>
      </c>
      <c r="D37" t="s">
        <v>1033</v>
      </c>
    </row>
    <row r="38" spans="1:4" ht="57.6" customHeight="1" x14ac:dyDescent="0.55000000000000004">
      <c r="A38" t="s">
        <v>991</v>
      </c>
      <c r="B38" s="214" t="s">
        <v>1035</v>
      </c>
      <c r="C38" t="s">
        <v>277</v>
      </c>
      <c r="D38" t="s">
        <v>1033</v>
      </c>
    </row>
    <row r="39" spans="1:4" ht="86.4" customHeight="1" x14ac:dyDescent="0.55000000000000004">
      <c r="A39" t="s">
        <v>966</v>
      </c>
      <c r="B39" s="214" t="s">
        <v>1036</v>
      </c>
      <c r="C39" t="s">
        <v>277</v>
      </c>
      <c r="D39" t="s">
        <v>1033</v>
      </c>
    </row>
    <row r="40" spans="1:4" ht="57.6" customHeight="1" x14ac:dyDescent="0.55000000000000004">
      <c r="A40" t="s">
        <v>974</v>
      </c>
      <c r="B40" s="214" t="s">
        <v>1037</v>
      </c>
      <c r="C40" t="s">
        <v>277</v>
      </c>
      <c r="D40" t="s">
        <v>1033</v>
      </c>
    </row>
    <row r="41" spans="1:4" ht="100.8" customHeight="1" x14ac:dyDescent="0.55000000000000004">
      <c r="A41" t="s">
        <v>966</v>
      </c>
      <c r="B41" s="214" t="s">
        <v>1038</v>
      </c>
      <c r="C41" t="s">
        <v>277</v>
      </c>
      <c r="D41" t="s">
        <v>1039</v>
      </c>
    </row>
    <row r="42" spans="1:4" ht="57.6" customHeight="1" x14ac:dyDescent="0.55000000000000004">
      <c r="A42" t="s">
        <v>974</v>
      </c>
      <c r="B42" s="214" t="s">
        <v>1040</v>
      </c>
      <c r="C42" t="s">
        <v>277</v>
      </c>
      <c r="D42" t="s">
        <v>1039</v>
      </c>
    </row>
    <row r="43" spans="1:4" ht="86.4" customHeight="1" x14ac:dyDescent="0.55000000000000004">
      <c r="A43" t="s">
        <v>974</v>
      </c>
      <c r="B43" s="214" t="s">
        <v>1041</v>
      </c>
      <c r="C43" t="s">
        <v>277</v>
      </c>
      <c r="D43" t="s">
        <v>1042</v>
      </c>
    </row>
    <row r="44" spans="1:4" ht="72" customHeight="1" x14ac:dyDescent="0.55000000000000004">
      <c r="A44" t="s">
        <v>974</v>
      </c>
      <c r="B44" s="214" t="s">
        <v>1043</v>
      </c>
      <c r="C44" t="s">
        <v>277</v>
      </c>
      <c r="D44" t="s">
        <v>1042</v>
      </c>
    </row>
    <row r="45" spans="1:4" ht="43.2" customHeight="1" x14ac:dyDescent="0.55000000000000004">
      <c r="A45" t="s">
        <v>991</v>
      </c>
      <c r="B45" s="214" t="s">
        <v>1044</v>
      </c>
      <c r="C45" t="s">
        <v>16</v>
      </c>
      <c r="D45" t="s">
        <v>1045</v>
      </c>
    </row>
    <row r="46" spans="1:4" ht="72" customHeight="1" x14ac:dyDescent="0.55000000000000004">
      <c r="A46" s="273" t="s">
        <v>1046</v>
      </c>
      <c r="B46" s="214" t="s">
        <v>1047</v>
      </c>
      <c r="C46" t="s">
        <v>277</v>
      </c>
      <c r="D46" t="s">
        <v>1048</v>
      </c>
    </row>
    <row r="47" spans="1:4" ht="72" customHeight="1" x14ac:dyDescent="0.55000000000000004">
      <c r="A47" s="273" t="s">
        <v>1046</v>
      </c>
      <c r="B47" s="214" t="s">
        <v>1049</v>
      </c>
      <c r="C47" t="s">
        <v>277</v>
      </c>
      <c r="D47" t="s">
        <v>1050</v>
      </c>
    </row>
    <row r="48" spans="1:4" ht="57.6" customHeight="1" x14ac:dyDescent="0.55000000000000004">
      <c r="A48" s="273" t="s">
        <v>1046</v>
      </c>
      <c r="B48" s="214" t="s">
        <v>1051</v>
      </c>
      <c r="C48" t="s">
        <v>277</v>
      </c>
      <c r="D48" t="s">
        <v>1050</v>
      </c>
    </row>
    <row r="49" spans="1:5" ht="72" customHeight="1" x14ac:dyDescent="0.55000000000000004">
      <c r="A49" s="273" t="s">
        <v>1046</v>
      </c>
      <c r="B49" s="214" t="s">
        <v>1052</v>
      </c>
      <c r="C49" t="s">
        <v>277</v>
      </c>
      <c r="D49" t="s">
        <v>1050</v>
      </c>
    </row>
    <row r="50" spans="1:5" ht="86.4" customHeight="1" x14ac:dyDescent="0.55000000000000004">
      <c r="A50" s="273" t="s">
        <v>1046</v>
      </c>
      <c r="B50" s="214" t="s">
        <v>1053</v>
      </c>
      <c r="C50" t="s">
        <v>277</v>
      </c>
      <c r="D50" t="s">
        <v>1054</v>
      </c>
    </row>
    <row r="51" spans="1:5" ht="115.2" customHeight="1" x14ac:dyDescent="0.55000000000000004">
      <c r="A51" s="273" t="s">
        <v>1046</v>
      </c>
      <c r="B51" s="214" t="s">
        <v>1055</v>
      </c>
      <c r="C51" t="s">
        <v>277</v>
      </c>
      <c r="D51" t="s">
        <v>1056</v>
      </c>
    </row>
    <row r="52" spans="1:5" ht="100.8" customHeight="1" x14ac:dyDescent="0.55000000000000004">
      <c r="A52" s="273" t="s">
        <v>1046</v>
      </c>
      <c r="B52" s="214" t="s">
        <v>1057</v>
      </c>
      <c r="C52" t="s">
        <v>277</v>
      </c>
      <c r="D52" t="s">
        <v>1058</v>
      </c>
    </row>
    <row r="53" spans="1:5" ht="72" customHeight="1" x14ac:dyDescent="0.55000000000000004">
      <c r="A53" s="273" t="s">
        <v>1046</v>
      </c>
      <c r="B53" s="214" t="s">
        <v>1059</v>
      </c>
      <c r="C53" t="s">
        <v>16</v>
      </c>
      <c r="D53" t="s">
        <v>1056</v>
      </c>
    </row>
    <row r="54" spans="1:5" ht="100.8" customHeight="1" x14ac:dyDescent="0.55000000000000004">
      <c r="A54" s="273" t="s">
        <v>1046</v>
      </c>
      <c r="B54" s="214" t="s">
        <v>1060</v>
      </c>
      <c r="C54" t="s">
        <v>277</v>
      </c>
      <c r="D54" t="s">
        <v>1058</v>
      </c>
    </row>
    <row r="55" spans="1:5" ht="57.6" customHeight="1" x14ac:dyDescent="0.55000000000000004">
      <c r="A55" s="273" t="s">
        <v>1046</v>
      </c>
      <c r="B55" s="214" t="s">
        <v>1061</v>
      </c>
      <c r="C55" t="s">
        <v>277</v>
      </c>
      <c r="D55" t="s">
        <v>1062</v>
      </c>
    </row>
    <row r="56" spans="1:5" ht="43.2" customHeight="1" x14ac:dyDescent="0.55000000000000004">
      <c r="A56" s="273" t="s">
        <v>1046</v>
      </c>
      <c r="B56" s="214" t="s">
        <v>1063</v>
      </c>
      <c r="C56" t="s">
        <v>277</v>
      </c>
      <c r="D56" t="s">
        <v>1064</v>
      </c>
      <c r="E56" t="s">
        <v>1065</v>
      </c>
    </row>
    <row r="57" spans="1:5" ht="115.2" customHeight="1" x14ac:dyDescent="0.55000000000000004">
      <c r="A57" s="273" t="s">
        <v>1046</v>
      </c>
      <c r="B57" s="214" t="s">
        <v>1066</v>
      </c>
      <c r="C57" t="s">
        <v>277</v>
      </c>
      <c r="D57" t="s">
        <v>1067</v>
      </c>
    </row>
    <row r="58" spans="1:5" ht="57.6" customHeight="1" x14ac:dyDescent="0.55000000000000004">
      <c r="A58" s="273" t="s">
        <v>1046</v>
      </c>
      <c r="B58" s="214" t="s">
        <v>1068</v>
      </c>
      <c r="C58" t="s">
        <v>277</v>
      </c>
      <c r="D58" t="s">
        <v>1067</v>
      </c>
    </row>
    <row r="59" spans="1:5" ht="72" customHeight="1" x14ac:dyDescent="0.55000000000000004">
      <c r="A59" s="273" t="s">
        <v>1046</v>
      </c>
      <c r="B59" s="214" t="s">
        <v>1069</v>
      </c>
      <c r="C59" t="s">
        <v>277</v>
      </c>
      <c r="D59" t="s">
        <v>1067</v>
      </c>
    </row>
    <row r="60" spans="1:5" ht="57.6" customHeight="1" x14ac:dyDescent="0.55000000000000004">
      <c r="A60" s="273" t="s">
        <v>1046</v>
      </c>
      <c r="B60" s="214" t="s">
        <v>1070</v>
      </c>
      <c r="C60" t="s">
        <v>16</v>
      </c>
      <c r="D60" t="s">
        <v>1067</v>
      </c>
    </row>
    <row r="61" spans="1:5" ht="72" customHeight="1" x14ac:dyDescent="0.55000000000000004">
      <c r="A61" s="273" t="s">
        <v>1071</v>
      </c>
      <c r="B61" s="214" t="s">
        <v>1072</v>
      </c>
      <c r="C61" t="s">
        <v>277</v>
      </c>
      <c r="D61" t="s">
        <v>1039</v>
      </c>
    </row>
    <row r="62" spans="1:5" ht="72" customHeight="1" x14ac:dyDescent="0.55000000000000004">
      <c r="A62" s="273" t="s">
        <v>1071</v>
      </c>
      <c r="B62" s="214" t="s">
        <v>1073</v>
      </c>
      <c r="C62" t="s">
        <v>277</v>
      </c>
      <c r="D62" t="s">
        <v>1039</v>
      </c>
    </row>
    <row r="63" spans="1:5" ht="72" customHeight="1" x14ac:dyDescent="0.55000000000000004">
      <c r="A63" s="273" t="s">
        <v>1071</v>
      </c>
      <c r="B63" s="214" t="s">
        <v>1074</v>
      </c>
      <c r="C63" t="s">
        <v>277</v>
      </c>
      <c r="D63" t="s">
        <v>1039</v>
      </c>
    </row>
    <row r="64" spans="1:5" ht="86.4" customHeight="1" x14ac:dyDescent="0.55000000000000004">
      <c r="A64" s="273" t="s">
        <v>1046</v>
      </c>
      <c r="B64" s="214" t="s">
        <v>1075</v>
      </c>
      <c r="C64" t="s">
        <v>277</v>
      </c>
      <c r="D64" t="s">
        <v>1076</v>
      </c>
    </row>
    <row r="65" spans="1:5" ht="72" customHeight="1" x14ac:dyDescent="0.55000000000000004">
      <c r="A65" s="273" t="s">
        <v>1046</v>
      </c>
      <c r="B65" s="214" t="s">
        <v>1077</v>
      </c>
      <c r="C65" t="s">
        <v>277</v>
      </c>
      <c r="D65" t="s">
        <v>1076</v>
      </c>
    </row>
    <row r="66" spans="1:5" ht="72" customHeight="1" x14ac:dyDescent="0.55000000000000004">
      <c r="A66" s="273" t="s">
        <v>1046</v>
      </c>
      <c r="B66" s="214" t="s">
        <v>1078</v>
      </c>
      <c r="C66" t="s">
        <v>277</v>
      </c>
      <c r="D66" t="s">
        <v>1076</v>
      </c>
    </row>
    <row r="67" spans="1:5" ht="86.4" customHeight="1" x14ac:dyDescent="0.55000000000000004">
      <c r="A67" s="273" t="s">
        <v>1079</v>
      </c>
      <c r="B67" s="214" t="s">
        <v>1080</v>
      </c>
      <c r="C67" t="s">
        <v>277</v>
      </c>
      <c r="D67" t="s">
        <v>1039</v>
      </c>
    </row>
    <row r="68" spans="1:5" ht="72" customHeight="1" x14ac:dyDescent="0.55000000000000004">
      <c r="A68" s="273" t="s">
        <v>1079</v>
      </c>
      <c r="B68" s="214" t="s">
        <v>1081</v>
      </c>
      <c r="C68" t="s">
        <v>277</v>
      </c>
      <c r="D68" t="s">
        <v>1039</v>
      </c>
    </row>
    <row r="69" spans="1:5" ht="57.6" customHeight="1" x14ac:dyDescent="0.55000000000000004">
      <c r="A69" s="273" t="s">
        <v>1079</v>
      </c>
      <c r="B69" s="214" t="s">
        <v>1082</v>
      </c>
      <c r="C69" t="s">
        <v>277</v>
      </c>
      <c r="D69" t="s">
        <v>1039</v>
      </c>
    </row>
    <row r="70" spans="1:5" ht="86.4" customHeight="1" x14ac:dyDescent="0.55000000000000004">
      <c r="A70" s="273" t="s">
        <v>1046</v>
      </c>
      <c r="B70" s="214" t="s">
        <v>1083</v>
      </c>
      <c r="C70" t="s">
        <v>277</v>
      </c>
      <c r="D70" t="s">
        <v>1084</v>
      </c>
    </row>
    <row r="71" spans="1:5" ht="43.2" customHeight="1" x14ac:dyDescent="0.55000000000000004">
      <c r="A71" s="273" t="s">
        <v>1046</v>
      </c>
      <c r="B71" s="214" t="s">
        <v>1085</v>
      </c>
      <c r="C71" t="s">
        <v>277</v>
      </c>
      <c r="D71" t="s">
        <v>1084</v>
      </c>
    </row>
    <row r="72" spans="1:5" ht="72" customHeight="1" x14ac:dyDescent="0.55000000000000004">
      <c r="A72" s="273" t="s">
        <v>1046</v>
      </c>
      <c r="B72" s="214" t="s">
        <v>1086</v>
      </c>
      <c r="C72" t="s">
        <v>277</v>
      </c>
      <c r="D72" t="s">
        <v>1084</v>
      </c>
    </row>
    <row r="73" spans="1:5" ht="57.6" customHeight="1" x14ac:dyDescent="0.55000000000000004">
      <c r="A73" s="273" t="s">
        <v>1046</v>
      </c>
      <c r="B73" s="214" t="s">
        <v>1087</v>
      </c>
      <c r="C73" t="s">
        <v>277</v>
      </c>
      <c r="D73" t="s">
        <v>1084</v>
      </c>
      <c r="E73" t="s">
        <v>1088</v>
      </c>
    </row>
    <row r="75" spans="1:5" x14ac:dyDescent="0.55000000000000004">
      <c r="A75" s="273" t="s">
        <v>966</v>
      </c>
      <c r="B75" t="s">
        <v>1089</v>
      </c>
      <c r="C75" t="s">
        <v>277</v>
      </c>
      <c r="D75" t="s">
        <v>1039</v>
      </c>
      <c r="E75" t="s">
        <v>1090</v>
      </c>
    </row>
    <row r="76" spans="1:5" x14ac:dyDescent="0.55000000000000004">
      <c r="A76" s="273" t="s">
        <v>966</v>
      </c>
      <c r="B76" t="s">
        <v>1091</v>
      </c>
      <c r="C76" t="s">
        <v>277</v>
      </c>
      <c r="D76" t="s">
        <v>1092</v>
      </c>
      <c r="E76" t="s">
        <v>1093</v>
      </c>
    </row>
    <row r="77" spans="1:5" x14ac:dyDescent="0.55000000000000004">
      <c r="A77" s="273" t="s">
        <v>966</v>
      </c>
      <c r="B77" t="s">
        <v>1094</v>
      </c>
      <c r="C77" t="s">
        <v>277</v>
      </c>
      <c r="D77" t="s">
        <v>1048</v>
      </c>
      <c r="E77" t="s">
        <v>1095</v>
      </c>
    </row>
    <row r="78" spans="1:5" x14ac:dyDescent="0.55000000000000004">
      <c r="A78" s="273" t="s">
        <v>974</v>
      </c>
      <c r="B78" t="s">
        <v>1096</v>
      </c>
      <c r="C78" t="s">
        <v>277</v>
      </c>
      <c r="D78" t="s">
        <v>1097</v>
      </c>
      <c r="E78" t="s">
        <v>1098</v>
      </c>
    </row>
    <row r="79" spans="1:5" x14ac:dyDescent="0.55000000000000004">
      <c r="A79" s="273" t="s">
        <v>974</v>
      </c>
      <c r="B79" t="s">
        <v>1099</v>
      </c>
      <c r="C79" t="s">
        <v>277</v>
      </c>
      <c r="D79" t="s">
        <v>1097</v>
      </c>
      <c r="E79" t="s">
        <v>1100</v>
      </c>
    </row>
    <row r="80" spans="1:5" x14ac:dyDescent="0.55000000000000004">
      <c r="A80" s="273" t="s">
        <v>966</v>
      </c>
      <c r="B80" t="s">
        <v>1101</v>
      </c>
      <c r="C80" t="s">
        <v>277</v>
      </c>
      <c r="D80" t="s">
        <v>1048</v>
      </c>
      <c r="E80" t="s">
        <v>1102</v>
      </c>
    </row>
    <row r="81" spans="1:5" x14ac:dyDescent="0.55000000000000004">
      <c r="A81" s="273" t="s">
        <v>960</v>
      </c>
      <c r="B81" t="s">
        <v>1103</v>
      </c>
      <c r="C81" t="s">
        <v>277</v>
      </c>
      <c r="D81" t="s">
        <v>1084</v>
      </c>
      <c r="E81" t="s">
        <v>1104</v>
      </c>
    </row>
    <row r="82" spans="1:5" x14ac:dyDescent="0.55000000000000004">
      <c r="A82" s="273" t="s">
        <v>960</v>
      </c>
      <c r="B82" t="s">
        <v>1105</v>
      </c>
      <c r="C82" t="s">
        <v>277</v>
      </c>
      <c r="D82" t="s">
        <v>1084</v>
      </c>
      <c r="E82" t="s">
        <v>1106</v>
      </c>
    </row>
    <row r="83" spans="1:5" x14ac:dyDescent="0.55000000000000004">
      <c r="A83" s="273" t="s">
        <v>966</v>
      </c>
      <c r="B83" t="s">
        <v>174</v>
      </c>
      <c r="C83" t="s">
        <v>277</v>
      </c>
      <c r="D83" t="s">
        <v>1039</v>
      </c>
      <c r="E83" t="s">
        <v>1107</v>
      </c>
    </row>
    <row r="84" spans="1:5" x14ac:dyDescent="0.55000000000000004">
      <c r="A84" s="273" t="s">
        <v>960</v>
      </c>
      <c r="B84" t="s">
        <v>1108</v>
      </c>
      <c r="C84" t="s">
        <v>277</v>
      </c>
      <c r="D84" t="s">
        <v>1109</v>
      </c>
      <c r="E84" t="s">
        <v>1110</v>
      </c>
    </row>
    <row r="85" spans="1:5" x14ac:dyDescent="0.55000000000000004">
      <c r="A85" s="273" t="s">
        <v>974</v>
      </c>
      <c r="B85" t="s">
        <v>1111</v>
      </c>
      <c r="C85" t="s">
        <v>277</v>
      </c>
      <c r="D85" t="s">
        <v>1109</v>
      </c>
      <c r="E85" t="s">
        <v>1112</v>
      </c>
    </row>
    <row r="86" spans="1:5" x14ac:dyDescent="0.55000000000000004">
      <c r="A86" s="273" t="s">
        <v>997</v>
      </c>
      <c r="B86" t="s">
        <v>1113</v>
      </c>
      <c r="C86" t="s">
        <v>277</v>
      </c>
      <c r="D86" t="s">
        <v>1114</v>
      </c>
      <c r="E86" t="s">
        <v>1115</v>
      </c>
    </row>
    <row r="87" spans="1:5" x14ac:dyDescent="0.55000000000000004">
      <c r="A87" s="273" t="s">
        <v>974</v>
      </c>
      <c r="B87" t="s">
        <v>1116</v>
      </c>
      <c r="C87" t="s">
        <v>16</v>
      </c>
      <c r="D87" t="s">
        <v>1117</v>
      </c>
      <c r="E87" t="s">
        <v>1118</v>
      </c>
    </row>
  </sheetData>
  <mergeCells count="1">
    <mergeCell ref="A2:E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0"/>
  <sheetViews>
    <sheetView workbookViewId="0">
      <pane ySplit="4" topLeftCell="A5" activePane="bottomLeft" state="frozen"/>
      <selection pane="bottomLeft"/>
    </sheetView>
  </sheetViews>
  <sheetFormatPr defaultRowHeight="14.4" x14ac:dyDescent="0.55000000000000004"/>
  <cols>
    <col min="1" max="1" width="26" customWidth="1"/>
    <col min="2" max="2" width="42" customWidth="1"/>
    <col min="3" max="3" width="20" customWidth="1"/>
    <col min="4" max="4" width="22" customWidth="1"/>
    <col min="5" max="5" width="16" customWidth="1"/>
    <col min="6" max="6" width="14" customWidth="1"/>
    <col min="7" max="7" width="26" customWidth="1"/>
    <col min="8" max="8" width="17" customWidth="1"/>
    <col min="9" max="9" width="62" customWidth="1"/>
  </cols>
  <sheetData>
    <row r="1" spans="1:9" ht="18.3" customHeight="1" x14ac:dyDescent="0.7">
      <c r="A1" s="210" t="s">
        <v>1119</v>
      </c>
    </row>
    <row r="2" spans="1:9" x14ac:dyDescent="0.55000000000000004">
      <c r="A2" s="211" t="s">
        <v>1120</v>
      </c>
    </row>
    <row r="4" spans="1:9" x14ac:dyDescent="0.55000000000000004">
      <c r="A4" s="212" t="s">
        <v>1121</v>
      </c>
      <c r="B4" s="212" t="s">
        <v>1122</v>
      </c>
      <c r="C4" s="212" t="s">
        <v>1123</v>
      </c>
      <c r="D4" s="212" t="s">
        <v>1124</v>
      </c>
      <c r="E4" s="212" t="s">
        <v>1125</v>
      </c>
      <c r="F4" s="212" t="s">
        <v>1126</v>
      </c>
      <c r="G4" s="212" t="s">
        <v>1127</v>
      </c>
      <c r="H4" s="212" t="s">
        <v>4</v>
      </c>
      <c r="I4" s="212" t="s">
        <v>1128</v>
      </c>
    </row>
    <row r="5" spans="1:9" ht="62.05" customHeight="1" x14ac:dyDescent="0.55000000000000004">
      <c r="A5" s="213" t="s">
        <v>1129</v>
      </c>
      <c r="B5" s="214" t="s">
        <v>1130</v>
      </c>
      <c r="C5" s="214" t="s">
        <v>1131</v>
      </c>
      <c r="D5" s="214" t="s">
        <v>1132</v>
      </c>
      <c r="E5" s="214" t="s">
        <v>1133</v>
      </c>
      <c r="F5" s="214" t="s">
        <v>1134</v>
      </c>
      <c r="G5" s="214" t="s">
        <v>1135</v>
      </c>
      <c r="H5" s="215" t="s">
        <v>1136</v>
      </c>
      <c r="I5" s="214" t="s">
        <v>1137</v>
      </c>
    </row>
    <row r="6" spans="1:9" ht="62.05" customHeight="1" x14ac:dyDescent="0.55000000000000004">
      <c r="A6" s="213" t="s">
        <v>1138</v>
      </c>
      <c r="B6" s="214" t="s">
        <v>1139</v>
      </c>
      <c r="C6" s="214" t="s">
        <v>1140</v>
      </c>
      <c r="D6" s="214" t="s">
        <v>1141</v>
      </c>
      <c r="E6" s="214" t="s">
        <v>1142</v>
      </c>
      <c r="F6" s="214" t="s">
        <v>1143</v>
      </c>
      <c r="G6" s="214" t="s">
        <v>1144</v>
      </c>
      <c r="H6" s="216" t="s">
        <v>1136</v>
      </c>
      <c r="I6" s="214" t="s">
        <v>1145</v>
      </c>
    </row>
    <row r="7" spans="1:9" ht="62.05" customHeight="1" x14ac:dyDescent="0.55000000000000004">
      <c r="A7" s="213" t="s">
        <v>1146</v>
      </c>
      <c r="B7" s="214" t="s">
        <v>1147</v>
      </c>
      <c r="C7" s="214" t="s">
        <v>1148</v>
      </c>
      <c r="D7" s="214" t="s">
        <v>1149</v>
      </c>
      <c r="E7" s="214" t="s">
        <v>1150</v>
      </c>
      <c r="F7" s="214" t="s">
        <v>1151</v>
      </c>
      <c r="G7" s="214" t="s">
        <v>1152</v>
      </c>
      <c r="H7" s="216" t="s">
        <v>1136</v>
      </c>
      <c r="I7" s="214" t="s">
        <v>1153</v>
      </c>
    </row>
    <row r="8" spans="1:9" ht="62.05" customHeight="1" x14ac:dyDescent="0.55000000000000004">
      <c r="A8" s="213" t="s">
        <v>1154</v>
      </c>
      <c r="B8" s="214" t="s">
        <v>1155</v>
      </c>
      <c r="C8" s="214" t="s">
        <v>1156</v>
      </c>
      <c r="D8" s="214" t="s">
        <v>1157</v>
      </c>
      <c r="E8" s="214" t="s">
        <v>120</v>
      </c>
      <c r="F8" s="214" t="s">
        <v>120</v>
      </c>
      <c r="G8" s="214" t="s">
        <v>120</v>
      </c>
      <c r="H8" s="215" t="s">
        <v>1158</v>
      </c>
      <c r="I8" s="214" t="s">
        <v>1159</v>
      </c>
    </row>
    <row r="9" spans="1:9" ht="62.05" customHeight="1" x14ac:dyDescent="0.55000000000000004">
      <c r="A9" s="213" t="s">
        <v>1160</v>
      </c>
      <c r="B9" s="214" t="s">
        <v>1161</v>
      </c>
      <c r="C9" s="214" t="s">
        <v>1162</v>
      </c>
      <c r="D9" s="214" t="s">
        <v>1157</v>
      </c>
      <c r="E9" s="214" t="s">
        <v>1150</v>
      </c>
      <c r="F9" s="214" t="s">
        <v>1163</v>
      </c>
      <c r="G9" s="214" t="s">
        <v>1164</v>
      </c>
      <c r="H9" s="217" t="s">
        <v>1165</v>
      </c>
      <c r="I9" s="214" t="s">
        <v>1166</v>
      </c>
    </row>
    <row r="10" spans="1:9" ht="62.05" customHeight="1" x14ac:dyDescent="0.55000000000000004">
      <c r="A10" s="213" t="s">
        <v>1167</v>
      </c>
      <c r="B10" s="214" t="s">
        <v>1168</v>
      </c>
      <c r="C10" s="214" t="s">
        <v>1169</v>
      </c>
      <c r="D10" s="214" t="s">
        <v>1170</v>
      </c>
      <c r="E10" s="214" t="s">
        <v>1171</v>
      </c>
      <c r="F10" s="214" t="s">
        <v>1172</v>
      </c>
      <c r="G10" s="214" t="s">
        <v>1173</v>
      </c>
      <c r="H10" s="217" t="s">
        <v>1174</v>
      </c>
      <c r="I10" s="214" t="s">
        <v>1175</v>
      </c>
    </row>
    <row r="11" spans="1:9" ht="62.05" customHeight="1" x14ac:dyDescent="0.55000000000000004">
      <c r="A11" s="213" t="s">
        <v>1176</v>
      </c>
      <c r="B11" s="214" t="s">
        <v>1177</v>
      </c>
      <c r="C11" s="214" t="s">
        <v>1178</v>
      </c>
      <c r="D11" s="214" t="s">
        <v>1179</v>
      </c>
      <c r="E11" s="214" t="s">
        <v>120</v>
      </c>
      <c r="F11" s="214" t="s">
        <v>120</v>
      </c>
      <c r="G11" s="214" t="s">
        <v>1180</v>
      </c>
      <c r="H11" s="217" t="s">
        <v>1181</v>
      </c>
      <c r="I11" s="214" t="s">
        <v>1182</v>
      </c>
    </row>
    <row r="12" spans="1:9" ht="62.05" customHeight="1" x14ac:dyDescent="0.55000000000000004">
      <c r="A12" s="213" t="s">
        <v>1183</v>
      </c>
      <c r="B12" s="214" t="s">
        <v>1184</v>
      </c>
      <c r="C12" s="214" t="s">
        <v>1185</v>
      </c>
      <c r="D12" s="214" t="s">
        <v>1186</v>
      </c>
      <c r="E12" s="214" t="s">
        <v>120</v>
      </c>
      <c r="F12" s="214" t="s">
        <v>120</v>
      </c>
      <c r="G12" s="214" t="s">
        <v>1180</v>
      </c>
      <c r="H12" s="216" t="s">
        <v>1187</v>
      </c>
      <c r="I12" s="214" t="s">
        <v>1188</v>
      </c>
    </row>
    <row r="13" spans="1:9" ht="62.05" customHeight="1" x14ac:dyDescent="0.55000000000000004">
      <c r="A13" s="213" t="s">
        <v>1189</v>
      </c>
      <c r="B13" s="214" t="s">
        <v>1190</v>
      </c>
      <c r="C13" s="214" t="s">
        <v>1191</v>
      </c>
      <c r="D13" s="214" t="s">
        <v>120</v>
      </c>
      <c r="E13" s="214" t="s">
        <v>120</v>
      </c>
      <c r="F13" s="214" t="s">
        <v>120</v>
      </c>
      <c r="G13" s="214" t="s">
        <v>120</v>
      </c>
      <c r="H13" s="217" t="s">
        <v>1192</v>
      </c>
      <c r="I13" s="214" t="s">
        <v>1193</v>
      </c>
    </row>
    <row r="14" spans="1:9" ht="62.05" customHeight="1" x14ac:dyDescent="0.55000000000000004">
      <c r="A14" s="213" t="s">
        <v>1194</v>
      </c>
      <c r="B14" s="214" t="s">
        <v>1195</v>
      </c>
      <c r="C14" s="214" t="s">
        <v>1191</v>
      </c>
      <c r="D14" s="214" t="s">
        <v>120</v>
      </c>
      <c r="E14" s="214" t="s">
        <v>120</v>
      </c>
      <c r="F14" s="214" t="s">
        <v>120</v>
      </c>
      <c r="G14" s="214" t="s">
        <v>120</v>
      </c>
      <c r="H14" s="217" t="s">
        <v>1192</v>
      </c>
      <c r="I14" s="214" t="s">
        <v>1196</v>
      </c>
    </row>
    <row r="16" spans="1:9" x14ac:dyDescent="0.55000000000000004">
      <c r="A16" s="315" t="s">
        <v>1197</v>
      </c>
      <c r="B16" s="295"/>
      <c r="C16" s="295"/>
      <c r="D16" s="295"/>
      <c r="E16" s="295"/>
      <c r="F16" s="295"/>
      <c r="G16" s="295"/>
      <c r="H16" s="295"/>
      <c r="I16" s="295"/>
    </row>
    <row r="18" spans="1:1" x14ac:dyDescent="0.55000000000000004">
      <c r="A18" s="211" t="s">
        <v>1198</v>
      </c>
    </row>
    <row r="20" spans="1:1" x14ac:dyDescent="0.55000000000000004">
      <c r="A20" s="211" t="s">
        <v>1199</v>
      </c>
    </row>
  </sheetData>
  <mergeCells count="1">
    <mergeCell ref="A16:I1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Delivery Board</vt:lpstr>
      <vt:lpstr>Architecture</vt:lpstr>
      <vt:lpstr>Epic Summary</vt:lpstr>
      <vt:lpstr>Risks &amp; Decisions</vt:lpstr>
      <vt:lpstr>Edge Measurement</vt:lpstr>
      <vt:lpstr>APIs &amp; Quotas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RichardUsang@outlook.com</dc:creator>
  <cp:lastModifiedBy>Richard Usang</cp:lastModifiedBy>
  <dcterms:created xsi:type="dcterms:W3CDTF">2026-08-03T22:52:33Z</dcterms:created>
  <dcterms:modified xsi:type="dcterms:W3CDTF">2026-10-12T07:48:10Z</dcterms:modified>
</cp:coreProperties>
</file>