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User\IdeaProjects\SportIQ\"/>
    </mc:Choice>
  </mc:AlternateContent>
  <xr:revisionPtr revIDLastSave="0" documentId="13_ncr:1_{3194C80C-E327-4182-8533-6BBE418713F3}" xr6:coauthVersionLast="47" xr6:coauthVersionMax="47" xr10:uidLastSave="{00000000-0000-0000-0000-000000000000}"/>
  <bookViews>
    <workbookView xWindow="14895" yWindow="-16320" windowWidth="29040" windowHeight="15720" xr2:uid="{00000000-000D-0000-FFFF-FFFF00000000}"/>
  </bookViews>
  <sheets>
    <sheet name="Delivery Board" sheetId="1" r:id="rId1"/>
    <sheet name="Architecture" sheetId="2" r:id="rId2"/>
    <sheet name="Epic Summary" sheetId="3" r:id="rId3"/>
    <sheet name="Risks &amp; Decisions" sheetId="4"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R120" i="1" l="1"/>
  <c r="R119" i="1"/>
  <c r="R118" i="1"/>
  <c r="R117" i="1"/>
  <c r="R116" i="1"/>
  <c r="R115" i="1"/>
  <c r="R114" i="1"/>
  <c r="R113" i="1"/>
  <c r="R112" i="1"/>
  <c r="R111" i="1"/>
  <c r="R110" i="1"/>
  <c r="R109" i="1"/>
  <c r="R108" i="1"/>
  <c r="R107" i="1"/>
  <c r="R106" i="1"/>
  <c r="R105" i="1"/>
  <c r="R104" i="1"/>
  <c r="R103" i="1"/>
  <c r="R102" i="1"/>
  <c r="R101" i="1"/>
  <c r="R100" i="1"/>
  <c r="R99" i="1"/>
  <c r="R98" i="1"/>
  <c r="R97" i="1"/>
  <c r="R96" i="1"/>
  <c r="R95" i="1"/>
  <c r="R94" i="1"/>
  <c r="R93" i="1"/>
  <c r="R92" i="1"/>
  <c r="R91" i="1"/>
  <c r="R90" i="1"/>
  <c r="R89" i="1"/>
  <c r="R88" i="1"/>
  <c r="R87" i="1"/>
  <c r="R86" i="1"/>
  <c r="R80" i="1"/>
  <c r="R81" i="1" s="1"/>
  <c r="R82" i="1" s="1"/>
  <c r="R83" i="1" s="1"/>
  <c r="R84" i="1" s="1"/>
  <c r="R85" i="1" s="1"/>
  <c r="R66" i="1"/>
  <c r="R67" i="1" s="1"/>
  <c r="R68" i="1" s="1"/>
  <c r="R69" i="1" s="1"/>
  <c r="R70" i="1" s="1"/>
  <c r="R71" i="1" s="1"/>
  <c r="R72" i="1" s="1"/>
  <c r="R73" i="1" s="1"/>
  <c r="R74" i="1" s="1"/>
  <c r="R75" i="1" s="1"/>
  <c r="R76" i="1" s="1"/>
  <c r="R77" i="1" s="1"/>
  <c r="R78" i="1" s="1"/>
  <c r="R79" i="1" s="1"/>
  <c r="R52" i="1"/>
  <c r="R53" i="1" s="1"/>
  <c r="R54" i="1" s="1"/>
  <c r="R55" i="1" s="1"/>
  <c r="R56" i="1" s="1"/>
  <c r="R57" i="1" s="1"/>
  <c r="R58" i="1" s="1"/>
  <c r="R59" i="1" s="1"/>
  <c r="R60" i="1" s="1"/>
  <c r="R61" i="1" s="1"/>
  <c r="R62" i="1" s="1"/>
  <c r="R63" i="1" s="1"/>
  <c r="R64" i="1" s="1"/>
  <c r="R65" i="1" s="1"/>
  <c r="R38" i="1"/>
  <c r="R39" i="1" s="1"/>
  <c r="R40" i="1" s="1"/>
  <c r="R41" i="1" s="1"/>
  <c r="R42" i="1" s="1"/>
  <c r="R43" i="1" s="1"/>
  <c r="R44" i="1" s="1"/>
  <c r="R45" i="1" s="1"/>
  <c r="R46" i="1" s="1"/>
  <c r="R47" i="1" s="1"/>
  <c r="R48" i="1" s="1"/>
  <c r="R49" i="1" s="1"/>
  <c r="R50" i="1" s="1"/>
  <c r="R51" i="1" s="1"/>
  <c r="R31" i="1"/>
  <c r="R32" i="1" s="1"/>
  <c r="R33" i="1" s="1"/>
  <c r="R34" i="1" s="1"/>
  <c r="R35" i="1" s="1"/>
  <c r="R36" i="1" s="1"/>
  <c r="R37" i="1" s="1"/>
  <c r="R27" i="1"/>
  <c r="R28" i="1" s="1"/>
  <c r="R29" i="1" s="1"/>
  <c r="R30" i="1" s="1"/>
  <c r="R22" i="1"/>
  <c r="R23" i="1" s="1"/>
  <c r="R24" i="1" s="1"/>
  <c r="R25" i="1" s="1"/>
  <c r="R26" i="1" s="1"/>
  <c r="R17" i="1"/>
  <c r="R18" i="1" s="1"/>
  <c r="R19" i="1" s="1"/>
  <c r="R20" i="1" s="1"/>
  <c r="R21" i="1" s="1"/>
  <c r="R14" i="1"/>
  <c r="R15" i="1" s="1"/>
  <c r="R16" i="1" s="1"/>
  <c r="R9" i="1"/>
  <c r="R10" i="1" s="1"/>
  <c r="R11" i="1" s="1"/>
  <c r="R12" i="1" s="1"/>
  <c r="R13" i="1" s="1"/>
  <c r="R5" i="1"/>
  <c r="R6" i="1" l="1"/>
  <c r="R7" i="1" s="1"/>
  <c r="R8" i="1" s="1"/>
  <c r="E6" i="3"/>
  <c r="C8" i="3"/>
  <c r="D11" i="3"/>
  <c r="E14" i="3"/>
  <c r="C5" i="3"/>
  <c r="D8" i="3"/>
  <c r="E11" i="3"/>
  <c r="C13" i="3"/>
  <c r="D5" i="3"/>
  <c r="E8" i="3"/>
  <c r="C10" i="3"/>
  <c r="D13" i="3"/>
  <c r="E5" i="3"/>
  <c r="C7" i="3"/>
  <c r="D10" i="3"/>
  <c r="E13" i="3"/>
  <c r="C4" i="3"/>
  <c r="D7" i="3"/>
  <c r="E10" i="3"/>
  <c r="C12" i="3"/>
  <c r="D4" i="3"/>
  <c r="E7" i="3"/>
  <c r="C9" i="3"/>
  <c r="D12" i="3"/>
  <c r="E4" i="3"/>
  <c r="C6" i="3"/>
  <c r="D9" i="3"/>
  <c r="E12" i="3"/>
  <c r="C14" i="3"/>
  <c r="D6" i="3"/>
  <c r="E9" i="3"/>
  <c r="C11" i="3"/>
  <c r="B11" i="3" l="1"/>
  <c r="F11" i="3" s="1"/>
  <c r="B7" i="3"/>
  <c r="F7" i="3" s="1"/>
  <c r="B10" i="3"/>
  <c r="F10" i="3" s="1"/>
  <c r="B6" i="3"/>
  <c r="F6" i="3" s="1"/>
  <c r="B8" i="3"/>
  <c r="F8" i="3" s="1"/>
  <c r="C16" i="3"/>
  <c r="B4" i="3"/>
  <c r="B12" i="3"/>
  <c r="F12" i="3" s="1"/>
  <c r="B13" i="3"/>
  <c r="F13" i="3" s="1"/>
  <c r="B5" i="3"/>
  <c r="F5" i="3" s="1"/>
  <c r="E16" i="3"/>
  <c r="B9" i="3"/>
  <c r="F9" i="3" s="1"/>
  <c r="D14" i="3"/>
  <c r="D16" i="3" s="1"/>
  <c r="F4" i="3" l="1"/>
  <c r="B14" i="3"/>
  <c r="F14" i="3" s="1"/>
  <c r="B16" i="3" l="1"/>
  <c r="B18" i="3" l="1"/>
  <c r="F16" i="3"/>
</calcChain>
</file>

<file path=xl/sharedStrings.xml><?xml version="1.0" encoding="utf-8"?>
<sst xmlns="http://schemas.openxmlformats.org/spreadsheetml/2006/main" count="786" uniqueCount="430">
  <si>
    <t>SportIQ — Delivery Board &amp; Roadmap</t>
  </si>
  <si>
    <t>Delivered dates are REAL (git history, first commit 2026-07-28). Dates from 2026-08-05 onward are PROPOSED. Updated 2026-08-04.</t>
  </si>
  <si>
    <t>Epic</t>
  </si>
  <si>
    <t>Feature / Deliverable</t>
  </si>
  <si>
    <t>Status</t>
  </si>
  <si>
    <t>Stream</t>
  </si>
  <si>
    <t>Start</t>
  </si>
  <si>
    <t>End</t>
  </si>
  <si>
    <t>Notes</t>
  </si>
  <si>
    <t>27 Jul</t>
  </si>
  <si>
    <t>03 Aug</t>
  </si>
  <si>
    <t>10 Aug</t>
  </si>
  <si>
    <t>17 Aug</t>
  </si>
  <si>
    <t>24 Aug</t>
  </si>
  <si>
    <t>31 Aug</t>
  </si>
  <si>
    <t>07 Sep</t>
  </si>
  <si>
    <t>14 Sep</t>
  </si>
  <si>
    <t>21 Sep</t>
  </si>
  <si>
    <t>28 Sep</t>
  </si>
  <si>
    <t>EpicKey (helper)</t>
  </si>
  <si>
    <t>E1 Foundation</t>
  </si>
  <si>
    <t>PRD/TDD, repo, CLAUDE.md guidance</t>
  </si>
  <si>
    <t>Done</t>
  </si>
  <si>
    <t>Platform</t>
  </si>
  <si>
    <t>First commit</t>
  </si>
  <si>
    <t>FastAPI scaffold, TDD §2.1 schema, Alembic</t>
  </si>
  <si>
    <t>All core tables</t>
  </si>
  <si>
    <t>Docker Compose (Postgres 16 + Redis 7)</t>
  </si>
  <si>
    <t>Local dev only</t>
  </si>
  <si>
    <t>CI: pytest, ruff, black, tsc</t>
  </si>
  <si>
    <t>GitHub Actions, green</t>
  </si>
  <si>
    <t>E2 Ingestion</t>
  </si>
  <si>
    <t>BallDontLie adapter (NBA)</t>
  </si>
  <si>
    <t>Data</t>
  </si>
  <si>
    <t>First real adapter</t>
  </si>
  <si>
    <t>TheRundown adapter (odds)</t>
  </si>
  <si>
    <t>American-&gt;decimal</t>
  </si>
  <si>
    <t>API-Football adapter (Pro tier)</t>
  </si>
  <si>
    <t>Fixtures/stats/injuries/H2H</t>
  </si>
  <si>
    <t>Live scores + outcome settlement</t>
  </si>
  <si>
    <t>FixtureLiveState now written</t>
  </si>
  <si>
    <t>Celery worker + beat actually running</t>
  </si>
  <si>
    <t>Never ran before this</t>
  </si>
  <si>
    <t>E3 ML NBA</t>
  </si>
  <si>
    <t>Historical collection (6 seasons)</t>
  </si>
  <si>
    <t>ML</t>
  </si>
  <si>
    <t>~14.5k games</t>
  </si>
  <si>
    <t>XGBoost + isotonic, 16 features</t>
  </si>
  <si>
    <t>68.57% vs 55.43% base</t>
  </si>
  <si>
    <t>Big3/Top5 key-player availability</t>
  </si>
  <si>
    <t>Two-stage, leakage-guarded</t>
  </si>
  <si>
    <t>E4 ML Football</t>
  </si>
  <si>
    <t>EPL + Brasileirao collection</t>
  </si>
  <si>
    <t>7.6k game-log rows</t>
  </si>
  <si>
    <t>Two-layer Poisson -&gt; XGBoost 1X2</t>
  </si>
  <si>
    <t>47.9% vs 46.5% base</t>
  </si>
  <si>
    <t>Elo, streaks, richer H2H</t>
  </si>
  <si>
    <t>21 features</t>
  </si>
  <si>
    <t>Expand to 5 leagues (MLS/CSL/Scot)</t>
  </si>
  <si>
    <t>Fixed O/U bias</t>
  </si>
  <si>
    <t>Retrodiction for completed fixtures</t>
  </si>
  <si>
    <t>Leakage-safe path</t>
  </si>
  <si>
    <t>E5 ML Tennis</t>
  </si>
  <si>
    <t>BallDontLie ATP adapter</t>
  </si>
  <si>
    <t>ALL-STAR tier</t>
  </si>
  <si>
    <t>Collection + train (17.7k examples)</t>
  </si>
  <si>
    <t>63.9% vs 62.2% rank base</t>
  </si>
  <si>
    <t>Fix target leakage (winner as player1)</t>
  </si>
  <si>
    <t>Caught pre-launch</t>
  </si>
  <si>
    <t>Retirements, tournament grouping</t>
  </si>
  <si>
    <t>VOID badge</t>
  </si>
  <si>
    <t>Kickoff refresh + live derivation</t>
  </si>
  <si>
    <t>26-&gt;20 estimated</t>
  </si>
  <si>
    <t>E6 Picks</t>
  </si>
  <si>
    <t>GET /picks, EV + threshold logic</t>
  </si>
  <si>
    <t>Backend</t>
  </si>
  <si>
    <t>TDD §4.2</t>
  </si>
  <si>
    <t>Extra markets: DC, O/U goals, corners</t>
  </si>
  <si>
    <t>Poisson-derived</t>
  </si>
  <si>
    <t>Base-rate relative ranking</t>
  </si>
  <si>
    <t>Replaced pure EV</t>
  </si>
  <si>
    <t>GET /history + summary</t>
  </si>
  <si>
    <t>Was a 501 stub</t>
  </si>
  <si>
    <t>E7 Mobile</t>
  </si>
  <si>
    <t>Expo scaffold, 8 routes, API client</t>
  </si>
  <si>
    <t>Mobile</t>
  </si>
  <si>
    <t>Web + Android verified</t>
  </si>
  <si>
    <t>Auth, guest sessions, biometrics</t>
  </si>
  <si>
    <t>SecureStore JWT</t>
  </si>
  <si>
    <t>Fixture cards, verdicts, flags</t>
  </si>
  <si>
    <t>Real flag PNGs</t>
  </si>
  <si>
    <t>Picks UI rebuild (dropdowns, calendar)</t>
  </si>
  <si>
    <t>Per mockups</t>
  </si>
  <si>
    <t>Theme: light/dark/system, account-synced</t>
  </si>
  <si>
    <t>Cross-device verified</t>
  </si>
  <si>
    <t>Score on each team's row, badge aligned</t>
  </si>
  <si>
    <t>Per mockups; measured, not eyeballed</t>
  </si>
  <si>
    <t>Equal control widths, filters aligned</t>
  </si>
  <si>
    <t>Shared FILTER_TRIGGER_WIDTH</t>
  </si>
  <si>
    <t>E8 Model Quality</t>
  </si>
  <si>
    <t>Measure O/U signal (found ~none)</t>
  </si>
  <si>
    <t>corr +0.030</t>
  </si>
  <si>
    <t>Refute Negative Binomial premise</t>
  </si>
  <si>
    <t>var/mean = 1.003</t>
  </si>
  <si>
    <t>TheStatsAPI eval + xG integration</t>
  </si>
  <si>
    <t>xG r=+0.129 vs goals +0.062</t>
  </si>
  <si>
    <t>xG collection (5 leagues)</t>
  </si>
  <si>
    <t>Superseded by row 47: 5-league collection finished, 5.9k matches</t>
  </si>
  <si>
    <t>Retrain + measure O/U buckets</t>
  </si>
  <si>
    <t>Superseded by rows 48/90: retrained, O/U buckets measured</t>
  </si>
  <si>
    <t>League-identity features (partial pooling)</t>
  </si>
  <si>
    <t>Superseded by row 49: built, measured, NEGATIVE, disabled</t>
  </si>
  <si>
    <t>Collect La Liga/Bundesliga/Ligue1 history</t>
  </si>
  <si>
    <t>Game logs collected for all 4 (+ Serie A). 7,028 fixtures, pool +81%</t>
  </si>
  <si>
    <t>Lineups Scottish Prem + MLS, retrain</t>
  </si>
  <si>
    <t>DROPPED, not delivered: key-player features pruned, so lineups feed nothing</t>
  </si>
  <si>
    <t>GO / NO-GO on Over-Under market</t>
  </si>
  <si>
    <t>GO. z=+2.96 p=0.0031 through the calibrated production path</t>
  </si>
  <si>
    <t>◆</t>
  </si>
  <si>
    <t>xG collection complete (5 leagues, 5.9k matches)</t>
  </si>
  <si>
    <t>96-100% coverage per season</t>
  </si>
  <si>
    <t>Retrain on full xG coverage</t>
  </si>
  <si>
    <t>O/U buckets monotonic, z=+1.86 (p=0.062)</t>
  </si>
  <si>
    <t>League-identity features — NEGATIVE result</t>
  </si>
  <si>
    <t>Made it worse; built, measured, disabled, documented</t>
  </si>
  <si>
    <t>Confirm training is deterministic</t>
  </si>
  <si>
    <t>Reproduced bit-for-bit; no seed noise in any comparison</t>
  </si>
  <si>
    <t>Shot-based features from shotmap</t>
  </si>
  <si>
    <t>Planned</t>
  </si>
  <si>
    <t>Last untried O/U lever; data already collected</t>
  </si>
  <si>
    <t>E9 Data Ops</t>
  </si>
  <si>
    <t>TheRundown Pro upgrade</t>
  </si>
  <si>
    <t>Before EPL opens</t>
  </si>
  <si>
    <t>Narrow odds lookahead window</t>
  </si>
  <si>
    <t>Halves per-league cost</t>
  </si>
  <si>
    <t>Re-test API-Football European odds</t>
  </si>
  <si>
    <t>Milestone</t>
  </si>
  <si>
    <t>Could drop TheRundown</t>
  </si>
  <si>
    <t>EPL 2026-27 season opens</t>
  </si>
  <si>
    <t>First real load test</t>
  </si>
  <si>
    <t>API-Football renewal</t>
  </si>
  <si>
    <t>Auto-renews</t>
  </si>
  <si>
    <t>Fix 9 tennis DRAW outcomes</t>
  </si>
  <si>
    <t>Was tracked as 9; actual total 41. Purge cleared 31, 10 remain</t>
  </si>
  <si>
    <t>WTA subscription + collection</t>
  </si>
  <si>
    <t>Blocked</t>
  </si>
  <si>
    <t>Needs tour subscription</t>
  </si>
  <si>
    <t>Tennis odds (fast-follow)</t>
  </si>
  <si>
    <t>Needs GOAT tier</t>
  </si>
  <si>
    <t>Tennis kickoff refresh + live derivation</t>
  </si>
  <si>
    <t>26-&gt;20 estimated; rest is a provider limit</t>
  </si>
  <si>
    <t>Injury ingest per-sport isolation</t>
  </si>
  <si>
    <t>NBA stub was aborting football every 30 min</t>
  </si>
  <si>
    <t>Commit 4 Aug work</t>
  </si>
  <si>
    <t>13 modified + 5 new files uncommitted</t>
  </si>
  <si>
    <t>Review + merge feat/tennis-atp-integration</t>
  </si>
  <si>
    <t>10 commits, unreviewed</t>
  </si>
  <si>
    <t>Push main to origin</t>
  </si>
  <si>
    <t>25+ commits unpushed; repo is PUBLIC</t>
  </si>
  <si>
    <t>Tennis provider decision</t>
  </si>
  <si>
    <t>Product</t>
  </si>
  <si>
    <t>Only ~2% of matches carry a real kickoff time</t>
  </si>
  <si>
    <t>E10 Deploy</t>
  </si>
  <si>
    <t>Portable artefact paths</t>
  </si>
  <si>
    <t>Absolute Windows path today</t>
  </si>
  <si>
    <t>infra/ + Render blueprint</t>
  </si>
  <si>
    <t>Web, worker, beat, PG, Redis</t>
  </si>
  <si>
    <t>Secrets management + env parity</t>
  </si>
  <si>
    <t>No .env in prod</t>
  </si>
  <si>
    <t>Monitoring + alerting (Sentry)</t>
  </si>
  <si>
    <t>Silent failures found twice</t>
  </si>
  <si>
    <t>Staging deploy + soak</t>
  </si>
  <si>
    <t>Run against real ingestion</t>
  </si>
  <si>
    <t>watchlist table + PICK-07</t>
  </si>
  <si>
    <t>Unblocks T-60 reminders</t>
  </si>
  <si>
    <t>EAS project + first mobile build</t>
  </si>
  <si>
    <t>Unblocks push tokens</t>
  </si>
  <si>
    <t>Push notifications end-to-end</t>
  </si>
  <si>
    <t>Code real, no token yet</t>
  </si>
  <si>
    <t>Mobile Jest + ESLint</t>
  </si>
  <si>
    <t>tsc is the only check</t>
  </si>
  <si>
    <t>Production deploy - FOOTBALL</t>
  </si>
  <si>
    <t>Target</t>
  </si>
  <si>
    <t>Closed beta (football only)</t>
  </si>
  <si>
    <t>Real users, real feedback</t>
  </si>
  <si>
    <t>Public launch readiness review</t>
  </si>
  <si>
    <t>Gated on beta + edge</t>
  </si>
  <si>
    <t>Merge feat/base-rate-relative-picks -&gt; main</t>
  </si>
  <si>
    <t>Fast-forward; main +25 unpushed</t>
  </si>
  <si>
    <t>Local start-up runbook + delivery board</t>
  </si>
  <si>
    <t>SportIQ-Local-Setup.docx</t>
  </si>
  <si>
    <t>E11 Ops Resilience</t>
  </si>
  <si>
    <t>dev_worker.py — worker auto-restart</t>
  </si>
  <si>
    <t>PREVENTION: Celery has no --reload</t>
  </si>
  <si>
    <t>code_version + /health + check_stale.py</t>
  </si>
  <si>
    <t>DETECTION: caught a day-old uvicorn</t>
  </si>
  <si>
    <t>Verify deploy restarts worker AND beat</t>
  </si>
  <si>
    <t>Not just the web service — the prod version of today's bug</t>
  </si>
  <si>
    <t>GIT_SHA baked into image at build</t>
  </si>
  <si>
    <t>No working tree in a container</t>
  </si>
  <si>
    <t>Sentry + uptime alerting</t>
  </si>
  <si>
    <t>Injury worker failed unnoticed for weeks</t>
  </si>
  <si>
    <t>check_stale in CI / post-deploy smoke</t>
  </si>
  <si>
    <t>Non-zero exit already gates it</t>
  </si>
  <si>
    <t>Review external optimisation consultancy</t>
  </si>
  <si>
    <t>Measured their DC claim; benchmark used 2k not 8.7k fixtures</t>
  </si>
  <si>
    <t>4-arm experiment: OOF / HFA on full data</t>
  </si>
  <si>
    <t>OOF +3.8pts, -20% RPS. HFA HURTS - rejected</t>
  </si>
  <si>
    <t>OOF stacking in train_football.py</t>
  </si>
  <si>
    <t>Fixes the documented Layer 2 in-sample optimism</t>
  </si>
  <si>
    <t>Prune 7 features (25 -&gt; 18)</t>
  </si>
  <si>
    <t>moneyline 0.7% populated / importance 0.000; key players x4</t>
  </si>
  <si>
    <t>RETRAIN: best model to date</t>
  </si>
  <si>
    <t>acc 0.4837, RPS 0.2151, all 4 Brier scores improved</t>
  </si>
  <si>
    <t>Over/Under clears significance</t>
  </si>
  <si>
    <t>z=+2.96 p=0.0031 (was +1.86 p=0.062) - GATE IS GO</t>
  </si>
  <si>
    <t>Root-cause DB connection failures</t>
  </si>
  <si>
    <t>localhost -&gt; IPv6 ::1; Docker binds IPv4 only. Pinned 127.0.0.1</t>
  </si>
  <si>
    <t>Remove now-unused key-player ingest</t>
  </si>
  <si>
    <t>Stage 1 + injury calls still run for features nothing consumes</t>
  </si>
  <si>
    <t>Pin 127.0.0.1 in compose/.env.example/runbook</t>
  </si>
  <si>
    <t>compose + .env.example + runbook troubleshooting row</t>
  </si>
  <si>
    <t>Collect historical closing odds</t>
  </si>
  <si>
    <t>Strongest known predictor, currently 59 of 8,718 rows</t>
  </si>
  <si>
    <t>Probe TheStatsAPI for 4 European leagues</t>
  </si>
  <si>
    <t>Caught 2 lower-division traps: '2. Bundesliga', 'LaLiga 2'</t>
  </si>
  <si>
    <t>Game logs: Bundesliga/Serie A/La Liga/Ligue 1</t>
  </si>
  <si>
    <t>7,028 fixtures. Pool 8,718 -&gt; 15,746 (+81%)</t>
  </si>
  <si>
    <t>Fix xG resolve team-name tiebreak</t>
  </si>
  <si>
    <t>DB empty pre-season; 15-23% of fixtures were being dropped</t>
  </si>
  <si>
    <t>xG collection (4 European leagues)</t>
  </si>
  <si>
    <t>In progress</t>
  </si>
  <si>
    <t>~5,580 matches, ~8h. All 4 have full 22/23-25/26 coverage</t>
  </si>
  <si>
    <t>Retrain pooled across 9 leagues</t>
  </si>
  <si>
    <t>Does O/U z hold at +2.96? Pool now spans 2.41-3.17 goals/match</t>
  </si>
  <si>
    <t>Corners for the 4 new leagues (DEFERRED)</t>
  </si>
  <si>
    <t>~7k calls = 94% of daily budget; measured no gain. Deferred by choice</t>
  </si>
  <si>
    <t>Merge feat/european-leagues -&gt; main</t>
  </si>
  <si>
    <t>2 commits, unpushed. 302 tests green</t>
  </si>
  <si>
    <t>Root-cause stale uvicorn serving 500s</t>
  </si>
  <si>
    <t>7h40m stale, predated the feature prune. 200 in-process vs 500 via server</t>
  </si>
  <si>
    <t>Fix: ingest only the current tournament edition</t>
  </si>
  <si>
    <t>A poll wrote 2,616 fixtures spanning 2007-2026; 119 were current</t>
  </si>
  <si>
    <t>Fix: let a revised kickoff correct a stale date</t>
  </si>
  <si>
    <t>Matches moved to today sat under yesterday, 3 already live</t>
  </si>
  <si>
    <t>Purge 3,443 pre-2026 tennis fixtures</t>
  </si>
  <si>
    <t>Not a coherent record: 2007 had 134 matches vs a real season of thousands</t>
  </si>
  <si>
    <t>Fix Celery: 4 duplicate workers, no beat at all</t>
  </si>
  <si>
    <t>Nothing had been running on the 5-min schedule. Now 1 worker + 1 beat</t>
  </si>
  <si>
    <t>Portable artefact paths (MODELS_DIR + migration)</t>
  </si>
  <si>
    <t>All 3 models stored an absolute Windows path; none could load in a container</t>
  </si>
  <si>
    <t>Stage active artefacts into the image</t>
  </si>
  <si>
    <t>ml/artifacts was gitignored, so portable paths alone still resolved to nothing</t>
  </si>
  <si>
    <t>infra/render.yaml: web + worker + BEAT + PG/Redis</t>
  </si>
  <si>
    <t>Image built and run: models load on Linux, alembic head OK, 4 tasks scheduled</t>
  </si>
  <si>
    <t>watchlist_items + T-60 kickoff reminder</t>
  </si>
  <si>
    <t>PICK-07. Unblocks notify_kickoff_reminder, a stub since it was written</t>
  </si>
  <si>
    <t>EAS build profiles + bundle identifiers</t>
  </si>
  <si>
    <t>iOS id was absent entirely; Android was Expo's com.anonymous default</t>
  </si>
  <si>
    <t>Staging soak harness (infra/soak-compose.yml)</t>
  </si>
  <si>
    <t>Same image, 3 roles, throwaway PG/Redis, isolated from the dev stack</t>
  </si>
  <si>
    <t>SOAK PASSED: full stack from empty DB</t>
  </si>
  <si>
    <t>Migrations, 5 services, API 200s, beat-&gt;worker chain, model loaded from a filename row</t>
  </si>
  <si>
    <t>Run eas login + eas init (needs Expo account)</t>
  </si>
  <si>
    <t>Writes extra.eas.projectId. Blocks minting ANY push token - see mobile/EAS-SETUP.md</t>
  </si>
  <si>
    <t>EAS project linked (@usangr01/sportiq)</t>
  </si>
  <si>
    <t>projectId written; push tokens now mintable. Run eas from mobile/, not the root</t>
  </si>
  <si>
    <t>Rename SportIQ -&gt; SportPIQ (identifiers + infra)</t>
  </si>
  <si>
    <t>Bundle ids, scheme (both sides), infra service names. DB/volume left alone</t>
  </si>
  <si>
    <t>Trademark clearance research (UK IPO)</t>
  </si>
  <si>
    <t>108 marks reviewed; 2 candidate conflicts examined in detail, both weakened</t>
  </si>
  <si>
    <t>Rename Expo project sportiq -&gt; sportpiq</t>
  </si>
  <si>
    <t>Dashboard rename; projectId stays valid so not a re-init</t>
  </si>
  <si>
    <t>Professional trademark clearance (UK + EU)</t>
  </si>
  <si>
    <t>Before brand spend. Few hundred GBP vs rebranding after launch</t>
  </si>
  <si>
    <t>Legend</t>
  </si>
  <si>
    <t>SportIQ — End-to-End Architecture</t>
  </si>
  <si>
    <t>Data flows top to bottom.  Green = live and working   Amber = works with a real gap   Red = stubbed or blocked.  Offline training track shown separately at the foot.</t>
  </si>
  <si>
    <t>1 · EXTERNAL DATA PROVIDERS</t>
  </si>
  <si>
    <t>Vendors</t>
  </si>
  <si>
    <t>API-Football (Pro)
fixtures · team stats · injuries
H2H · lineups · corners</t>
  </si>
  <si>
    <t>TheRundown
odds: NBA + 5 EU + MLS
QUOTA EXHAUSTED</t>
  </si>
  <si>
    <t>BallDontLie
NBA stats · ATP tennis
WTA 401 — unsubscribed</t>
  </si>
  <si>
    <t>TheStatsAPI
xG · shotmaps · shots
collection in progress</t>
  </si>
  <si>
    <t>RotoWire
NBA injuries
NO KEY PROVISIONED</t>
  </si>
  <si>
    <t>SportsDataIO / Highlightly
Phase 2 US sports · video
NOT INTEGRATED</t>
  </si>
  <si>
    <t>▼</t>
  </si>
  <si>
    <t>2 · ADAPTER LAYER  —  every provider call goes through here, never direct from a worker</t>
  </si>
  <si>
    <t>Abstraction</t>
  </si>
  <si>
    <t>DataSourceAdapter (ABC)
fetch_fixtures · fetch_odds
fetch_team_stats · fetch_injuries</t>
  </si>
  <si>
    <t>AdapterFactory
routes by sport slug
per-adapter error isolation</t>
  </si>
  <si>
    <t>3 · INGESTION &amp; INFERENCE WORKERS  (Celery + beat, Redis broker)</t>
  </si>
  <si>
    <t>Scheduled jobs</t>
  </si>
  <si>
    <t>ingest_fixtures
daily 02:00 UTC
±7 days · features · Elo</t>
  </si>
  <si>
    <t>ingest_odds
every 6h · 3-day window
only dates with fixtures</t>
  </si>
  <si>
    <t>ingest_live_scores
every 5 min
scores · status · settlement</t>
  </si>
  <si>
    <t>ingest_injuries
every 30 min
per-sport isolation (fixed)</t>
  </si>
  <si>
    <t>run_predictions
on new fixture
+ injury re-inference</t>
  </si>
  <si>
    <t>backfill_predictions
retrodiction
leakage-safe game log</t>
  </si>
  <si>
    <t>4 · STORAGE</t>
  </si>
  <si>
    <t>Persistence</t>
  </si>
  <si>
    <t>PostgreSQL 16
fixtures · teams · odds · predictions
outcomes · users · team_features</t>
  </si>
  <si>
    <t>Redis 7
pick cache · guest sessions (24h)
Celery broker</t>
  </si>
  <si>
    <t>models_registry
active model per sport
promotion = DB update</t>
  </si>
  <si>
    <t>ml/artifacts
joblib model files
(absolute path — deploy risk)</t>
  </si>
  <si>
    <t>▲  features read   ▼  predictions written</t>
  </si>
  <si>
    <t>5 · ML / INFERENCE</t>
  </si>
  <si>
    <t>Serving</t>
  </si>
  <si>
    <t>Feature assembly
football (25) · nba (16) · tennis (14)
train/serve parity enforced</t>
  </si>
  <si>
    <t>FootballModel
Poisson xG ×2 → XGB 1X2
+ corners regressors</t>
  </si>
  <si>
    <t>NBAModel / TennisModel
XGB binary + isotonic
2-outcome, no draw</t>
  </si>
  <si>
    <t>markets.py
double chance · O/U goals
O/U corners (Poisson)</t>
  </si>
  <si>
    <t>Calibration
isotonic per class
+ xG rate calibrators</t>
  </si>
  <si>
    <t>6 · API  —  FastAPI + Uvicorn</t>
  </si>
  <si>
    <t>REST</t>
  </si>
  <si>
    <t>/fixtures · /picks
best pick across 4 markets
min_probability · min_odds</t>
  </si>
  <si>
    <t>/history · /stats/model
settled performance
vs training metrics</t>
  </si>
  <si>
    <t>/auth · /guest · /user
Argon2id · JWT + refresh
guest → account migration</t>
  </si>
  <si>
    <t>7 · MOBILE CLIENT  —  Expo / React Native (the only client)</t>
  </si>
  <si>
    <t>App</t>
  </si>
  <si>
    <t>Picks tab
day navigator · sport / status
filters · league grouping</t>
  </si>
  <si>
    <t>Live tab
in-play fixtures</t>
  </si>
  <si>
    <t>Profile
prefs · theme · push · biometrics</t>
  </si>
  <si>
    <t>Fixture detail
probability bar · H2H panel
other markets</t>
  </si>
  <si>
    <t>Push notifications
code real — NO EAS PROJECT
cannot mint tokens</t>
  </si>
  <si>
    <t>OFFLINE TRAINING TRACK  —  run locally, never from a production worker</t>
  </si>
  <si>
    <t>Pipeline</t>
  </si>
  <si>
    <t>collect_*_data.py
API-Football · BallDontLie
nba_api (local only)</t>
  </si>
  <si>
    <t>collect_thestatsapi_xg.py
xG + cross-provider join
date+score, name tiebreak</t>
  </si>
  <si>
    <t>ml/data/*.parquet
game logs · lineups
corners · xG</t>
  </si>
  <si>
    <t>train_*.py
Optuna → calibration
→ joblib artefact</t>
  </si>
  <si>
    <t>MLflow
runs · metrics
local store</t>
  </si>
  <si>
    <t>models_registry row
is_active flip promotes
no redeploy needed</t>
  </si>
  <si>
    <t>ARCHITECTURAL NOTES</t>
  </si>
  <si>
    <t>•  Sport-agnostic by design — every core table is keyed by sport_id; adding a sport is a config/data insert, not a schema change.</t>
  </si>
  <si>
    <t>•  Model promotion is a DB update (models_registry.is_active), never a redeploy — TDD §3.1.</t>
  </si>
  <si>
    <t>•  Train/serve parity is enforced in one module per sport: assemble_from_game_log and assemble_from_live_db must stay in lock-step.</t>
  </si>
  <si>
    <t>•  Historical (box-score) key-player logic is kept OUT of app/models_ml/ so it can never be imported into the live path — target-leakage guard.</t>
  </si>
  <si>
    <t>•  Per-item error isolation is now the default in every provider loop: one league or sport failing must not abort the rest.</t>
  </si>
  <si>
    <t>•  nba_api is offline-only — stats.nba.com blocks all cloud IPs, so it must never run from a production worker.</t>
  </si>
  <si>
    <t>⚠  DEPLOYMENT GAP: nothing is deployed. No infra/, artefact paths are absolute Windows paths, no monitoring, no EAS build.</t>
  </si>
  <si>
    <t>Live &amp; working</t>
  </si>
  <si>
    <t>Real gap</t>
  </si>
  <si>
    <t>Stubbed / blocked</t>
  </si>
  <si>
    <t>Datastore</t>
  </si>
  <si>
    <t>API / App</t>
  </si>
  <si>
    <t>Epic Summary</t>
  </si>
  <si>
    <t>Total</t>
  </si>
  <si>
    <t>In progress / Planned</t>
  </si>
  <si>
    <t>% Complete</t>
  </si>
  <si>
    <t>OVERALL</t>
  </si>
  <si>
    <t>Unassigned (should be 0)</t>
  </si>
  <si>
    <t>Auto-calculated from the Delivery Board. Add an epic here if 'Unassigned' is ever non-zero.</t>
  </si>
  <si>
    <t>Risks, Blockers &amp; Open Decisions</t>
  </si>
  <si>
    <t>Item</t>
  </si>
  <si>
    <t>Type</t>
  </si>
  <si>
    <t>Impact</t>
  </si>
  <si>
    <t>Action / Owner decision</t>
  </si>
  <si>
    <t>Model edge is unproven</t>
  </si>
  <si>
    <t>Risk</t>
  </si>
  <si>
    <t>Critical</t>
  </si>
  <si>
    <t>Open</t>
  </si>
  <si>
    <t>1X2 +1.9pp over baseline; O/U ~base-rate. Retrain with xG is the decision point.</t>
  </si>
  <si>
    <t>Over/Under surfaced most, has least signal</t>
  </si>
  <si>
    <t>High</t>
  </si>
  <si>
    <t>GO/NO-GO 2026-08-10 — surface fewer markets rather than ship confident-looking noise.</t>
  </si>
  <si>
    <t>Not deployed anywhere</t>
  </si>
  <si>
    <t>Blocker</t>
  </si>
  <si>
    <t>No infra/, absolute Windows artefact path. ~2-4 weeks of work.</t>
  </si>
  <si>
    <t>No monitoring — silent failures</t>
  </si>
  <si>
    <t>Injury worker failed for weeks unnoticed; Docker down looked like an app bug.</t>
  </si>
  <si>
    <t>TheRundown quota exhausted</t>
  </si>
  <si>
    <t>Medium</t>
  </si>
  <si>
    <t>Decision</t>
  </si>
  <si>
    <t>Pro $99.99/mo before EPL opens 21 Aug, or narrow + stay on Basic.</t>
  </si>
  <si>
    <t>API-Football is a single point of failure</t>
  </si>
  <si>
    <t>Accepted</t>
  </si>
  <si>
    <t>Fixtures, stats, injuries, H2H, lineups all from one vendor. Auto-renews.</t>
  </si>
  <si>
    <t>European odds may need no vendor at all</t>
  </si>
  <si>
    <t>Opportunity</t>
  </si>
  <si>
    <t>Re-test coverage.odds on 21 Aug; could make TheRundown NBA-only.</t>
  </si>
  <si>
    <t>No EAS project</t>
  </si>
  <si>
    <t>Cannot ship the app to a single user, nor mint push tokens.</t>
  </si>
  <si>
    <t>WTA blocked on subscription</t>
  </si>
  <si>
    <t>Low</t>
  </si>
  <si>
    <t>Deferred</t>
  </si>
  <si>
    <t>Code written and unit-tested; needs that tour subscribed.</t>
  </si>
  <si>
    <t>NBA injuries dead (no RotoWire key)</t>
  </si>
  <si>
    <t>player_injury_status stays empty; NBA key-player features never vary.</t>
  </si>
  <si>
    <t>Mobile has no Jest/ESLint</t>
  </si>
  <si>
    <t>tsc is the only automated mobile check.</t>
  </si>
  <si>
    <t>Single-machine dev environment</t>
  </si>
  <si>
    <t>Postgres, Redis, workers and models all on one Windows box.</t>
  </si>
  <si>
    <t>Stale long-lived processes</t>
  </si>
  <si>
    <t>Mitigated</t>
  </si>
  <si>
    <t>Hit 4x in one day. dev_worker.py prevents in dev; check_stale.py detects. Prod needs deploy to restart worker AND beat.</t>
  </si>
  <si>
    <t>Over/Under signal still short of significant</t>
  </si>
  <si>
    <t>xG lifted trend z=+0.73 -&gt; +1.86 (p=0.062). League features REGRESSED it. Shotmap features are the last untried lever.</t>
  </si>
  <si>
    <t>Tennis kickoff times are provider-limited</t>
  </si>
  <si>
    <t>Only ~2% of BallDontLie matches carry a real time; the rest are date-only placeholders. No code fixes this.</t>
  </si>
  <si>
    <t>25+ commits unpushed on a public repo</t>
  </si>
  <si>
    <t>All of today's and yesterday's work exists only on this machine.</t>
  </si>
  <si>
    <t>Over/Under signal</t>
  </si>
  <si>
    <t>Resolved</t>
  </si>
  <si>
    <t>Closed</t>
  </si>
  <si>
    <t>z=+2.96 p=0.0031 through the calibrated production path. Was the top model risk; surfacing a headline % is now defensible.</t>
  </si>
  <si>
    <t>localhost resolves to IPv6 on Windows</t>
  </si>
  <si>
    <t>Broke every new host-&gt;container DB connection: 61 test errors, API 500s, failed exports. Pinned to 127.0.0.1 in .env; compose and .env.example still need it.</t>
  </si>
  <si>
    <t>Fewer features beat more, twice</t>
  </si>
  <si>
    <t>Insight</t>
  </si>
  <si>
    <t>League baselines hurt; pruning 7 helped. On ~5,200 rows correlated inputs cost more variance than they add signal. Test removals as readily as additions.</t>
  </si>
  <si>
    <t>Bundesliga widens the pooled goals range</t>
  </si>
  <si>
    <t>At 3.172 goals/match it becomes the highest-scoring league in the pool (was MLS 2.930), while Brasileirao anchors 2.411. One shared prior now covers a wider spread, and league-identity features already measured NEGATIVE, so the retrain's O/U reliability buckets are the check on whether pooling still holds.</t>
  </si>
  <si>
    <t>Sampling can fake a coverage gap</t>
  </si>
  <si>
    <t>Ligue 1 returned 0/2 xG for three straight seasons from two matches off the head of page 1; six spread across each season returned 5/6 every time. ~930 fixtures were nearly discarded. When coverage appears to VANISH in later seasons, suspect the sample first.</t>
  </si>
  <si>
    <t>Model promotion needs a redeploy</t>
  </si>
  <si>
    <t>Artefacts are baked into the image, so promoting a BRAND NEW model needs a commit + deploy, not the pure DB update TDD 3.1 describes. Render disks cannot be shared across web/worker/beat; the alternative is object storage plus a download cache. MODELS_DIR already points anywhere, so the upgrade needs no code change.</t>
  </si>
  <si>
    <t>git will not descend into an excluded directory</t>
  </si>
  <si>
    <t>A negation inside an excluded directory silently did nothing; the CONTENTS had to be excluded instead. Caught only because staged files still did not appear in git status.</t>
  </si>
  <si>
    <t>Kickoff reminders skip estimated kickoffs</t>
  </si>
  <si>
    <t>An estimated kickoff is a DATE not a time, so a T-60 reminder off a midnight placeholder would be false. Skipped rather than sent wrong. Affects most ATP fixtures until BallDontLie publishes real times - only ~2% carry one.</t>
  </si>
  <si>
    <t>Android package name is permanent after release</t>
  </si>
  <si>
    <t>DECIDED: com.sportpiq.app, for both the iOS bundle identifier and the Android package. Chosen after finding SportIQ already taken on Google Play (x2), LinkedIn (Helsinki sports-analytics company) and Companies House. Locked before any store release, which is the only window in which it was free to change.</t>
  </si>
  <si>
    <t>Push notifications remain unverifiable on device</t>
  </si>
  <si>
    <t>SUPERSEDED by the row below. eas init created @usangr01/sportpiq and wrote a real projectId, so a token can now be minted; what remains is device verification, tracked separately rather than duplicated here.</t>
  </si>
  <si>
    <t>Push still unverified on a device</t>
  </si>
  <si>
    <t>projectId now exists so a token CAN be minted, but nothing has been delivered to a real device. Needs a development build: Expo Go on Android cannot receive remote push since SDK 53. Reduced from blocking to testable.</t>
  </si>
  <si>
    <t>Trademark position for SportPIQ</t>
  </si>
  <si>
    <t>Monitored</t>
  </si>
  <si>
    <t>UK IPO: 108 similar marks, but the two real candidates both weakened on inspection. NEITHER holds Class 9 (downloadable apps) - the class that matters most. Sporty IQ (UK00911440856) is a fitness-club business (Class 41 = gyms, venues, physical education) and is a colour-claimed figurative mark, so narrow. SPORTiD (UK00801349944) DOES cover Class 41 'information about sports' and Class 42 software development, but the mark differs exactly where distinctiveness sits (iD vs PIQ) and is not aurally close. The two risks landed on opposite axes and neither combined - conflict needs similar mark AND overlapping class. Crowded SPORT- field also weakens each mark individually. STILL OPEN: Class 9 sweep across the other ~99 results, an exact SPORTPIQ search, and EU IPO (the Helsinki SportIQ almost certainly filed there, not UK). WATCH: SPORTiD renewal falls 16 Sep 2026 - recheck in October. If filing, target Classes 9, 42 and 41, which is where the field looks emptiest.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</si>
</sst>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d\ mmm"/>
  </numFmts>
  <fonts count="38" x14ac:knownFonts="1">
    <font>
      <sz val="11"/>
      <color theme="1"/>
      <name val="Calibri"/>
      <family val="2"/>
      <scheme val="minor"/>
    </font>
    <font>
      <b/>
      <sz val="16"/>
      <color rgb="FFFFFFFF"/>
      <name val="Calibri"/>
    </font>
    <font>
      <sz val="9"/>
      <color rgb="FF4B5563"/>
      <name val="Calibri"/>
    </font>
    <font>
      <b/>
      <sz val="10"/>
      <color rgb="FFFFFFFF"/>
      <name val="Calibri"/>
    </font>
    <font>
      <b/>
      <sz val="8"/>
      <color rgb="FFFFFFFF"/>
      <name val="Calibri"/>
    </font>
    <font>
      <b/>
      <sz val="9"/>
      <color rgb="FF111827"/>
      <name val="Calibri"/>
    </font>
    <font>
      <sz val="9"/>
      <color rgb="FF111827"/>
      <name val="Calibri"/>
    </font>
    <font>
      <sz val="8"/>
      <color rgb="FF6B7280"/>
      <name val="Calibri"/>
    </font>
    <font>
      <b/>
      <sz val="9"/>
      <color rgb="FFFFFFFF"/>
      <name val="Calibri"/>
    </font>
    <font>
      <sz val="10"/>
      <color rgb="FF111827"/>
      <name val="Calibri"/>
    </font>
    <font>
      <b/>
      <sz val="10"/>
      <color rgb="FF111827"/>
      <name val="Calibri"/>
    </font>
    <font>
      <b/>
      <sz val="15"/>
      <color rgb="FFFFFFFF"/>
      <name val="Calibri"/>
    </font>
    <font>
      <b/>
      <sz val="11"/>
      <color rgb="FF111827"/>
      <name val="Calibri"/>
    </font>
    <font>
      <sz val="9"/>
      <color rgb="FF475569"/>
      <name val="Calibri"/>
    </font>
    <font>
      <b/>
      <sz val="9"/>
      <color rgb="FF374151"/>
      <name val="Calibri"/>
    </font>
    <font>
      <b/>
      <sz val="8.5"/>
      <color rgb="FFFFFFFF"/>
      <name val="Calibri"/>
    </font>
    <font>
      <b/>
      <sz val="10"/>
      <color rgb="FF64748B"/>
      <name val="Calibri"/>
    </font>
    <font>
      <sz val="9"/>
      <color rgb="FF334155"/>
      <name val="Calibri"/>
    </font>
    <font>
      <b/>
      <sz val="9"/>
      <color rgb="FFB91C1C"/>
      <name val="Calibri"/>
    </font>
    <font>
      <b/>
      <sz val="10"/>
      <name val="Calibri"/>
    </font>
    <font>
      <b/>
      <sz val="8"/>
      <color rgb="FF6B7280"/>
      <name val="Calibri"/>
    </font>
    <font>
      <b/>
      <sz val="9"/>
      <color rgb="FF6B7280"/>
      <name val="Calibri"/>
    </font>
    <font>
      <b/>
      <sz val="9"/>
      <color rgb="FF111827"/>
      <name val="Calibri"/>
    </font>
    <font>
      <sz val="9"/>
      <color rgb="FF111827"/>
      <name val="Calibri"/>
    </font>
    <font>
      <b/>
      <sz val="8"/>
      <color rgb="FFFFFFFF"/>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s>
  <fills count="32">
    <fill>
      <patternFill patternType="none"/>
    </fill>
    <fill>
      <patternFill patternType="gray125"/>
    </fill>
    <fill>
      <patternFill patternType="solid">
        <fgColor rgb="FF1F2937"/>
      </patternFill>
    </fill>
    <fill>
      <patternFill patternType="solid">
        <fgColor rgb="FFF1F5F9"/>
      </patternFill>
    </fill>
    <fill>
      <patternFill patternType="solid">
        <fgColor rgb="FF374151"/>
      </patternFill>
    </fill>
    <fill>
      <patternFill patternType="solid">
        <fgColor rgb="FFFFFFFF"/>
      </patternFill>
    </fill>
    <fill>
      <patternFill patternType="solid">
        <fgColor rgb="FF16A34A"/>
      </patternFill>
    </fill>
    <fill>
      <patternFill patternType="solid">
        <fgColor rgb="FFF8FAFC"/>
      </patternFill>
    </fill>
    <fill>
      <patternFill patternType="solid">
        <fgColor rgb="FF2563EB"/>
      </patternFill>
    </fill>
    <fill>
      <patternFill patternType="solid">
        <fgColor rgb="FF94A3B8"/>
      </patternFill>
    </fill>
    <fill>
      <patternFill patternType="solid">
        <fgColor rgb="FFB45309"/>
      </patternFill>
    </fill>
    <fill>
      <patternFill patternType="solid">
        <fgColor rgb="FFDC2626"/>
      </patternFill>
    </fill>
    <fill>
      <patternFill patternType="solid">
        <fgColor rgb="FF9CA3AF"/>
      </patternFill>
    </fill>
    <fill>
      <patternFill patternType="solid">
        <fgColor rgb="FFD97706"/>
      </patternFill>
    </fill>
    <fill>
      <patternFill patternType="solid">
        <fgColor rgb="FF7C3AED"/>
      </patternFill>
    </fill>
    <fill>
      <patternFill patternType="solid">
        <fgColor rgb="FF0891B2"/>
      </patternFill>
    </fill>
    <fill>
      <patternFill patternType="solid">
        <fgColor rgb="FFF8FAFC"/>
      </patternFill>
    </fill>
    <fill>
      <patternFill patternType="solid">
        <fgColor rgb="FF16A34A"/>
      </patternFill>
    </fill>
    <fill>
      <patternFill patternType="solid">
        <fgColor rgb="FFFFFFFF"/>
      </patternFill>
    </fill>
    <fill>
      <patternFill patternType="solid">
        <fgColor rgb="FF94A3B8"/>
      </patternFill>
    </fill>
    <fill>
      <patternFill patternType="solid">
        <fgColor rgb="FFF8FAFC"/>
      </patternFill>
    </fill>
    <fill>
      <patternFill patternType="solid">
        <fgColor rgb="FF16A34A"/>
      </patternFill>
    </fill>
    <fill>
      <patternFill patternType="solid">
        <fgColor rgb="FFFFFFFF"/>
      </patternFill>
    </fill>
    <fill>
      <patternFill patternType="solid">
        <fgColor rgb="FFB45309"/>
      </patternFill>
    </fill>
    <fill>
      <patternFill patternType="solid">
        <fgColor rgb="FF94A3B8"/>
      </patternFill>
    </fill>
    <fill>
      <patternFill patternType="solid">
        <fgColor rgb="FFF8FAFC"/>
      </patternFill>
    </fill>
    <fill>
      <patternFill patternType="solid">
        <fgColor rgb="FF16A34A"/>
      </patternFill>
    </fill>
    <fill>
      <patternFill patternType="solid">
        <fgColor rgb="FF94A3B8"/>
      </patternFill>
    </fill>
    <fill>
      <patternFill patternType="solid">
        <fgColor rgb="FFFFFFFF"/>
      </patternFill>
    </fill>
    <fill>
      <patternFill patternType="solid">
        <fgColor rgb="FF16A34A"/>
      </patternFill>
    </fill>
    <fill>
      <patternFill patternType="solid">
        <fgColor rgb="FFF8FAFC"/>
      </patternFill>
    </fill>
    <fill>
      <patternFill patternType="solid">
        <fgColor rgb="FF94A3B8"/>
      </patternFill>
    </fill>
  </fills>
  <borders count="11">
    <border>
      <left/>
      <right/>
      <top/>
      <bottom/>
      <diagonal/>
    </border>
    <border>
      <left style="thin">
        <color rgb="FFD1D5DB"/>
      </left>
      <right style="thin">
        <color rgb="FFD1D5DB"/>
      </right>
      <top style="thin">
        <color rgb="FFD1D5DB"/>
      </top>
      <bottom style="thin">
        <color rgb="FFD1D5DB"/>
      </bottom>
      <diagonal/>
    </border>
    <border>
      <left/>
      <right/>
      <top style="thin">
        <color rgb="FFD1D5DB"/>
      </top>
      <bottom style="thin">
        <color rgb="FFD1D5DB"/>
      </bottom>
      <diagonal/>
    </border>
    <border>
      <left/>
      <right style="thin">
        <color rgb="FFD1D5DB"/>
      </right>
      <top style="thin">
        <color rgb="FFD1D5DB"/>
      </top>
      <bottom style="thin">
        <color rgb="FFD1D5DB"/>
      </bottom>
      <diagonal/>
    </border>
    <border>
      <left style="thin">
        <color rgb="FFCBD5E1"/>
      </left>
      <right style="thin">
        <color rgb="FFCBD5E1"/>
      </right>
      <top style="thin">
        <color rgb="FFCBD5E1"/>
      </top>
      <bottom style="thin">
        <color rgb="FFCBD5E1"/>
      </bottom>
      <diagonal/>
    </border>
    <border>
      <left/>
      <right/>
      <top style="thin">
        <color rgb="FFCBD5E1"/>
      </top>
      <bottom style="thin">
        <color rgb="FFCBD5E1"/>
      </bottom>
      <diagonal/>
    </border>
    <border>
      <left/>
      <right style="thin">
        <color rgb="FFCBD5E1"/>
      </right>
      <top style="thin">
        <color rgb="FFCBD5E1"/>
      </top>
      <bottom style="thin">
        <color rgb="FFCBD5E1"/>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s>
  <cellStyleXfs count="1">
    <xf numFmtId="0" fontId="0" fillId="0" borderId="0"/>
  </cellStyleXfs>
  <cellXfs count="136">
    <xf numFmtId="0" fontId="0" fillId="0" borderId="0" xfId="0"/>
    <xf numFmtId="0" fontId="3" fillId="4" borderId="1" xfId="0" applyFont="1" applyFill="1" applyBorder="1" applyAlignment="1">
      <alignment horizontal="center" vertical="center" wrapText="1"/>
    </xf>
    <xf numFmtId="0" fontId="4" fillId="4" borderId="1" xfId="0" applyFont="1" applyFill="1" applyBorder="1" applyAlignment="1">
      <alignment horizontal="center" vertical="center"/>
    </xf>
    <xf numFmtId="0" fontId="5" fillId="5" borderId="1" xfId="0" applyFont="1" applyFill="1" applyBorder="1" applyAlignment="1">
      <alignment horizontal="left" vertical="center"/>
    </xf>
    <xf numFmtId="0" fontId="6" fillId="5" borderId="1" xfId="0" applyFont="1" applyFill="1" applyBorder="1" applyAlignment="1">
      <alignment horizontal="left" vertical="center"/>
    </xf>
    <xf numFmtId="0" fontId="4" fillId="6" borderId="1" xfId="0" applyFont="1" applyFill="1" applyBorder="1" applyAlignment="1">
      <alignment horizontal="center" vertical="center"/>
    </xf>
    <xf numFmtId="0" fontId="6" fillId="5" borderId="1" xfId="0" applyFont="1" applyFill="1" applyBorder="1" applyAlignment="1">
      <alignment horizontal="center" vertical="center"/>
    </xf>
    <xf numFmtId="164" fontId="6" fillId="5" borderId="1" xfId="0" applyNumberFormat="1" applyFont="1" applyFill="1" applyBorder="1" applyAlignment="1">
      <alignment horizontal="center" vertical="center"/>
    </xf>
    <xf numFmtId="0" fontId="7" fillId="5" borderId="1" xfId="0" applyFont="1" applyFill="1" applyBorder="1" applyAlignment="1">
      <alignment horizontal="left" vertical="center"/>
    </xf>
    <xf numFmtId="0" fontId="8" fillId="6" borderId="1" xfId="0" applyFont="1" applyFill="1" applyBorder="1" applyAlignment="1">
      <alignment horizontal="center" vertical="center"/>
    </xf>
    <xf numFmtId="0" fontId="9" fillId="5" borderId="1" xfId="0" applyFont="1" applyFill="1" applyBorder="1" applyAlignment="1">
      <alignment horizontal="left" vertical="center"/>
    </xf>
    <xf numFmtId="0" fontId="6" fillId="7" borderId="1" xfId="0" applyFont="1" applyFill="1" applyBorder="1" applyAlignment="1">
      <alignment horizontal="left" vertical="center"/>
    </xf>
    <xf numFmtId="0" fontId="6" fillId="7" borderId="1" xfId="0" applyFont="1" applyFill="1" applyBorder="1" applyAlignment="1">
      <alignment horizontal="center" vertical="center"/>
    </xf>
    <xf numFmtId="164" fontId="6" fillId="7" borderId="1" xfId="0" applyNumberFormat="1" applyFont="1" applyFill="1" applyBorder="1" applyAlignment="1">
      <alignment horizontal="center" vertical="center"/>
    </xf>
    <xf numFmtId="0" fontId="7" fillId="7" borderId="1" xfId="0" applyFont="1" applyFill="1" applyBorder="1" applyAlignment="1">
      <alignment horizontal="left" vertical="center"/>
    </xf>
    <xf numFmtId="0" fontId="9" fillId="7" borderId="1" xfId="0" applyFont="1" applyFill="1" applyBorder="1" applyAlignment="1">
      <alignment horizontal="left" vertical="center"/>
    </xf>
    <xf numFmtId="0" fontId="5" fillId="7" borderId="1" xfId="0" applyFont="1" applyFill="1" applyBorder="1" applyAlignment="1">
      <alignment horizontal="left" vertical="center"/>
    </xf>
    <xf numFmtId="0" fontId="4" fillId="8" borderId="1" xfId="0" applyFont="1" applyFill="1" applyBorder="1" applyAlignment="1">
      <alignment horizontal="center" vertical="center"/>
    </xf>
    <xf numFmtId="0" fontId="8" fillId="8" borderId="1" xfId="0" applyFont="1" applyFill="1" applyBorder="1" applyAlignment="1">
      <alignment horizontal="center" vertical="center"/>
    </xf>
    <xf numFmtId="0" fontId="4" fillId="9" borderId="1" xfId="0" applyFont="1" applyFill="1" applyBorder="1" applyAlignment="1">
      <alignment horizontal="center" vertical="center"/>
    </xf>
    <xf numFmtId="0" fontId="8" fillId="9" borderId="1" xfId="0" applyFont="1" applyFill="1" applyBorder="1" applyAlignment="1">
      <alignment horizontal="center" vertical="center"/>
    </xf>
    <xf numFmtId="0" fontId="4" fillId="10" borderId="1" xfId="0" applyFont="1" applyFill="1" applyBorder="1" applyAlignment="1">
      <alignment horizontal="center" vertical="center"/>
    </xf>
    <xf numFmtId="0" fontId="8" fillId="10" borderId="1" xfId="0" applyFont="1" applyFill="1" applyBorder="1" applyAlignment="1">
      <alignment horizontal="center" vertical="center"/>
    </xf>
    <xf numFmtId="0" fontId="4" fillId="11" borderId="1" xfId="0" applyFont="1" applyFill="1" applyBorder="1" applyAlignment="1">
      <alignment horizontal="center" vertical="center"/>
    </xf>
    <xf numFmtId="0" fontId="8" fillId="11" borderId="1" xfId="0" applyFont="1" applyFill="1" applyBorder="1" applyAlignment="1">
      <alignment horizontal="center" vertical="center"/>
    </xf>
    <xf numFmtId="0" fontId="10" fillId="0" borderId="1" xfId="0" applyFont="1" applyBorder="1" applyAlignment="1">
      <alignment horizontal="left" vertical="center"/>
    </xf>
    <xf numFmtId="0" fontId="9" fillId="0" borderId="1" xfId="0" applyFont="1" applyBorder="1" applyAlignment="1">
      <alignment horizontal="center" vertical="center"/>
    </xf>
    <xf numFmtId="9" fontId="10" fillId="0" borderId="1" xfId="0" applyNumberFormat="1" applyFont="1" applyBorder="1" applyAlignment="1">
      <alignment horizontal="center" vertical="center"/>
    </xf>
    <xf numFmtId="0" fontId="12" fillId="3" borderId="1" xfId="0" applyFont="1" applyFill="1" applyBorder="1" applyAlignment="1">
      <alignment horizontal="left" vertical="center"/>
    </xf>
    <xf numFmtId="0" fontId="10" fillId="3" borderId="1" xfId="0" applyFont="1" applyFill="1" applyBorder="1" applyAlignment="1">
      <alignment horizontal="center" vertical="center"/>
    </xf>
    <xf numFmtId="9" fontId="12" fillId="3" borderId="1" xfId="0" applyNumberFormat="1" applyFont="1" applyFill="1" applyBorder="1" applyAlignment="1">
      <alignment horizontal="center" vertical="center"/>
    </xf>
    <xf numFmtId="0" fontId="3" fillId="4" borderId="1" xfId="0" applyFont="1" applyFill="1" applyBorder="1" applyAlignment="1">
      <alignment horizontal="center" vertical="center"/>
    </xf>
    <xf numFmtId="0" fontId="5" fillId="7" borderId="1" xfId="0" applyFont="1" applyFill="1" applyBorder="1" applyAlignment="1">
      <alignment horizontal="left" vertical="center" wrapText="1"/>
    </xf>
    <xf numFmtId="0" fontId="6" fillId="7" borderId="1" xfId="0" applyFont="1" applyFill="1" applyBorder="1" applyAlignment="1">
      <alignment horizontal="left" vertical="center" wrapText="1"/>
    </xf>
    <xf numFmtId="0" fontId="5" fillId="5" borderId="1" xfId="0" applyFont="1" applyFill="1" applyBorder="1" applyAlignment="1">
      <alignment horizontal="left" vertical="center" wrapText="1"/>
    </xf>
    <xf numFmtId="0" fontId="6" fillId="5" borderId="1" xfId="0" applyFont="1" applyFill="1" applyBorder="1" applyAlignment="1">
      <alignment horizontal="left" vertical="center" wrapText="1"/>
    </xf>
    <xf numFmtId="0" fontId="4" fillId="12" borderId="1" xfId="0" applyFont="1" applyFill="1" applyBorder="1" applyAlignment="1">
      <alignment horizontal="center" vertical="center"/>
    </xf>
    <xf numFmtId="0" fontId="14" fillId="3" borderId="4" xfId="0" applyFont="1" applyFill="1" applyBorder="1" applyAlignment="1">
      <alignment horizontal="right" vertical="center" wrapText="1" indent="1"/>
    </xf>
    <xf numFmtId="0" fontId="19" fillId="0" borderId="0" xfId="0" applyFont="1"/>
    <xf numFmtId="0" fontId="6" fillId="6" borderId="1" xfId="0" applyFont="1" applyFill="1" applyBorder="1" applyAlignment="1">
      <alignment horizontal="left" vertical="center"/>
    </xf>
    <xf numFmtId="0" fontId="6" fillId="10" borderId="1" xfId="0" applyFont="1" applyFill="1" applyBorder="1" applyAlignment="1">
      <alignment horizontal="left" vertical="center"/>
    </xf>
    <xf numFmtId="0" fontId="6" fillId="9" borderId="1" xfId="0" applyFont="1" applyFill="1" applyBorder="1" applyAlignment="1">
      <alignment horizontal="left" vertical="center"/>
    </xf>
    <xf numFmtId="0" fontId="20" fillId="0" borderId="1" xfId="0" applyFont="1" applyBorder="1" applyAlignment="1">
      <alignment horizontal="left" vertical="center"/>
    </xf>
    <xf numFmtId="0" fontId="21" fillId="0" borderId="1" xfId="0" applyFont="1" applyBorder="1" applyAlignment="1">
      <alignment horizontal="left" vertical="center"/>
    </xf>
    <xf numFmtId="0" fontId="6" fillId="0" borderId="1" xfId="0" applyFont="1" applyBorder="1" applyAlignment="1">
      <alignment horizontal="center" vertical="center"/>
    </xf>
    <xf numFmtId="0" fontId="7" fillId="0" borderId="1" xfId="0" applyFont="1" applyBorder="1" applyAlignment="1">
      <alignment horizontal="left" vertical="center"/>
    </xf>
    <xf numFmtId="0" fontId="22" fillId="16" borderId="7" xfId="0" applyFont="1" applyFill="1" applyBorder="1" applyAlignment="1">
      <alignment horizontal="left" vertical="center"/>
    </xf>
    <xf numFmtId="0" fontId="23" fillId="16" borderId="7" xfId="0" applyFont="1" applyFill="1" applyBorder="1" applyAlignment="1">
      <alignment horizontal="left" vertical="center"/>
    </xf>
    <xf numFmtId="0" fontId="24" fillId="17" borderId="7" xfId="0" applyFont="1" applyFill="1" applyBorder="1" applyAlignment="1">
      <alignment horizontal="center" vertical="center"/>
    </xf>
    <xf numFmtId="0" fontId="23" fillId="16" borderId="7" xfId="0" applyFont="1" applyFill="1" applyBorder="1" applyAlignment="1">
      <alignment horizontal="center" vertical="center"/>
    </xf>
    <xf numFmtId="164" fontId="23" fillId="16" borderId="7" xfId="0" applyNumberFormat="1" applyFont="1" applyFill="1" applyBorder="1" applyAlignment="1">
      <alignment horizontal="center" vertical="center"/>
    </xf>
    <xf numFmtId="0" fontId="25" fillId="16" borderId="7" xfId="0" applyFont="1" applyFill="1" applyBorder="1" applyAlignment="1">
      <alignment horizontal="left" vertical="center"/>
    </xf>
    <xf numFmtId="0" fontId="23" fillId="17" borderId="7" xfId="0" applyFont="1" applyFill="1" applyBorder="1" applyAlignment="1">
      <alignment horizontal="left" vertical="center"/>
    </xf>
    <xf numFmtId="0" fontId="22" fillId="18" borderId="7" xfId="0" applyFont="1" applyFill="1" applyBorder="1" applyAlignment="1">
      <alignment horizontal="left" vertical="center"/>
    </xf>
    <xf numFmtId="0" fontId="23" fillId="18" borderId="7" xfId="0" applyFont="1" applyFill="1" applyBorder="1" applyAlignment="1">
      <alignment horizontal="left" vertical="center"/>
    </xf>
    <xf numFmtId="0" fontId="23" fillId="18" borderId="7" xfId="0" applyFont="1" applyFill="1" applyBorder="1" applyAlignment="1">
      <alignment horizontal="center" vertical="center"/>
    </xf>
    <xf numFmtId="164" fontId="23" fillId="18" borderId="7" xfId="0" applyNumberFormat="1" applyFont="1" applyFill="1" applyBorder="1" applyAlignment="1">
      <alignment horizontal="center" vertical="center"/>
    </xf>
    <xf numFmtId="0" fontId="25" fillId="18" borderId="7" xfId="0" applyFont="1" applyFill="1" applyBorder="1" applyAlignment="1">
      <alignment horizontal="left" vertical="center"/>
    </xf>
    <xf numFmtId="0" fontId="22" fillId="18" borderId="7" xfId="0" applyFont="1" applyFill="1" applyBorder="1" applyAlignment="1">
      <alignment horizontal="left" vertical="center" wrapText="1"/>
    </xf>
    <xf numFmtId="0" fontId="24" fillId="19" borderId="7" xfId="0" applyFont="1" applyFill="1" applyBorder="1" applyAlignment="1">
      <alignment horizontal="center" vertical="center"/>
    </xf>
    <xf numFmtId="0" fontId="23" fillId="18" borderId="7" xfId="0" applyFont="1" applyFill="1" applyBorder="1" applyAlignment="1">
      <alignment horizontal="left" vertical="center" wrapText="1"/>
    </xf>
    <xf numFmtId="0" fontId="22" fillId="16" borderId="7" xfId="0" applyFont="1" applyFill="1" applyBorder="1" applyAlignment="1">
      <alignment horizontal="left" vertical="center" wrapText="1"/>
    </xf>
    <xf numFmtId="0" fontId="23" fillId="16" borderId="7" xfId="0" applyFont="1" applyFill="1" applyBorder="1" applyAlignment="1">
      <alignment horizontal="left" vertical="center" wrapText="1"/>
    </xf>
    <xf numFmtId="0" fontId="26" fillId="20" borderId="8" xfId="0" applyFont="1" applyFill="1" applyBorder="1" applyAlignment="1">
      <alignment horizontal="left" vertical="center"/>
    </xf>
    <xf numFmtId="0" fontId="27" fillId="20" borderId="8" xfId="0" applyFont="1" applyFill="1" applyBorder="1" applyAlignment="1">
      <alignment horizontal="left" vertical="center"/>
    </xf>
    <xf numFmtId="0" fontId="28" fillId="21" borderId="8" xfId="0" applyFont="1" applyFill="1" applyBorder="1" applyAlignment="1">
      <alignment horizontal="center" vertical="center"/>
    </xf>
    <xf numFmtId="0" fontId="27" fillId="20" borderId="8" xfId="0" applyFont="1" applyFill="1" applyBorder="1" applyAlignment="1">
      <alignment horizontal="center" vertical="center"/>
    </xf>
    <xf numFmtId="164" fontId="27" fillId="20" borderId="8" xfId="0" applyNumberFormat="1" applyFont="1" applyFill="1" applyBorder="1" applyAlignment="1">
      <alignment horizontal="center" vertical="center"/>
    </xf>
    <xf numFmtId="0" fontId="29" fillId="20" borderId="8" xfId="0" applyFont="1" applyFill="1" applyBorder="1" applyAlignment="1">
      <alignment horizontal="left" vertical="center"/>
    </xf>
    <xf numFmtId="0" fontId="27" fillId="21" borderId="8" xfId="0" applyFont="1" applyFill="1" applyBorder="1" applyAlignment="1">
      <alignment horizontal="left" vertical="center"/>
    </xf>
    <xf numFmtId="0" fontId="26" fillId="22" borderId="8" xfId="0" applyFont="1" applyFill="1" applyBorder="1" applyAlignment="1">
      <alignment horizontal="left" vertical="center"/>
    </xf>
    <xf numFmtId="0" fontId="27" fillId="22" borderId="8" xfId="0" applyFont="1" applyFill="1" applyBorder="1" applyAlignment="1">
      <alignment horizontal="left" vertical="center"/>
    </xf>
    <xf numFmtId="0" fontId="27" fillId="22" borderId="8" xfId="0" applyFont="1" applyFill="1" applyBorder="1" applyAlignment="1">
      <alignment horizontal="center" vertical="center"/>
    </xf>
    <xf numFmtId="164" fontId="27" fillId="22" borderId="8" xfId="0" applyNumberFormat="1" applyFont="1" applyFill="1" applyBorder="1" applyAlignment="1">
      <alignment horizontal="center" vertical="center"/>
    </xf>
    <xf numFmtId="0" fontId="29" fillId="22" borderId="8" xfId="0" applyFont="1" applyFill="1" applyBorder="1" applyAlignment="1">
      <alignment horizontal="left" vertical="center"/>
    </xf>
    <xf numFmtId="0" fontId="28" fillId="23" borderId="8" xfId="0" applyFont="1" applyFill="1" applyBorder="1" applyAlignment="1">
      <alignment horizontal="center" vertical="center"/>
    </xf>
    <xf numFmtId="0" fontId="27" fillId="23" borderId="8" xfId="0" applyFont="1" applyFill="1" applyBorder="1" applyAlignment="1">
      <alignment horizontal="left" vertical="center"/>
    </xf>
    <xf numFmtId="0" fontId="28" fillId="24" borderId="8" xfId="0" applyFont="1" applyFill="1" applyBorder="1" applyAlignment="1">
      <alignment horizontal="center" vertical="center"/>
    </xf>
    <xf numFmtId="0" fontId="27" fillId="24" borderId="8" xfId="0" applyFont="1" applyFill="1" applyBorder="1" applyAlignment="1">
      <alignment horizontal="left" vertical="center"/>
    </xf>
    <xf numFmtId="0" fontId="26" fillId="20" borderId="8" xfId="0" applyFont="1" applyFill="1" applyBorder="1" applyAlignment="1">
      <alignment horizontal="left" vertical="center" wrapText="1"/>
    </xf>
    <xf numFmtId="0" fontId="26" fillId="22" borderId="8" xfId="0" applyFont="1" applyFill="1" applyBorder="1" applyAlignment="1">
      <alignment horizontal="left" vertical="center" wrapText="1"/>
    </xf>
    <xf numFmtId="0" fontId="30" fillId="25" borderId="9" xfId="0" applyFont="1" applyFill="1" applyBorder="1" applyAlignment="1">
      <alignment horizontal="left" vertical="center"/>
    </xf>
    <xf numFmtId="0" fontId="31" fillId="25" borderId="9" xfId="0" applyFont="1" applyFill="1" applyBorder="1" applyAlignment="1">
      <alignment horizontal="left" vertical="center"/>
    </xf>
    <xf numFmtId="0" fontId="32" fillId="26" borderId="9" xfId="0" applyFont="1" applyFill="1" applyBorder="1" applyAlignment="1">
      <alignment horizontal="center" vertical="center"/>
    </xf>
    <xf numFmtId="0" fontId="31" fillId="25" borderId="9" xfId="0" applyFont="1" applyFill="1" applyBorder="1" applyAlignment="1">
      <alignment horizontal="center" vertical="center"/>
    </xf>
    <xf numFmtId="164" fontId="31" fillId="25" borderId="9" xfId="0" applyNumberFormat="1" applyFont="1" applyFill="1" applyBorder="1" applyAlignment="1">
      <alignment horizontal="center" vertical="center"/>
    </xf>
    <xf numFmtId="0" fontId="33" fillId="25" borderId="9" xfId="0" applyFont="1" applyFill="1" applyBorder="1" applyAlignment="1">
      <alignment horizontal="left" vertical="center"/>
    </xf>
    <xf numFmtId="0" fontId="31" fillId="26" borderId="9" xfId="0" applyFont="1" applyFill="1" applyBorder="1" applyAlignment="1">
      <alignment horizontal="left" vertical="center"/>
    </xf>
    <xf numFmtId="0" fontId="30" fillId="25" borderId="9" xfId="0" applyFont="1" applyFill="1" applyBorder="1" applyAlignment="1">
      <alignment horizontal="left" vertical="center" wrapText="1"/>
    </xf>
    <xf numFmtId="0" fontId="32" fillId="27" borderId="9" xfId="0" applyFont="1" applyFill="1" applyBorder="1" applyAlignment="1">
      <alignment horizontal="center" vertical="center"/>
    </xf>
    <xf numFmtId="0" fontId="31" fillId="25" borderId="9" xfId="0" applyFont="1" applyFill="1" applyBorder="1" applyAlignment="1">
      <alignment horizontal="left" vertical="center" wrapText="1"/>
    </xf>
    <xf numFmtId="0" fontId="34" fillId="28" borderId="10" xfId="0" applyFont="1" applyFill="1" applyBorder="1" applyAlignment="1">
      <alignment horizontal="left" vertical="center"/>
    </xf>
    <xf numFmtId="0" fontId="35" fillId="28" borderId="10" xfId="0" applyFont="1" applyFill="1" applyBorder="1" applyAlignment="1">
      <alignment horizontal="left" vertical="center"/>
    </xf>
    <xf numFmtId="0" fontId="36" fillId="29" borderId="10" xfId="0" applyFont="1" applyFill="1" applyBorder="1" applyAlignment="1">
      <alignment horizontal="center" vertical="center"/>
    </xf>
    <xf numFmtId="0" fontId="35" fillId="28" borderId="10" xfId="0" applyFont="1" applyFill="1" applyBorder="1" applyAlignment="1">
      <alignment horizontal="center" vertical="center"/>
    </xf>
    <xf numFmtId="164" fontId="35" fillId="28" borderId="10" xfId="0" applyNumberFormat="1" applyFont="1" applyFill="1" applyBorder="1" applyAlignment="1">
      <alignment horizontal="center" vertical="center"/>
    </xf>
    <xf numFmtId="0" fontId="37" fillId="28" borderId="10" xfId="0" applyFont="1" applyFill="1" applyBorder="1" applyAlignment="1">
      <alignment horizontal="left" vertical="center"/>
    </xf>
    <xf numFmtId="0" fontId="35" fillId="29" borderId="10" xfId="0" applyFont="1" applyFill="1" applyBorder="1" applyAlignment="1">
      <alignment horizontal="left" vertical="center"/>
    </xf>
    <xf numFmtId="0" fontId="34" fillId="30" borderId="10" xfId="0" applyFont="1" applyFill="1" applyBorder="1" applyAlignment="1">
      <alignment horizontal="left" vertical="center"/>
    </xf>
    <xf numFmtId="0" fontId="35" fillId="30" borderId="10" xfId="0" applyFont="1" applyFill="1" applyBorder="1" applyAlignment="1">
      <alignment horizontal="left" vertical="center"/>
    </xf>
    <xf numFmtId="0" fontId="35" fillId="30" borderId="10" xfId="0" applyFont="1" applyFill="1" applyBorder="1" applyAlignment="1">
      <alignment horizontal="center" vertical="center"/>
    </xf>
    <xf numFmtId="164" fontId="35" fillId="30" borderId="10" xfId="0" applyNumberFormat="1" applyFont="1" applyFill="1" applyBorder="1" applyAlignment="1">
      <alignment horizontal="center" vertical="center"/>
    </xf>
    <xf numFmtId="0" fontId="37" fillId="30" borderId="10" xfId="0" applyFont="1" applyFill="1" applyBorder="1" applyAlignment="1">
      <alignment horizontal="left" vertical="center"/>
    </xf>
    <xf numFmtId="0" fontId="36" fillId="31" borderId="10" xfId="0" applyFont="1" applyFill="1" applyBorder="1" applyAlignment="1">
      <alignment horizontal="center" vertical="center"/>
    </xf>
    <xf numFmtId="0" fontId="35" fillId="31" borderId="10" xfId="0" applyFont="1" applyFill="1" applyBorder="1" applyAlignment="1">
      <alignment horizontal="left" vertical="center"/>
    </xf>
    <xf numFmtId="0" fontId="34" fillId="28" borderId="10" xfId="0" applyFont="1" applyFill="1" applyBorder="1" applyAlignment="1">
      <alignment horizontal="left" vertical="center" wrapText="1"/>
    </xf>
    <xf numFmtId="0" fontId="35" fillId="28" borderId="10" xfId="0" applyFont="1" applyFill="1" applyBorder="1" applyAlignment="1">
      <alignment horizontal="left" vertical="center" wrapText="1"/>
    </xf>
    <xf numFmtId="0" fontId="35" fillId="30" borderId="10" xfId="0" applyFont="1" applyFill="1" applyBorder="1" applyAlignment="1">
      <alignment horizontal="left" vertical="center" wrapText="1"/>
    </xf>
    <xf numFmtId="0" fontId="2" fillId="3" borderId="9" xfId="0" applyFont="1" applyFill="1" applyBorder="1" applyAlignment="1">
      <alignment horizontal="left" vertical="center"/>
    </xf>
    <xf numFmtId="0" fontId="0" fillId="0" borderId="2" xfId="0" applyBorder="1"/>
    <xf numFmtId="0" fontId="0" fillId="0" borderId="3" xfId="0" applyBorder="1"/>
    <xf numFmtId="0" fontId="1" fillId="2" borderId="9" xfId="0" applyFont="1" applyFill="1" applyBorder="1" applyAlignment="1">
      <alignment horizontal="left" vertical="center"/>
    </xf>
    <xf numFmtId="0" fontId="15" fillId="6" borderId="4" xfId="0" applyFont="1" applyFill="1" applyBorder="1" applyAlignment="1">
      <alignment horizontal="center" vertical="center" wrapText="1"/>
    </xf>
    <xf numFmtId="0" fontId="0" fillId="0" borderId="5" xfId="0" applyBorder="1"/>
    <xf numFmtId="0" fontId="0" fillId="0" borderId="6" xfId="0" applyBorder="1"/>
    <xf numFmtId="0" fontId="15" fillId="13" borderId="4" xfId="0" applyFont="1" applyFill="1" applyBorder="1" applyAlignment="1">
      <alignment horizontal="center" vertical="center" wrapText="1"/>
    </xf>
    <xf numFmtId="0" fontId="16" fillId="0" borderId="0" xfId="0" applyFont="1" applyAlignment="1">
      <alignment horizontal="center" vertical="center"/>
    </xf>
    <xf numFmtId="0" fontId="0" fillId="0" borderId="0" xfId="0"/>
    <xf numFmtId="0" fontId="17" fillId="0" borderId="0" xfId="0" applyFont="1" applyAlignment="1">
      <alignment horizontal="left" vertical="center" indent="1"/>
    </xf>
    <xf numFmtId="0" fontId="15" fillId="11" borderId="4" xfId="0" applyFont="1" applyFill="1" applyBorder="1" applyAlignment="1">
      <alignment horizontal="center" vertical="center" wrapText="1"/>
    </xf>
    <xf numFmtId="0" fontId="15" fillId="14" borderId="4" xfId="0" applyFont="1" applyFill="1" applyBorder="1" applyAlignment="1">
      <alignment horizontal="center" vertical="center" wrapText="1"/>
    </xf>
    <xf numFmtId="0" fontId="15" fillId="15" borderId="4" xfId="0" applyFont="1" applyFill="1" applyBorder="1" applyAlignment="1">
      <alignment horizontal="center" vertical="center" wrapText="1"/>
    </xf>
    <xf numFmtId="0" fontId="3" fillId="4" borderId="0" xfId="0" applyFont="1" applyFill="1" applyAlignment="1">
      <alignment horizontal="left" vertical="center" indent="1"/>
    </xf>
    <xf numFmtId="0" fontId="15" fillId="8" borderId="4" xfId="0" applyFont="1" applyFill="1" applyBorder="1" applyAlignment="1">
      <alignment horizontal="center" vertical="center" wrapText="1"/>
    </xf>
    <xf numFmtId="0" fontId="15" fillId="15" borderId="0" xfId="0" applyFont="1" applyFill="1" applyAlignment="1">
      <alignment horizontal="center" vertical="center"/>
    </xf>
    <xf numFmtId="0" fontId="15" fillId="4" borderId="4" xfId="0" applyFont="1" applyFill="1" applyBorder="1" applyAlignment="1">
      <alignment horizontal="center" vertical="center" wrapText="1"/>
    </xf>
    <xf numFmtId="0" fontId="15" fillId="14" borderId="0" xfId="0" applyFont="1" applyFill="1" applyAlignment="1">
      <alignment horizontal="center" vertical="center"/>
    </xf>
    <xf numFmtId="0" fontId="1" fillId="2" borderId="0" xfId="0" applyFont="1" applyFill="1" applyAlignment="1">
      <alignment horizontal="left" vertical="center" indent="1"/>
    </xf>
    <xf numFmtId="0" fontId="3" fillId="2" borderId="0" xfId="0" applyFont="1" applyFill="1" applyAlignment="1">
      <alignment horizontal="left" vertical="center" indent="1"/>
    </xf>
    <xf numFmtId="0" fontId="18" fillId="0" borderId="0" xfId="0" applyFont="1" applyAlignment="1">
      <alignment horizontal="left" vertical="center" indent="1"/>
    </xf>
    <xf numFmtId="0" fontId="15" fillId="13" borderId="0" xfId="0" applyFont="1" applyFill="1" applyAlignment="1">
      <alignment horizontal="center" vertical="center"/>
    </xf>
    <xf numFmtId="0" fontId="15" fillId="8" borderId="0" xfId="0" applyFont="1" applyFill="1" applyAlignment="1">
      <alignment horizontal="center" vertical="center"/>
    </xf>
    <xf numFmtId="0" fontId="15" fillId="6" borderId="0" xfId="0" applyFont="1" applyFill="1" applyAlignment="1">
      <alignment horizontal="center" vertical="center"/>
    </xf>
    <xf numFmtId="0" fontId="15" fillId="11" borderId="0" xfId="0" applyFont="1" applyFill="1" applyAlignment="1">
      <alignment horizontal="center" vertical="center"/>
    </xf>
    <xf numFmtId="0" fontId="13" fillId="3" borderId="0" xfId="0" applyFont="1" applyFill="1" applyAlignment="1">
      <alignment horizontal="left" vertical="center" indent="1"/>
    </xf>
    <xf numFmtId="0" fontId="11" fillId="2" borderId="9" xfId="0" applyFont="1" applyFill="1" applyBorder="1" applyAlignment="1">
      <alignment horizontal="left" vertical="center"/>
    </xf>
  </cellXfs>
  <cellStyles count="1">
    <cellStyle name="Normal" xfId="0" builtinId="0"/>
  </cellStyles>
  <dxfs count="2">
    <dxf>
      <fill>
        <patternFill patternType="solid">
          <fgColor rgb="FFFEE2E2"/>
        </patternFill>
      </fill>
    </dxf>
    <dxf>
      <fill>
        <patternFill patternType="solid">
          <fgColor rgb="FFDCFCE7"/>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R122"/>
  <sheetViews>
    <sheetView tabSelected="1" workbookViewId="0">
      <pane xSplit="7" ySplit="4" topLeftCell="H5" activePane="bottomRight" state="frozen"/>
      <selection pane="topRight"/>
      <selection pane="bottomLeft"/>
      <selection pane="bottomRight" sqref="A1:Q1"/>
    </sheetView>
  </sheetViews>
  <sheetFormatPr defaultRowHeight="14.4" x14ac:dyDescent="0.55000000000000004"/>
  <cols>
    <col min="1" max="1" width="20" customWidth="1"/>
    <col min="2" max="2" width="44" customWidth="1"/>
    <col min="3" max="3" width="12" customWidth="1"/>
    <col min="4" max="4" width="10" customWidth="1"/>
    <col min="5" max="6" width="9" customWidth="1"/>
    <col min="7" max="7" width="40" customWidth="1"/>
    <col min="8" max="17" width="5.41796875" customWidth="1"/>
    <col min="18" max="18" width="13" hidden="1" customWidth="1"/>
  </cols>
  <sheetData>
    <row r="1" spans="1:18" ht="30" customHeight="1" x14ac:dyDescent="0.55000000000000004">
      <c r="A1" s="111" t="s">
        <v>0</v>
      </c>
      <c r="B1" s="109"/>
      <c r="C1" s="109"/>
      <c r="D1" s="109"/>
      <c r="E1" s="109"/>
      <c r="F1" s="109"/>
      <c r="G1" s="109"/>
      <c r="H1" s="109"/>
      <c r="I1" s="109"/>
      <c r="J1" s="109"/>
      <c r="K1" s="109"/>
      <c r="L1" s="109"/>
      <c r="M1" s="109"/>
      <c r="N1" s="109"/>
      <c r="O1" s="109"/>
      <c r="P1" s="109"/>
      <c r="Q1" s="110"/>
    </row>
    <row r="2" spans="1:18" ht="18" customHeight="1" x14ac:dyDescent="0.55000000000000004">
      <c r="A2" s="108" t="s">
        <v>1</v>
      </c>
      <c r="B2" s="109"/>
      <c r="C2" s="109"/>
      <c r="D2" s="109"/>
      <c r="E2" s="109"/>
      <c r="F2" s="109"/>
      <c r="G2" s="109"/>
      <c r="H2" s="109"/>
      <c r="I2" s="109"/>
      <c r="J2" s="109"/>
      <c r="K2" s="109"/>
      <c r="L2" s="109"/>
      <c r="M2" s="109"/>
      <c r="N2" s="109"/>
      <c r="O2" s="109"/>
      <c r="P2" s="109"/>
      <c r="Q2" s="110"/>
    </row>
    <row r="4" spans="1:18" x14ac:dyDescent="0.55000000000000004">
      <c r="A4" s="1" t="s">
        <v>2</v>
      </c>
      <c r="B4" s="1" t="s">
        <v>3</v>
      </c>
      <c r="C4" s="1" t="s">
        <v>4</v>
      </c>
      <c r="D4" s="1" t="s">
        <v>5</v>
      </c>
      <c r="E4" s="1" t="s">
        <v>6</v>
      </c>
      <c r="F4" s="1" t="s">
        <v>7</v>
      </c>
      <c r="G4" s="1" t="s">
        <v>8</v>
      </c>
      <c r="H4" s="2" t="s">
        <v>9</v>
      </c>
      <c r="I4" s="2" t="s">
        <v>10</v>
      </c>
      <c r="J4" s="2" t="s">
        <v>11</v>
      </c>
      <c r="K4" s="2" t="s">
        <v>12</v>
      </c>
      <c r="L4" s="2" t="s">
        <v>13</v>
      </c>
      <c r="M4" s="2" t="s">
        <v>14</v>
      </c>
      <c r="N4" s="2" t="s">
        <v>15</v>
      </c>
      <c r="O4" s="2" t="s">
        <v>16</v>
      </c>
      <c r="P4" s="2" t="s">
        <v>17</v>
      </c>
      <c r="Q4" s="2" t="s">
        <v>18</v>
      </c>
      <c r="R4" s="42" t="s">
        <v>19</v>
      </c>
    </row>
    <row r="5" spans="1:18" x14ac:dyDescent="0.55000000000000004">
      <c r="A5" s="3" t="s">
        <v>20</v>
      </c>
      <c r="B5" s="4" t="s">
        <v>21</v>
      </c>
      <c r="C5" s="5" t="s">
        <v>22</v>
      </c>
      <c r="D5" s="6" t="s">
        <v>23</v>
      </c>
      <c r="E5" s="7">
        <v>46231</v>
      </c>
      <c r="F5" s="7">
        <v>46231</v>
      </c>
      <c r="G5" s="8" t="s">
        <v>24</v>
      </c>
      <c r="H5" s="9"/>
      <c r="I5" s="10"/>
      <c r="J5" s="10"/>
      <c r="K5" s="10"/>
      <c r="L5" s="10"/>
      <c r="M5" s="10"/>
      <c r="N5" s="10"/>
      <c r="O5" s="10"/>
      <c r="P5" s="10"/>
      <c r="Q5" s="10"/>
      <c r="R5" t="str">
        <f>$A5</f>
        <v>E1 Foundation</v>
      </c>
    </row>
    <row r="6" spans="1:18" x14ac:dyDescent="0.55000000000000004">
      <c r="A6" s="11"/>
      <c r="B6" s="11" t="s">
        <v>25</v>
      </c>
      <c r="C6" s="5" t="s">
        <v>22</v>
      </c>
      <c r="D6" s="12" t="s">
        <v>23</v>
      </c>
      <c r="E6" s="13">
        <v>46231</v>
      </c>
      <c r="F6" s="13">
        <v>46232</v>
      </c>
      <c r="G6" s="14" t="s">
        <v>26</v>
      </c>
      <c r="H6" s="9"/>
      <c r="I6" s="15"/>
      <c r="J6" s="15"/>
      <c r="K6" s="15"/>
      <c r="L6" s="15"/>
      <c r="M6" s="15"/>
      <c r="N6" s="15"/>
      <c r="O6" s="15"/>
      <c r="P6" s="15"/>
      <c r="Q6" s="15"/>
      <c r="R6" t="str">
        <f t="shared" ref="R6:R37" si="0">IF($A6&lt;&gt;"",$A6,R5)</f>
        <v>E1 Foundation</v>
      </c>
    </row>
    <row r="7" spans="1:18" x14ac:dyDescent="0.55000000000000004">
      <c r="A7" s="4"/>
      <c r="B7" s="4" t="s">
        <v>27</v>
      </c>
      <c r="C7" s="5" t="s">
        <v>22</v>
      </c>
      <c r="D7" s="6" t="s">
        <v>23</v>
      </c>
      <c r="E7" s="7">
        <v>46231</v>
      </c>
      <c r="F7" s="7">
        <v>46231</v>
      </c>
      <c r="G7" s="8" t="s">
        <v>28</v>
      </c>
      <c r="H7" s="9"/>
      <c r="I7" s="10"/>
      <c r="J7" s="10"/>
      <c r="K7" s="10"/>
      <c r="L7" s="10"/>
      <c r="M7" s="10"/>
      <c r="N7" s="10"/>
      <c r="O7" s="10"/>
      <c r="P7" s="10"/>
      <c r="Q7" s="10"/>
      <c r="R7" t="str">
        <f t="shared" si="0"/>
        <v>E1 Foundation</v>
      </c>
    </row>
    <row r="8" spans="1:18" x14ac:dyDescent="0.55000000000000004">
      <c r="A8" s="11"/>
      <c r="B8" s="11" t="s">
        <v>29</v>
      </c>
      <c r="C8" s="5" t="s">
        <v>22</v>
      </c>
      <c r="D8" s="12" t="s">
        <v>23</v>
      </c>
      <c r="E8" s="13">
        <v>46233</v>
      </c>
      <c r="F8" s="13">
        <v>46233</v>
      </c>
      <c r="G8" s="14" t="s">
        <v>30</v>
      </c>
      <c r="H8" s="9"/>
      <c r="I8" s="15"/>
      <c r="J8" s="15"/>
      <c r="K8" s="15"/>
      <c r="L8" s="15"/>
      <c r="M8" s="15"/>
      <c r="N8" s="15"/>
      <c r="O8" s="15"/>
      <c r="P8" s="15"/>
      <c r="Q8" s="15"/>
      <c r="R8" t="str">
        <f t="shared" si="0"/>
        <v>E1 Foundation</v>
      </c>
    </row>
    <row r="9" spans="1:18" x14ac:dyDescent="0.55000000000000004">
      <c r="A9" s="3" t="s">
        <v>31</v>
      </c>
      <c r="B9" s="4" t="s">
        <v>32</v>
      </c>
      <c r="C9" s="5" t="s">
        <v>22</v>
      </c>
      <c r="D9" s="6" t="s">
        <v>33</v>
      </c>
      <c r="E9" s="7">
        <v>46231</v>
      </c>
      <c r="F9" s="7">
        <v>46231</v>
      </c>
      <c r="G9" s="8" t="s">
        <v>34</v>
      </c>
      <c r="H9" s="9"/>
      <c r="I9" s="10"/>
      <c r="J9" s="10"/>
      <c r="K9" s="10"/>
      <c r="L9" s="10"/>
      <c r="M9" s="10"/>
      <c r="N9" s="10"/>
      <c r="O9" s="10"/>
      <c r="P9" s="10"/>
      <c r="Q9" s="10"/>
      <c r="R9" t="str">
        <f t="shared" si="0"/>
        <v>E2 Ingestion</v>
      </c>
    </row>
    <row r="10" spans="1:18" x14ac:dyDescent="0.55000000000000004">
      <c r="A10" s="11"/>
      <c r="B10" s="11" t="s">
        <v>35</v>
      </c>
      <c r="C10" s="5" t="s">
        <v>22</v>
      </c>
      <c r="D10" s="12" t="s">
        <v>33</v>
      </c>
      <c r="E10" s="13">
        <v>46232</v>
      </c>
      <c r="F10" s="13">
        <v>46232</v>
      </c>
      <c r="G10" s="14" t="s">
        <v>36</v>
      </c>
      <c r="H10" s="9"/>
      <c r="I10" s="15"/>
      <c r="J10" s="15"/>
      <c r="K10" s="15"/>
      <c r="L10" s="15"/>
      <c r="M10" s="15"/>
      <c r="N10" s="15"/>
      <c r="O10" s="15"/>
      <c r="P10" s="15"/>
      <c r="Q10" s="15"/>
      <c r="R10" t="str">
        <f t="shared" si="0"/>
        <v>E2 Ingestion</v>
      </c>
    </row>
    <row r="11" spans="1:18" x14ac:dyDescent="0.55000000000000004">
      <c r="A11" s="4"/>
      <c r="B11" s="4" t="s">
        <v>37</v>
      </c>
      <c r="C11" s="5" t="s">
        <v>22</v>
      </c>
      <c r="D11" s="6" t="s">
        <v>33</v>
      </c>
      <c r="E11" s="7">
        <v>46232</v>
      </c>
      <c r="F11" s="7">
        <v>46233</v>
      </c>
      <c r="G11" s="8" t="s">
        <v>38</v>
      </c>
      <c r="H11" s="9"/>
      <c r="I11" s="10"/>
      <c r="J11" s="10"/>
      <c r="K11" s="10"/>
      <c r="L11" s="10"/>
      <c r="M11" s="10"/>
      <c r="N11" s="10"/>
      <c r="O11" s="10"/>
      <c r="P11" s="10"/>
      <c r="Q11" s="10"/>
      <c r="R11" t="str">
        <f t="shared" si="0"/>
        <v>E2 Ingestion</v>
      </c>
    </row>
    <row r="12" spans="1:18" x14ac:dyDescent="0.55000000000000004">
      <c r="A12" s="11"/>
      <c r="B12" s="11" t="s">
        <v>39</v>
      </c>
      <c r="C12" s="5" t="s">
        <v>22</v>
      </c>
      <c r="D12" s="12" t="s">
        <v>33</v>
      </c>
      <c r="E12" s="13">
        <v>46233</v>
      </c>
      <c r="F12" s="13">
        <v>46234</v>
      </c>
      <c r="G12" s="14" t="s">
        <v>40</v>
      </c>
      <c r="H12" s="9"/>
      <c r="I12" s="15"/>
      <c r="J12" s="15"/>
      <c r="K12" s="15"/>
      <c r="L12" s="15"/>
      <c r="M12" s="15"/>
      <c r="N12" s="15"/>
      <c r="O12" s="15"/>
      <c r="P12" s="15"/>
      <c r="Q12" s="15"/>
      <c r="R12" t="str">
        <f t="shared" si="0"/>
        <v>E2 Ingestion</v>
      </c>
    </row>
    <row r="13" spans="1:18" x14ac:dyDescent="0.55000000000000004">
      <c r="A13" s="4"/>
      <c r="B13" s="4" t="s">
        <v>41</v>
      </c>
      <c r="C13" s="5" t="s">
        <v>22</v>
      </c>
      <c r="D13" s="6" t="s">
        <v>33</v>
      </c>
      <c r="E13" s="7">
        <v>46236</v>
      </c>
      <c r="F13" s="7">
        <v>46237</v>
      </c>
      <c r="G13" s="8" t="s">
        <v>42</v>
      </c>
      <c r="H13" s="9"/>
      <c r="I13" s="9"/>
      <c r="J13" s="10"/>
      <c r="K13" s="10"/>
      <c r="L13" s="10"/>
      <c r="M13" s="10"/>
      <c r="N13" s="10"/>
      <c r="O13" s="10"/>
      <c r="P13" s="10"/>
      <c r="Q13" s="10"/>
      <c r="R13" t="str">
        <f t="shared" si="0"/>
        <v>E2 Ingestion</v>
      </c>
    </row>
    <row r="14" spans="1:18" x14ac:dyDescent="0.55000000000000004">
      <c r="A14" s="16" t="s">
        <v>43</v>
      </c>
      <c r="B14" s="11" t="s">
        <v>44</v>
      </c>
      <c r="C14" s="5" t="s">
        <v>22</v>
      </c>
      <c r="D14" s="12" t="s">
        <v>45</v>
      </c>
      <c r="E14" s="13">
        <v>46231</v>
      </c>
      <c r="F14" s="13">
        <v>46232</v>
      </c>
      <c r="G14" s="14" t="s">
        <v>46</v>
      </c>
      <c r="H14" s="9"/>
      <c r="I14" s="15"/>
      <c r="J14" s="15"/>
      <c r="K14" s="15"/>
      <c r="L14" s="15"/>
      <c r="M14" s="15"/>
      <c r="N14" s="15"/>
      <c r="O14" s="15"/>
      <c r="P14" s="15"/>
      <c r="Q14" s="15"/>
      <c r="R14" t="str">
        <f t="shared" si="0"/>
        <v>E3 ML NBA</v>
      </c>
    </row>
    <row r="15" spans="1:18" x14ac:dyDescent="0.55000000000000004">
      <c r="A15" s="4"/>
      <c r="B15" s="4" t="s">
        <v>47</v>
      </c>
      <c r="C15" s="5" t="s">
        <v>22</v>
      </c>
      <c r="D15" s="6" t="s">
        <v>45</v>
      </c>
      <c r="E15" s="7">
        <v>46232</v>
      </c>
      <c r="F15" s="7">
        <v>46232</v>
      </c>
      <c r="G15" s="8" t="s">
        <v>48</v>
      </c>
      <c r="H15" s="9"/>
      <c r="I15" s="10"/>
      <c r="J15" s="10"/>
      <c r="K15" s="10"/>
      <c r="L15" s="10"/>
      <c r="M15" s="10"/>
      <c r="N15" s="10"/>
      <c r="O15" s="10"/>
      <c r="P15" s="10"/>
      <c r="Q15" s="10"/>
      <c r="R15" t="str">
        <f t="shared" si="0"/>
        <v>E3 ML NBA</v>
      </c>
    </row>
    <row r="16" spans="1:18" x14ac:dyDescent="0.55000000000000004">
      <c r="A16" s="11"/>
      <c r="B16" s="11" t="s">
        <v>49</v>
      </c>
      <c r="C16" s="5" t="s">
        <v>22</v>
      </c>
      <c r="D16" s="12" t="s">
        <v>45</v>
      </c>
      <c r="E16" s="13">
        <v>46232</v>
      </c>
      <c r="F16" s="13">
        <v>46233</v>
      </c>
      <c r="G16" s="14" t="s">
        <v>50</v>
      </c>
      <c r="H16" s="9"/>
      <c r="I16" s="15"/>
      <c r="J16" s="15"/>
      <c r="K16" s="15"/>
      <c r="L16" s="15"/>
      <c r="M16" s="15"/>
      <c r="N16" s="15"/>
      <c r="O16" s="15"/>
      <c r="P16" s="15"/>
      <c r="Q16" s="15"/>
      <c r="R16" t="str">
        <f t="shared" si="0"/>
        <v>E3 ML NBA</v>
      </c>
    </row>
    <row r="17" spans="1:18" x14ac:dyDescent="0.55000000000000004">
      <c r="A17" s="3" t="s">
        <v>51</v>
      </c>
      <c r="B17" s="4" t="s">
        <v>52</v>
      </c>
      <c r="C17" s="5" t="s">
        <v>22</v>
      </c>
      <c r="D17" s="6" t="s">
        <v>45</v>
      </c>
      <c r="E17" s="7">
        <v>46232</v>
      </c>
      <c r="F17" s="7">
        <v>46233</v>
      </c>
      <c r="G17" s="8" t="s">
        <v>53</v>
      </c>
      <c r="H17" s="9"/>
      <c r="I17" s="10"/>
      <c r="J17" s="10"/>
      <c r="K17" s="10"/>
      <c r="L17" s="10"/>
      <c r="M17" s="10"/>
      <c r="N17" s="10"/>
      <c r="O17" s="10"/>
      <c r="P17" s="10"/>
      <c r="Q17" s="10"/>
      <c r="R17" t="str">
        <f t="shared" si="0"/>
        <v>E4 ML Football</v>
      </c>
    </row>
    <row r="18" spans="1:18" x14ac:dyDescent="0.55000000000000004">
      <c r="A18" s="11"/>
      <c r="B18" s="11" t="s">
        <v>54</v>
      </c>
      <c r="C18" s="5" t="s">
        <v>22</v>
      </c>
      <c r="D18" s="12" t="s">
        <v>45</v>
      </c>
      <c r="E18" s="13">
        <v>46233</v>
      </c>
      <c r="F18" s="13">
        <v>46233</v>
      </c>
      <c r="G18" s="14" t="s">
        <v>55</v>
      </c>
      <c r="H18" s="9"/>
      <c r="I18" s="15"/>
      <c r="J18" s="15"/>
      <c r="K18" s="15"/>
      <c r="L18" s="15"/>
      <c r="M18" s="15"/>
      <c r="N18" s="15"/>
      <c r="O18" s="15"/>
      <c r="P18" s="15"/>
      <c r="Q18" s="15"/>
      <c r="R18" t="str">
        <f t="shared" si="0"/>
        <v>E4 ML Football</v>
      </c>
    </row>
    <row r="19" spans="1:18" x14ac:dyDescent="0.55000000000000004">
      <c r="A19" s="4"/>
      <c r="B19" s="4" t="s">
        <v>56</v>
      </c>
      <c r="C19" s="5" t="s">
        <v>22</v>
      </c>
      <c r="D19" s="6" t="s">
        <v>45</v>
      </c>
      <c r="E19" s="7">
        <v>46233</v>
      </c>
      <c r="F19" s="7">
        <v>46233</v>
      </c>
      <c r="G19" s="8" t="s">
        <v>57</v>
      </c>
      <c r="H19" s="9"/>
      <c r="I19" s="10"/>
      <c r="J19" s="10"/>
      <c r="K19" s="10"/>
      <c r="L19" s="10"/>
      <c r="M19" s="10"/>
      <c r="N19" s="10"/>
      <c r="O19" s="10"/>
      <c r="P19" s="10"/>
      <c r="Q19" s="10"/>
      <c r="R19" t="str">
        <f t="shared" si="0"/>
        <v>E4 ML Football</v>
      </c>
    </row>
    <row r="20" spans="1:18" x14ac:dyDescent="0.55000000000000004">
      <c r="A20" s="11"/>
      <c r="B20" s="11" t="s">
        <v>58</v>
      </c>
      <c r="C20" s="5" t="s">
        <v>22</v>
      </c>
      <c r="D20" s="12" t="s">
        <v>45</v>
      </c>
      <c r="E20" s="13">
        <v>46236</v>
      </c>
      <c r="F20" s="13">
        <v>46236</v>
      </c>
      <c r="G20" s="14" t="s">
        <v>59</v>
      </c>
      <c r="H20" s="9"/>
      <c r="I20" s="15"/>
      <c r="J20" s="15"/>
      <c r="K20" s="15"/>
      <c r="L20" s="15"/>
      <c r="M20" s="15"/>
      <c r="N20" s="15"/>
      <c r="O20" s="15"/>
      <c r="P20" s="15"/>
      <c r="Q20" s="15"/>
      <c r="R20" t="str">
        <f t="shared" si="0"/>
        <v>E4 ML Football</v>
      </c>
    </row>
    <row r="21" spans="1:18" x14ac:dyDescent="0.55000000000000004">
      <c r="A21" s="4"/>
      <c r="B21" s="4" t="s">
        <v>60</v>
      </c>
      <c r="C21" s="5" t="s">
        <v>22</v>
      </c>
      <c r="D21" s="6" t="s">
        <v>45</v>
      </c>
      <c r="E21" s="7">
        <v>46234</v>
      </c>
      <c r="F21" s="7">
        <v>46234</v>
      </c>
      <c r="G21" s="8" t="s">
        <v>61</v>
      </c>
      <c r="H21" s="9"/>
      <c r="I21" s="10"/>
      <c r="J21" s="10"/>
      <c r="K21" s="10"/>
      <c r="L21" s="10"/>
      <c r="M21" s="10"/>
      <c r="N21" s="10"/>
      <c r="O21" s="10"/>
      <c r="P21" s="10"/>
      <c r="Q21" s="10"/>
      <c r="R21" t="str">
        <f t="shared" si="0"/>
        <v>E4 ML Football</v>
      </c>
    </row>
    <row r="22" spans="1:18" x14ac:dyDescent="0.55000000000000004">
      <c r="A22" s="16" t="s">
        <v>62</v>
      </c>
      <c r="B22" s="11" t="s">
        <v>63</v>
      </c>
      <c r="C22" s="5" t="s">
        <v>22</v>
      </c>
      <c r="D22" s="12" t="s">
        <v>45</v>
      </c>
      <c r="E22" s="13">
        <v>46235</v>
      </c>
      <c r="F22" s="13">
        <v>46235</v>
      </c>
      <c r="G22" s="14" t="s">
        <v>64</v>
      </c>
      <c r="H22" s="9"/>
      <c r="I22" s="15"/>
      <c r="J22" s="15"/>
      <c r="K22" s="15"/>
      <c r="L22" s="15"/>
      <c r="M22" s="15"/>
      <c r="N22" s="15"/>
      <c r="O22" s="15"/>
      <c r="P22" s="15"/>
      <c r="Q22" s="15"/>
      <c r="R22" t="str">
        <f t="shared" si="0"/>
        <v>E5 ML Tennis</v>
      </c>
    </row>
    <row r="23" spans="1:18" x14ac:dyDescent="0.55000000000000004">
      <c r="A23" s="4"/>
      <c r="B23" s="4" t="s">
        <v>65</v>
      </c>
      <c r="C23" s="5" t="s">
        <v>22</v>
      </c>
      <c r="D23" s="6" t="s">
        <v>45</v>
      </c>
      <c r="E23" s="7">
        <v>46235</v>
      </c>
      <c r="F23" s="7">
        <v>46235</v>
      </c>
      <c r="G23" s="8" t="s">
        <v>66</v>
      </c>
      <c r="H23" s="9"/>
      <c r="I23" s="10"/>
      <c r="J23" s="10"/>
      <c r="K23" s="10"/>
      <c r="L23" s="10"/>
      <c r="M23" s="10"/>
      <c r="N23" s="10"/>
      <c r="O23" s="10"/>
      <c r="P23" s="10"/>
      <c r="Q23" s="10"/>
      <c r="R23" t="str">
        <f t="shared" si="0"/>
        <v>E5 ML Tennis</v>
      </c>
    </row>
    <row r="24" spans="1:18" x14ac:dyDescent="0.55000000000000004">
      <c r="A24" s="11"/>
      <c r="B24" s="11" t="s">
        <v>67</v>
      </c>
      <c r="C24" s="5" t="s">
        <v>22</v>
      </c>
      <c r="D24" s="12" t="s">
        <v>45</v>
      </c>
      <c r="E24" s="13">
        <v>46235</v>
      </c>
      <c r="F24" s="13">
        <v>46235</v>
      </c>
      <c r="G24" s="14" t="s">
        <v>68</v>
      </c>
      <c r="H24" s="9"/>
      <c r="I24" s="15"/>
      <c r="J24" s="15"/>
      <c r="K24" s="15"/>
      <c r="L24" s="15"/>
      <c r="M24" s="15"/>
      <c r="N24" s="15"/>
      <c r="O24" s="15"/>
      <c r="P24" s="15"/>
      <c r="Q24" s="15"/>
      <c r="R24" t="str">
        <f t="shared" si="0"/>
        <v>E5 ML Tennis</v>
      </c>
    </row>
    <row r="25" spans="1:18" x14ac:dyDescent="0.55000000000000004">
      <c r="A25" s="4"/>
      <c r="B25" s="4" t="s">
        <v>69</v>
      </c>
      <c r="C25" s="5" t="s">
        <v>22</v>
      </c>
      <c r="D25" s="6" t="s">
        <v>45</v>
      </c>
      <c r="E25" s="7">
        <v>46236</v>
      </c>
      <c r="F25" s="7">
        <v>46236</v>
      </c>
      <c r="G25" s="8" t="s">
        <v>70</v>
      </c>
      <c r="H25" s="9"/>
      <c r="I25" s="10"/>
      <c r="J25" s="10"/>
      <c r="K25" s="10"/>
      <c r="L25" s="10"/>
      <c r="M25" s="10"/>
      <c r="N25" s="10"/>
      <c r="O25" s="10"/>
      <c r="P25" s="10"/>
      <c r="Q25" s="10"/>
      <c r="R25" t="str">
        <f t="shared" si="0"/>
        <v>E5 ML Tennis</v>
      </c>
    </row>
    <row r="26" spans="1:18" x14ac:dyDescent="0.55000000000000004">
      <c r="A26" s="11"/>
      <c r="B26" s="11" t="s">
        <v>71</v>
      </c>
      <c r="C26" s="5" t="s">
        <v>22</v>
      </c>
      <c r="D26" s="12" t="s">
        <v>33</v>
      </c>
      <c r="E26" s="13">
        <v>46237</v>
      </c>
      <c r="F26" s="13">
        <v>46237</v>
      </c>
      <c r="G26" s="14" t="s">
        <v>72</v>
      </c>
      <c r="H26" s="15"/>
      <c r="I26" s="9"/>
      <c r="J26" s="15"/>
      <c r="K26" s="15"/>
      <c r="L26" s="15"/>
      <c r="M26" s="15"/>
      <c r="N26" s="15"/>
      <c r="O26" s="15"/>
      <c r="P26" s="15"/>
      <c r="Q26" s="15"/>
      <c r="R26" t="str">
        <f t="shared" si="0"/>
        <v>E5 ML Tennis</v>
      </c>
    </row>
    <row r="27" spans="1:18" x14ac:dyDescent="0.55000000000000004">
      <c r="A27" s="3" t="s">
        <v>73</v>
      </c>
      <c r="B27" s="4" t="s">
        <v>74</v>
      </c>
      <c r="C27" s="5" t="s">
        <v>22</v>
      </c>
      <c r="D27" s="6" t="s">
        <v>75</v>
      </c>
      <c r="E27" s="7">
        <v>46232</v>
      </c>
      <c r="F27" s="7">
        <v>46233</v>
      </c>
      <c r="G27" s="8" t="s">
        <v>76</v>
      </c>
      <c r="H27" s="9"/>
      <c r="I27" s="10"/>
      <c r="J27" s="10"/>
      <c r="K27" s="10"/>
      <c r="L27" s="10"/>
      <c r="M27" s="10"/>
      <c r="N27" s="10"/>
      <c r="O27" s="10"/>
      <c r="P27" s="10"/>
      <c r="Q27" s="10"/>
      <c r="R27" t="str">
        <f t="shared" si="0"/>
        <v>E6 Picks</v>
      </c>
    </row>
    <row r="28" spans="1:18" x14ac:dyDescent="0.55000000000000004">
      <c r="A28" s="11"/>
      <c r="B28" s="11" t="s">
        <v>77</v>
      </c>
      <c r="C28" s="5" t="s">
        <v>22</v>
      </c>
      <c r="D28" s="12" t="s">
        <v>75</v>
      </c>
      <c r="E28" s="13">
        <v>46234</v>
      </c>
      <c r="F28" s="13">
        <v>46235</v>
      </c>
      <c r="G28" s="14" t="s">
        <v>78</v>
      </c>
      <c r="H28" s="9"/>
      <c r="I28" s="15"/>
      <c r="J28" s="15"/>
      <c r="K28" s="15"/>
      <c r="L28" s="15"/>
      <c r="M28" s="15"/>
      <c r="N28" s="15"/>
      <c r="O28" s="15"/>
      <c r="P28" s="15"/>
      <c r="Q28" s="15"/>
      <c r="R28" t="str">
        <f t="shared" si="0"/>
        <v>E6 Picks</v>
      </c>
    </row>
    <row r="29" spans="1:18" x14ac:dyDescent="0.55000000000000004">
      <c r="A29" s="4"/>
      <c r="B29" s="4" t="s">
        <v>79</v>
      </c>
      <c r="C29" s="5" t="s">
        <v>22</v>
      </c>
      <c r="D29" s="6" t="s">
        <v>75</v>
      </c>
      <c r="E29" s="7">
        <v>46236</v>
      </c>
      <c r="F29" s="7">
        <v>46236</v>
      </c>
      <c r="G29" s="8" t="s">
        <v>80</v>
      </c>
      <c r="H29" s="9"/>
      <c r="I29" s="10"/>
      <c r="J29" s="10"/>
      <c r="K29" s="10"/>
      <c r="L29" s="10"/>
      <c r="M29" s="10"/>
      <c r="N29" s="10"/>
      <c r="O29" s="10"/>
      <c r="P29" s="10"/>
      <c r="Q29" s="10"/>
      <c r="R29" t="str">
        <f t="shared" si="0"/>
        <v>E6 Picks</v>
      </c>
    </row>
    <row r="30" spans="1:18" x14ac:dyDescent="0.55000000000000004">
      <c r="A30" s="11"/>
      <c r="B30" s="11" t="s">
        <v>81</v>
      </c>
      <c r="C30" s="5" t="s">
        <v>22</v>
      </c>
      <c r="D30" s="12" t="s">
        <v>75</v>
      </c>
      <c r="E30" s="13">
        <v>46236</v>
      </c>
      <c r="F30" s="13">
        <v>46236</v>
      </c>
      <c r="G30" s="14" t="s">
        <v>82</v>
      </c>
      <c r="H30" s="9"/>
      <c r="I30" s="15"/>
      <c r="J30" s="15"/>
      <c r="K30" s="15"/>
      <c r="L30" s="15"/>
      <c r="M30" s="15"/>
      <c r="N30" s="15"/>
      <c r="O30" s="15"/>
      <c r="P30" s="15"/>
      <c r="Q30" s="15"/>
      <c r="R30" t="str">
        <f t="shared" si="0"/>
        <v>E6 Picks</v>
      </c>
    </row>
    <row r="31" spans="1:18" x14ac:dyDescent="0.55000000000000004">
      <c r="A31" s="3" t="s">
        <v>83</v>
      </c>
      <c r="B31" s="4" t="s">
        <v>84</v>
      </c>
      <c r="C31" s="5" t="s">
        <v>22</v>
      </c>
      <c r="D31" s="6" t="s">
        <v>85</v>
      </c>
      <c r="E31" s="7">
        <v>46233</v>
      </c>
      <c r="F31" s="7">
        <v>46234</v>
      </c>
      <c r="G31" s="8" t="s">
        <v>86</v>
      </c>
      <c r="H31" s="9"/>
      <c r="I31" s="10"/>
      <c r="J31" s="10"/>
      <c r="K31" s="10"/>
      <c r="L31" s="10"/>
      <c r="M31" s="10"/>
      <c r="N31" s="10"/>
      <c r="O31" s="10"/>
      <c r="P31" s="10"/>
      <c r="Q31" s="10"/>
      <c r="R31" t="str">
        <f t="shared" si="0"/>
        <v>E7 Mobile</v>
      </c>
    </row>
    <row r="32" spans="1:18" x14ac:dyDescent="0.55000000000000004">
      <c r="A32" s="11"/>
      <c r="B32" s="11" t="s">
        <v>87</v>
      </c>
      <c r="C32" s="5" t="s">
        <v>22</v>
      </c>
      <c r="D32" s="12" t="s">
        <v>85</v>
      </c>
      <c r="E32" s="13">
        <v>46234</v>
      </c>
      <c r="F32" s="13">
        <v>46234</v>
      </c>
      <c r="G32" s="14" t="s">
        <v>88</v>
      </c>
      <c r="H32" s="9"/>
      <c r="I32" s="15"/>
      <c r="J32" s="15"/>
      <c r="K32" s="15"/>
      <c r="L32" s="15"/>
      <c r="M32" s="15"/>
      <c r="N32" s="15"/>
      <c r="O32" s="15"/>
      <c r="P32" s="15"/>
      <c r="Q32" s="15"/>
      <c r="R32" t="str">
        <f t="shared" si="0"/>
        <v>E7 Mobile</v>
      </c>
    </row>
    <row r="33" spans="1:18" x14ac:dyDescent="0.55000000000000004">
      <c r="A33" s="4"/>
      <c r="B33" s="4" t="s">
        <v>89</v>
      </c>
      <c r="C33" s="5" t="s">
        <v>22</v>
      </c>
      <c r="D33" s="6" t="s">
        <v>85</v>
      </c>
      <c r="E33" s="7">
        <v>46235</v>
      </c>
      <c r="F33" s="7">
        <v>46236</v>
      </c>
      <c r="G33" s="8" t="s">
        <v>90</v>
      </c>
      <c r="H33" s="9"/>
      <c r="I33" s="10"/>
      <c r="J33" s="10"/>
      <c r="K33" s="10"/>
      <c r="L33" s="10"/>
      <c r="M33" s="10"/>
      <c r="N33" s="10"/>
      <c r="O33" s="10"/>
      <c r="P33" s="10"/>
      <c r="Q33" s="10"/>
      <c r="R33" t="str">
        <f t="shared" si="0"/>
        <v>E7 Mobile</v>
      </c>
    </row>
    <row r="34" spans="1:18" x14ac:dyDescent="0.55000000000000004">
      <c r="A34" s="11"/>
      <c r="B34" s="11" t="s">
        <v>91</v>
      </c>
      <c r="C34" s="5" t="s">
        <v>22</v>
      </c>
      <c r="D34" s="12" t="s">
        <v>85</v>
      </c>
      <c r="E34" s="13">
        <v>46237</v>
      </c>
      <c r="F34" s="13">
        <v>46237</v>
      </c>
      <c r="G34" s="14" t="s">
        <v>92</v>
      </c>
      <c r="H34" s="15"/>
      <c r="I34" s="9"/>
      <c r="J34" s="15"/>
      <c r="K34" s="15"/>
      <c r="L34" s="15"/>
      <c r="M34" s="15"/>
      <c r="N34" s="15"/>
      <c r="O34" s="15"/>
      <c r="P34" s="15"/>
      <c r="Q34" s="15"/>
      <c r="R34" t="str">
        <f t="shared" si="0"/>
        <v>E7 Mobile</v>
      </c>
    </row>
    <row r="35" spans="1:18" x14ac:dyDescent="0.55000000000000004">
      <c r="A35" s="4"/>
      <c r="B35" s="4" t="s">
        <v>93</v>
      </c>
      <c r="C35" s="5" t="s">
        <v>22</v>
      </c>
      <c r="D35" s="6" t="s">
        <v>85</v>
      </c>
      <c r="E35" s="7">
        <v>46237</v>
      </c>
      <c r="F35" s="7">
        <v>46237</v>
      </c>
      <c r="G35" s="8" t="s">
        <v>94</v>
      </c>
      <c r="H35" s="10"/>
      <c r="I35" s="9"/>
      <c r="J35" s="10"/>
      <c r="K35" s="10"/>
      <c r="L35" s="10"/>
      <c r="M35" s="10"/>
      <c r="N35" s="10"/>
      <c r="O35" s="10"/>
      <c r="P35" s="10"/>
      <c r="Q35" s="10"/>
      <c r="R35" t="str">
        <f t="shared" si="0"/>
        <v>E7 Mobile</v>
      </c>
    </row>
    <row r="36" spans="1:18" x14ac:dyDescent="0.55000000000000004">
      <c r="A36" s="11"/>
      <c r="B36" s="11" t="s">
        <v>95</v>
      </c>
      <c r="C36" s="5" t="s">
        <v>22</v>
      </c>
      <c r="D36" s="12" t="s">
        <v>85</v>
      </c>
      <c r="E36" s="13">
        <v>46238</v>
      </c>
      <c r="F36" s="13">
        <v>46238</v>
      </c>
      <c r="G36" s="14" t="s">
        <v>96</v>
      </c>
      <c r="H36" s="15"/>
      <c r="I36" s="9"/>
      <c r="J36" s="15"/>
      <c r="K36" s="15"/>
      <c r="L36" s="15"/>
      <c r="M36" s="15"/>
      <c r="N36" s="15"/>
      <c r="O36" s="15"/>
      <c r="P36" s="15"/>
      <c r="Q36" s="15"/>
      <c r="R36" t="str">
        <f t="shared" si="0"/>
        <v>E7 Mobile</v>
      </c>
    </row>
    <row r="37" spans="1:18" x14ac:dyDescent="0.55000000000000004">
      <c r="A37" s="4"/>
      <c r="B37" s="4" t="s">
        <v>97</v>
      </c>
      <c r="C37" s="5" t="s">
        <v>22</v>
      </c>
      <c r="D37" s="6" t="s">
        <v>85</v>
      </c>
      <c r="E37" s="7">
        <v>46238</v>
      </c>
      <c r="F37" s="7">
        <v>46238</v>
      </c>
      <c r="G37" s="8" t="s">
        <v>98</v>
      </c>
      <c r="H37" s="10"/>
      <c r="I37" s="9"/>
      <c r="J37" s="10"/>
      <c r="K37" s="10"/>
      <c r="L37" s="10"/>
      <c r="M37" s="10"/>
      <c r="N37" s="10"/>
      <c r="O37" s="10"/>
      <c r="P37" s="10"/>
      <c r="Q37" s="10"/>
      <c r="R37" t="str">
        <f t="shared" si="0"/>
        <v>E7 Mobile</v>
      </c>
    </row>
    <row r="38" spans="1:18" x14ac:dyDescent="0.55000000000000004">
      <c r="A38" s="16" t="s">
        <v>99</v>
      </c>
      <c r="B38" s="11" t="s">
        <v>100</v>
      </c>
      <c r="C38" s="5" t="s">
        <v>22</v>
      </c>
      <c r="D38" s="12" t="s">
        <v>45</v>
      </c>
      <c r="E38" s="13">
        <v>46236</v>
      </c>
      <c r="F38" s="13">
        <v>46236</v>
      </c>
      <c r="G38" s="14" t="s">
        <v>101</v>
      </c>
      <c r="H38" s="9"/>
      <c r="I38" s="15"/>
      <c r="J38" s="15"/>
      <c r="K38" s="15"/>
      <c r="L38" s="15"/>
      <c r="M38" s="15"/>
      <c r="N38" s="15"/>
      <c r="O38" s="15"/>
      <c r="P38" s="15"/>
      <c r="Q38" s="15"/>
      <c r="R38" t="str">
        <f t="shared" ref="R38:R69" si="1">IF($A38&lt;&gt;"",$A38,R37)</f>
        <v>E8 Model Quality</v>
      </c>
    </row>
    <row r="39" spans="1:18" x14ac:dyDescent="0.55000000000000004">
      <c r="A39" s="4"/>
      <c r="B39" s="4" t="s">
        <v>102</v>
      </c>
      <c r="C39" s="5" t="s">
        <v>22</v>
      </c>
      <c r="D39" s="6" t="s">
        <v>45</v>
      </c>
      <c r="E39" s="7">
        <v>46236</v>
      </c>
      <c r="F39" s="7">
        <v>46236</v>
      </c>
      <c r="G39" s="8" t="s">
        <v>103</v>
      </c>
      <c r="H39" s="9"/>
      <c r="I39" s="10"/>
      <c r="J39" s="10"/>
      <c r="K39" s="10"/>
      <c r="L39" s="10"/>
      <c r="M39" s="10"/>
      <c r="N39" s="10"/>
      <c r="O39" s="10"/>
      <c r="P39" s="10"/>
      <c r="Q39" s="10"/>
      <c r="R39" t="str">
        <f t="shared" si="1"/>
        <v>E8 Model Quality</v>
      </c>
    </row>
    <row r="40" spans="1:18" x14ac:dyDescent="0.55000000000000004">
      <c r="A40" s="11"/>
      <c r="B40" s="11" t="s">
        <v>104</v>
      </c>
      <c r="C40" s="5" t="s">
        <v>22</v>
      </c>
      <c r="D40" s="12" t="s">
        <v>45</v>
      </c>
      <c r="E40" s="13">
        <v>46237</v>
      </c>
      <c r="F40" s="13">
        <v>46237</v>
      </c>
      <c r="G40" s="14" t="s">
        <v>105</v>
      </c>
      <c r="H40" s="15"/>
      <c r="I40" s="9"/>
      <c r="J40" s="15"/>
      <c r="K40" s="15"/>
      <c r="L40" s="15"/>
      <c r="M40" s="15"/>
      <c r="N40" s="15"/>
      <c r="O40" s="15"/>
      <c r="P40" s="15"/>
      <c r="Q40" s="15"/>
      <c r="R40" t="str">
        <f t="shared" si="1"/>
        <v>E8 Model Quality</v>
      </c>
    </row>
    <row r="41" spans="1:18" x14ac:dyDescent="0.55000000000000004">
      <c r="A41" s="4"/>
      <c r="B41" s="4" t="s">
        <v>106</v>
      </c>
      <c r="C41" s="5" t="s">
        <v>22</v>
      </c>
      <c r="D41" s="6" t="s">
        <v>45</v>
      </c>
      <c r="E41" s="7">
        <v>46237</v>
      </c>
      <c r="F41" s="7">
        <v>46238</v>
      </c>
      <c r="G41" s="8" t="s">
        <v>107</v>
      </c>
      <c r="H41" s="10"/>
      <c r="I41" s="18"/>
      <c r="J41" s="10"/>
      <c r="K41" s="10"/>
      <c r="L41" s="10"/>
      <c r="M41" s="10"/>
      <c r="N41" s="10"/>
      <c r="O41" s="10"/>
      <c r="P41" s="10"/>
      <c r="Q41" s="10"/>
      <c r="R41" t="str">
        <f t="shared" si="1"/>
        <v>E8 Model Quality</v>
      </c>
    </row>
    <row r="42" spans="1:18" x14ac:dyDescent="0.55000000000000004">
      <c r="A42" s="11"/>
      <c r="B42" s="11" t="s">
        <v>108</v>
      </c>
      <c r="C42" s="5" t="s">
        <v>22</v>
      </c>
      <c r="D42" s="12" t="s">
        <v>45</v>
      </c>
      <c r="E42" s="13">
        <v>46238</v>
      </c>
      <c r="F42" s="13">
        <v>46239</v>
      </c>
      <c r="G42" s="14" t="s">
        <v>109</v>
      </c>
      <c r="H42" s="15"/>
      <c r="I42" s="20"/>
      <c r="J42" s="15"/>
      <c r="K42" s="15"/>
      <c r="L42" s="15"/>
      <c r="M42" s="15"/>
      <c r="N42" s="15"/>
      <c r="O42" s="15"/>
      <c r="P42" s="15"/>
      <c r="Q42" s="15"/>
      <c r="R42" t="str">
        <f t="shared" si="1"/>
        <v>E8 Model Quality</v>
      </c>
    </row>
    <row r="43" spans="1:18" x14ac:dyDescent="0.55000000000000004">
      <c r="A43" s="4"/>
      <c r="B43" s="4" t="s">
        <v>110</v>
      </c>
      <c r="C43" s="5" t="s">
        <v>22</v>
      </c>
      <c r="D43" s="6" t="s">
        <v>45</v>
      </c>
      <c r="E43" s="7">
        <v>46239</v>
      </c>
      <c r="F43" s="7">
        <v>46241</v>
      </c>
      <c r="G43" s="8" t="s">
        <v>111</v>
      </c>
      <c r="H43" s="10"/>
      <c r="I43" s="20"/>
      <c r="J43" s="10"/>
      <c r="K43" s="10"/>
      <c r="L43" s="10"/>
      <c r="M43" s="10"/>
      <c r="N43" s="10"/>
      <c r="O43" s="10"/>
      <c r="P43" s="10"/>
      <c r="Q43" s="10"/>
      <c r="R43" t="str">
        <f t="shared" si="1"/>
        <v>E8 Model Quality</v>
      </c>
    </row>
    <row r="44" spans="1:18" x14ac:dyDescent="0.55000000000000004">
      <c r="A44" s="11"/>
      <c r="B44" s="11" t="s">
        <v>112</v>
      </c>
      <c r="C44" s="5" t="s">
        <v>22</v>
      </c>
      <c r="D44" s="12" t="s">
        <v>45</v>
      </c>
      <c r="E44" s="13">
        <v>46240</v>
      </c>
      <c r="F44" s="13">
        <v>46243</v>
      </c>
      <c r="G44" s="14" t="s">
        <v>113</v>
      </c>
      <c r="H44" s="15"/>
      <c r="I44" s="20"/>
      <c r="J44" s="15"/>
      <c r="K44" s="15"/>
      <c r="L44" s="15"/>
      <c r="M44" s="15"/>
      <c r="N44" s="15"/>
      <c r="O44" s="15"/>
      <c r="P44" s="15"/>
      <c r="Q44" s="15"/>
      <c r="R44" t="str">
        <f t="shared" si="1"/>
        <v>E8 Model Quality</v>
      </c>
    </row>
    <row r="45" spans="1:18" x14ac:dyDescent="0.55000000000000004">
      <c r="A45" s="4"/>
      <c r="B45" s="4" t="s">
        <v>114</v>
      </c>
      <c r="C45" s="5" t="s">
        <v>22</v>
      </c>
      <c r="D45" s="6" t="s">
        <v>45</v>
      </c>
      <c r="E45" s="7">
        <v>46241</v>
      </c>
      <c r="F45" s="7">
        <v>46244</v>
      </c>
      <c r="G45" s="8" t="s">
        <v>115</v>
      </c>
      <c r="H45" s="10"/>
      <c r="I45" s="20"/>
      <c r="J45" s="20"/>
      <c r="K45" s="10"/>
      <c r="L45" s="10"/>
      <c r="M45" s="10"/>
      <c r="N45" s="10"/>
      <c r="O45" s="10"/>
      <c r="P45" s="10"/>
      <c r="Q45" s="10"/>
      <c r="R45" t="str">
        <f t="shared" si="1"/>
        <v>E8 Model Quality</v>
      </c>
    </row>
    <row r="46" spans="1:18" x14ac:dyDescent="0.55000000000000004">
      <c r="A46" s="11"/>
      <c r="B46" s="11" t="s">
        <v>116</v>
      </c>
      <c r="C46" s="5" t="s">
        <v>22</v>
      </c>
      <c r="D46" s="12" t="s">
        <v>45</v>
      </c>
      <c r="E46" s="13">
        <v>46244</v>
      </c>
      <c r="F46" s="13">
        <v>46244</v>
      </c>
      <c r="G46" s="14" t="s">
        <v>117</v>
      </c>
      <c r="H46" s="15"/>
      <c r="I46" s="15"/>
      <c r="J46" s="22" t="s">
        <v>118</v>
      </c>
      <c r="K46" s="15"/>
      <c r="L46" s="15"/>
      <c r="M46" s="15"/>
      <c r="N46" s="15"/>
      <c r="O46" s="15"/>
      <c r="P46" s="15"/>
      <c r="Q46" s="15"/>
      <c r="R46" t="str">
        <f t="shared" si="1"/>
        <v>E8 Model Quality</v>
      </c>
    </row>
    <row r="47" spans="1:18" x14ac:dyDescent="0.55000000000000004">
      <c r="A47" s="4"/>
      <c r="B47" s="4" t="s">
        <v>119</v>
      </c>
      <c r="C47" s="5" t="s">
        <v>22</v>
      </c>
      <c r="D47" s="6" t="s">
        <v>45</v>
      </c>
      <c r="E47" s="7">
        <v>46237</v>
      </c>
      <c r="F47" s="7">
        <v>46238</v>
      </c>
      <c r="G47" s="8" t="s">
        <v>120</v>
      </c>
      <c r="H47" s="10"/>
      <c r="I47" s="9"/>
      <c r="J47" s="10"/>
      <c r="K47" s="10"/>
      <c r="L47" s="10"/>
      <c r="M47" s="10"/>
      <c r="N47" s="10"/>
      <c r="O47" s="10"/>
      <c r="P47" s="10"/>
      <c r="Q47" s="10"/>
      <c r="R47" t="str">
        <f t="shared" si="1"/>
        <v>E8 Model Quality</v>
      </c>
    </row>
    <row r="48" spans="1:18" x14ac:dyDescent="0.55000000000000004">
      <c r="A48" s="11"/>
      <c r="B48" s="11" t="s">
        <v>121</v>
      </c>
      <c r="C48" s="5" t="s">
        <v>22</v>
      </c>
      <c r="D48" s="12" t="s">
        <v>45</v>
      </c>
      <c r="E48" s="13">
        <v>46238</v>
      </c>
      <c r="F48" s="13">
        <v>46238</v>
      </c>
      <c r="G48" s="14" t="s">
        <v>122</v>
      </c>
      <c r="H48" s="15"/>
      <c r="I48" s="9"/>
      <c r="J48" s="15"/>
      <c r="K48" s="15"/>
      <c r="L48" s="15"/>
      <c r="M48" s="15"/>
      <c r="N48" s="15"/>
      <c r="O48" s="15"/>
      <c r="P48" s="15"/>
      <c r="Q48" s="15"/>
      <c r="R48" t="str">
        <f t="shared" si="1"/>
        <v>E8 Model Quality</v>
      </c>
    </row>
    <row r="49" spans="1:18" x14ac:dyDescent="0.55000000000000004">
      <c r="A49" s="4"/>
      <c r="B49" s="4" t="s">
        <v>123</v>
      </c>
      <c r="C49" s="5" t="s">
        <v>22</v>
      </c>
      <c r="D49" s="6" t="s">
        <v>45</v>
      </c>
      <c r="E49" s="7">
        <v>46238</v>
      </c>
      <c r="F49" s="7">
        <v>46238</v>
      </c>
      <c r="G49" s="8" t="s">
        <v>124</v>
      </c>
      <c r="H49" s="10"/>
      <c r="I49" s="9"/>
      <c r="J49" s="10"/>
      <c r="K49" s="10"/>
      <c r="L49" s="10"/>
      <c r="M49" s="10"/>
      <c r="N49" s="10"/>
      <c r="O49" s="10"/>
      <c r="P49" s="10"/>
      <c r="Q49" s="10"/>
      <c r="R49" t="str">
        <f t="shared" si="1"/>
        <v>E8 Model Quality</v>
      </c>
    </row>
    <row r="50" spans="1:18" x14ac:dyDescent="0.55000000000000004">
      <c r="A50" s="11"/>
      <c r="B50" s="11" t="s">
        <v>125</v>
      </c>
      <c r="C50" s="5" t="s">
        <v>22</v>
      </c>
      <c r="D50" s="12" t="s">
        <v>45</v>
      </c>
      <c r="E50" s="13">
        <v>46238</v>
      </c>
      <c r="F50" s="13">
        <v>46238</v>
      </c>
      <c r="G50" s="14" t="s">
        <v>126</v>
      </c>
      <c r="H50" s="15"/>
      <c r="I50" s="9"/>
      <c r="J50" s="15"/>
      <c r="K50" s="15"/>
      <c r="L50" s="15"/>
      <c r="M50" s="15"/>
      <c r="N50" s="15"/>
      <c r="O50" s="15"/>
      <c r="P50" s="15"/>
      <c r="Q50" s="15"/>
      <c r="R50" t="str">
        <f t="shared" si="1"/>
        <v>E8 Model Quality</v>
      </c>
    </row>
    <row r="51" spans="1:18" x14ac:dyDescent="0.55000000000000004">
      <c r="A51" s="4"/>
      <c r="B51" s="4" t="s">
        <v>127</v>
      </c>
      <c r="C51" s="19" t="s">
        <v>128</v>
      </c>
      <c r="D51" s="6" t="s">
        <v>45</v>
      </c>
      <c r="E51" s="7">
        <v>46239</v>
      </c>
      <c r="F51" s="7">
        <v>46242</v>
      </c>
      <c r="G51" s="8" t="s">
        <v>129</v>
      </c>
      <c r="H51" s="10"/>
      <c r="I51" s="20"/>
      <c r="J51" s="10"/>
      <c r="K51" s="10"/>
      <c r="L51" s="10"/>
      <c r="M51" s="10"/>
      <c r="N51" s="10"/>
      <c r="O51" s="10"/>
      <c r="P51" s="10"/>
      <c r="Q51" s="10"/>
      <c r="R51" t="str">
        <f t="shared" si="1"/>
        <v>E8 Model Quality</v>
      </c>
    </row>
    <row r="52" spans="1:18" x14ac:dyDescent="0.55000000000000004">
      <c r="A52" s="16" t="s">
        <v>130</v>
      </c>
      <c r="B52" s="11" t="s">
        <v>131</v>
      </c>
      <c r="C52" s="19" t="s">
        <v>128</v>
      </c>
      <c r="D52" s="12" t="s">
        <v>33</v>
      </c>
      <c r="E52" s="13">
        <v>46244</v>
      </c>
      <c r="F52" s="13">
        <v>46245</v>
      </c>
      <c r="G52" s="14" t="s">
        <v>132</v>
      </c>
      <c r="H52" s="15"/>
      <c r="I52" s="15"/>
      <c r="J52" s="20"/>
      <c r="K52" s="15"/>
      <c r="L52" s="15"/>
      <c r="M52" s="15"/>
      <c r="N52" s="15"/>
      <c r="O52" s="15"/>
      <c r="P52" s="15"/>
      <c r="Q52" s="15"/>
      <c r="R52" t="str">
        <f t="shared" si="1"/>
        <v>E9 Data Ops</v>
      </c>
    </row>
    <row r="53" spans="1:18" x14ac:dyDescent="0.55000000000000004">
      <c r="A53" s="4"/>
      <c r="B53" s="4" t="s">
        <v>133</v>
      </c>
      <c r="C53" s="19" t="s">
        <v>128</v>
      </c>
      <c r="D53" s="6" t="s">
        <v>33</v>
      </c>
      <c r="E53" s="7">
        <v>46239</v>
      </c>
      <c r="F53" s="7">
        <v>46240</v>
      </c>
      <c r="G53" s="8" t="s">
        <v>134</v>
      </c>
      <c r="H53" s="10"/>
      <c r="I53" s="20"/>
      <c r="J53" s="10"/>
      <c r="K53" s="10"/>
      <c r="L53" s="10"/>
      <c r="M53" s="10"/>
      <c r="N53" s="10"/>
      <c r="O53" s="10"/>
      <c r="P53" s="10"/>
      <c r="Q53" s="10"/>
      <c r="R53" t="str">
        <f t="shared" si="1"/>
        <v>E9 Data Ops</v>
      </c>
    </row>
    <row r="54" spans="1:18" x14ac:dyDescent="0.55000000000000004">
      <c r="A54" s="11"/>
      <c r="B54" s="11" t="s">
        <v>135</v>
      </c>
      <c r="C54" s="21" t="s">
        <v>136</v>
      </c>
      <c r="D54" s="12" t="s">
        <v>33</v>
      </c>
      <c r="E54" s="13">
        <v>46255</v>
      </c>
      <c r="F54" s="13">
        <v>46255</v>
      </c>
      <c r="G54" s="14" t="s">
        <v>137</v>
      </c>
      <c r="H54" s="15"/>
      <c r="I54" s="15"/>
      <c r="J54" s="15"/>
      <c r="K54" s="22" t="s">
        <v>118</v>
      </c>
      <c r="L54" s="15"/>
      <c r="M54" s="15"/>
      <c r="N54" s="15"/>
      <c r="O54" s="15"/>
      <c r="P54" s="15"/>
      <c r="Q54" s="15"/>
      <c r="R54" t="str">
        <f t="shared" si="1"/>
        <v>E9 Data Ops</v>
      </c>
    </row>
    <row r="55" spans="1:18" x14ac:dyDescent="0.55000000000000004">
      <c r="A55" s="4"/>
      <c r="B55" s="4" t="s">
        <v>138</v>
      </c>
      <c r="C55" s="21" t="s">
        <v>136</v>
      </c>
      <c r="D55" s="6" t="s">
        <v>33</v>
      </c>
      <c r="E55" s="7">
        <v>46255</v>
      </c>
      <c r="F55" s="7">
        <v>46255</v>
      </c>
      <c r="G55" s="8" t="s">
        <v>139</v>
      </c>
      <c r="H55" s="10"/>
      <c r="I55" s="10"/>
      <c r="J55" s="10"/>
      <c r="K55" s="22" t="s">
        <v>118</v>
      </c>
      <c r="L55" s="10"/>
      <c r="M55" s="10"/>
      <c r="N55" s="10"/>
      <c r="O55" s="10"/>
      <c r="P55" s="10"/>
      <c r="Q55" s="10"/>
      <c r="R55" t="str">
        <f t="shared" si="1"/>
        <v>E9 Data Ops</v>
      </c>
    </row>
    <row r="56" spans="1:18" x14ac:dyDescent="0.55000000000000004">
      <c r="A56" s="11"/>
      <c r="B56" s="11" t="s">
        <v>140</v>
      </c>
      <c r="C56" s="21" t="s">
        <v>136</v>
      </c>
      <c r="D56" s="12" t="s">
        <v>33</v>
      </c>
      <c r="E56" s="13">
        <v>46263</v>
      </c>
      <c r="F56" s="13">
        <v>46263</v>
      </c>
      <c r="G56" s="14" t="s">
        <v>141</v>
      </c>
      <c r="H56" s="15"/>
      <c r="I56" s="15"/>
      <c r="J56" s="15"/>
      <c r="K56" s="15"/>
      <c r="L56" s="22" t="s">
        <v>118</v>
      </c>
      <c r="M56" s="15"/>
      <c r="N56" s="15"/>
      <c r="O56" s="15"/>
      <c r="P56" s="15"/>
      <c r="Q56" s="15"/>
      <c r="R56" t="str">
        <f t="shared" si="1"/>
        <v>E9 Data Ops</v>
      </c>
    </row>
    <row r="57" spans="1:18" x14ac:dyDescent="0.55000000000000004">
      <c r="A57" s="4"/>
      <c r="B57" s="4" t="s">
        <v>142</v>
      </c>
      <c r="C57" s="19" t="s">
        <v>128</v>
      </c>
      <c r="D57" s="6" t="s">
        <v>75</v>
      </c>
      <c r="E57" s="7">
        <v>46238</v>
      </c>
      <c r="F57" s="7">
        <v>46238</v>
      </c>
      <c r="G57" s="8" t="s">
        <v>143</v>
      </c>
      <c r="H57" s="10"/>
      <c r="I57" s="20"/>
      <c r="J57" s="10"/>
      <c r="K57" s="10"/>
      <c r="L57" s="10"/>
      <c r="M57" s="10"/>
      <c r="N57" s="10"/>
      <c r="O57" s="10"/>
      <c r="P57" s="10"/>
      <c r="Q57" s="10"/>
      <c r="R57" t="str">
        <f t="shared" si="1"/>
        <v>E9 Data Ops</v>
      </c>
    </row>
    <row r="58" spans="1:18" x14ac:dyDescent="0.55000000000000004">
      <c r="A58" s="11"/>
      <c r="B58" s="11" t="s">
        <v>144</v>
      </c>
      <c r="C58" s="23" t="s">
        <v>145</v>
      </c>
      <c r="D58" s="12" t="s">
        <v>45</v>
      </c>
      <c r="E58" s="13">
        <v>46246</v>
      </c>
      <c r="F58" s="13">
        <v>46249</v>
      </c>
      <c r="G58" s="14" t="s">
        <v>146</v>
      </c>
      <c r="H58" s="15"/>
      <c r="I58" s="15"/>
      <c r="J58" s="24"/>
      <c r="K58" s="15"/>
      <c r="L58" s="15"/>
      <c r="M58" s="15"/>
      <c r="N58" s="15"/>
      <c r="O58" s="15"/>
      <c r="P58" s="15"/>
      <c r="Q58" s="15"/>
      <c r="R58" t="str">
        <f t="shared" si="1"/>
        <v>E9 Data Ops</v>
      </c>
    </row>
    <row r="59" spans="1:18" x14ac:dyDescent="0.55000000000000004">
      <c r="A59" s="4"/>
      <c r="B59" s="4" t="s">
        <v>147</v>
      </c>
      <c r="C59" s="23" t="s">
        <v>145</v>
      </c>
      <c r="D59" s="6" t="s">
        <v>33</v>
      </c>
      <c r="E59" s="7">
        <v>46249</v>
      </c>
      <c r="F59" s="7">
        <v>46252</v>
      </c>
      <c r="G59" s="8" t="s">
        <v>148</v>
      </c>
      <c r="H59" s="10"/>
      <c r="I59" s="10"/>
      <c r="J59" s="24"/>
      <c r="K59" s="24"/>
      <c r="L59" s="10"/>
      <c r="M59" s="10"/>
      <c r="N59" s="10"/>
      <c r="O59" s="10"/>
      <c r="P59" s="10"/>
      <c r="Q59" s="10"/>
      <c r="R59" t="str">
        <f t="shared" si="1"/>
        <v>E9 Data Ops</v>
      </c>
    </row>
    <row r="60" spans="1:18" x14ac:dyDescent="0.55000000000000004">
      <c r="A60" s="11"/>
      <c r="B60" s="11" t="s">
        <v>149</v>
      </c>
      <c r="C60" s="5" t="s">
        <v>22</v>
      </c>
      <c r="D60" s="12" t="s">
        <v>33</v>
      </c>
      <c r="E60" s="13">
        <v>46237</v>
      </c>
      <c r="F60" s="13">
        <v>46238</v>
      </c>
      <c r="G60" s="14" t="s">
        <v>150</v>
      </c>
      <c r="H60" s="15"/>
      <c r="I60" s="9"/>
      <c r="J60" s="15"/>
      <c r="K60" s="15"/>
      <c r="L60" s="15"/>
      <c r="M60" s="15"/>
      <c r="N60" s="15"/>
      <c r="O60" s="15"/>
      <c r="P60" s="15"/>
      <c r="Q60" s="15"/>
      <c r="R60" t="str">
        <f t="shared" si="1"/>
        <v>E9 Data Ops</v>
      </c>
    </row>
    <row r="61" spans="1:18" x14ac:dyDescent="0.55000000000000004">
      <c r="A61" s="4"/>
      <c r="B61" s="4" t="s">
        <v>151</v>
      </c>
      <c r="C61" s="5" t="s">
        <v>22</v>
      </c>
      <c r="D61" s="6" t="s">
        <v>75</v>
      </c>
      <c r="E61" s="7">
        <v>46237</v>
      </c>
      <c r="F61" s="7">
        <v>46238</v>
      </c>
      <c r="G61" s="8" t="s">
        <v>152</v>
      </c>
      <c r="H61" s="10"/>
      <c r="I61" s="9"/>
      <c r="J61" s="10"/>
      <c r="K61" s="10"/>
      <c r="L61" s="10"/>
      <c r="M61" s="10"/>
      <c r="N61" s="10"/>
      <c r="O61" s="10"/>
      <c r="P61" s="10"/>
      <c r="Q61" s="10"/>
      <c r="R61" t="str">
        <f t="shared" si="1"/>
        <v>E9 Data Ops</v>
      </c>
    </row>
    <row r="62" spans="1:18" x14ac:dyDescent="0.55000000000000004">
      <c r="A62" s="11"/>
      <c r="B62" s="11" t="s">
        <v>153</v>
      </c>
      <c r="C62" s="19" t="s">
        <v>128</v>
      </c>
      <c r="D62" s="12" t="s">
        <v>23</v>
      </c>
      <c r="E62" s="13">
        <v>46239</v>
      </c>
      <c r="F62" s="13">
        <v>46239</v>
      </c>
      <c r="G62" s="14" t="s">
        <v>154</v>
      </c>
      <c r="H62" s="15"/>
      <c r="I62" s="20"/>
      <c r="J62" s="15"/>
      <c r="K62" s="15"/>
      <c r="L62" s="15"/>
      <c r="M62" s="15"/>
      <c r="N62" s="15"/>
      <c r="O62" s="15"/>
      <c r="P62" s="15"/>
      <c r="Q62" s="15"/>
      <c r="R62" t="str">
        <f t="shared" si="1"/>
        <v>E9 Data Ops</v>
      </c>
    </row>
    <row r="63" spans="1:18" x14ac:dyDescent="0.55000000000000004">
      <c r="A63" s="4"/>
      <c r="B63" s="4" t="s">
        <v>155</v>
      </c>
      <c r="C63" s="19" t="s">
        <v>128</v>
      </c>
      <c r="D63" s="6" t="s">
        <v>23</v>
      </c>
      <c r="E63" s="7">
        <v>46239</v>
      </c>
      <c r="F63" s="7">
        <v>46240</v>
      </c>
      <c r="G63" s="8" t="s">
        <v>156</v>
      </c>
      <c r="H63" s="10"/>
      <c r="I63" s="20"/>
      <c r="J63" s="10"/>
      <c r="K63" s="10"/>
      <c r="L63" s="10"/>
      <c r="M63" s="10"/>
      <c r="N63" s="10"/>
      <c r="O63" s="10"/>
      <c r="P63" s="10"/>
      <c r="Q63" s="10"/>
      <c r="R63" t="str">
        <f t="shared" si="1"/>
        <v>E9 Data Ops</v>
      </c>
    </row>
    <row r="64" spans="1:18" x14ac:dyDescent="0.55000000000000004">
      <c r="A64" s="11"/>
      <c r="B64" s="11" t="s">
        <v>157</v>
      </c>
      <c r="C64" s="19" t="s">
        <v>128</v>
      </c>
      <c r="D64" s="12" t="s">
        <v>23</v>
      </c>
      <c r="E64" s="13">
        <v>46240</v>
      </c>
      <c r="F64" s="13">
        <v>46240</v>
      </c>
      <c r="G64" s="14" t="s">
        <v>158</v>
      </c>
      <c r="H64" s="15"/>
      <c r="I64" s="20"/>
      <c r="J64" s="15"/>
      <c r="K64" s="15"/>
      <c r="L64" s="15"/>
      <c r="M64" s="15"/>
      <c r="N64" s="15"/>
      <c r="O64" s="15"/>
      <c r="P64" s="15"/>
      <c r="Q64" s="15"/>
      <c r="R64" t="str">
        <f t="shared" si="1"/>
        <v>E9 Data Ops</v>
      </c>
    </row>
    <row r="65" spans="1:18" x14ac:dyDescent="0.55000000000000004">
      <c r="A65" s="4"/>
      <c r="B65" s="4" t="s">
        <v>159</v>
      </c>
      <c r="C65" s="21" t="s">
        <v>136</v>
      </c>
      <c r="D65" s="6" t="s">
        <v>160</v>
      </c>
      <c r="E65" s="7">
        <v>46246</v>
      </c>
      <c r="F65" s="7">
        <v>46246</v>
      </c>
      <c r="G65" s="8" t="s">
        <v>161</v>
      </c>
      <c r="H65" s="10"/>
      <c r="I65" s="10"/>
      <c r="J65" s="22" t="s">
        <v>118</v>
      </c>
      <c r="K65" s="10"/>
      <c r="L65" s="10"/>
      <c r="M65" s="10"/>
      <c r="N65" s="10"/>
      <c r="O65" s="10"/>
      <c r="P65" s="10"/>
      <c r="Q65" s="10"/>
      <c r="R65" t="str">
        <f t="shared" si="1"/>
        <v>E9 Data Ops</v>
      </c>
    </row>
    <row r="66" spans="1:18" x14ac:dyDescent="0.55000000000000004">
      <c r="A66" s="16" t="s">
        <v>162</v>
      </c>
      <c r="B66" s="11" t="s">
        <v>163</v>
      </c>
      <c r="C66" s="19" t="s">
        <v>128</v>
      </c>
      <c r="D66" s="12" t="s">
        <v>23</v>
      </c>
      <c r="E66" s="13">
        <v>46245</v>
      </c>
      <c r="F66" s="13">
        <v>46245</v>
      </c>
      <c r="G66" s="14" t="s">
        <v>164</v>
      </c>
      <c r="H66" s="15"/>
      <c r="I66" s="15"/>
      <c r="J66" s="20"/>
      <c r="K66" s="15"/>
      <c r="L66" s="15"/>
      <c r="M66" s="15"/>
      <c r="N66" s="15"/>
      <c r="O66" s="15"/>
      <c r="P66" s="15"/>
      <c r="Q66" s="15"/>
      <c r="R66" t="str">
        <f t="shared" si="1"/>
        <v>E10 Deploy</v>
      </c>
    </row>
    <row r="67" spans="1:18" x14ac:dyDescent="0.55000000000000004">
      <c r="A67" s="4"/>
      <c r="B67" s="4" t="s">
        <v>165</v>
      </c>
      <c r="C67" s="19" t="s">
        <v>128</v>
      </c>
      <c r="D67" s="6" t="s">
        <v>23</v>
      </c>
      <c r="E67" s="7">
        <v>46245</v>
      </c>
      <c r="F67" s="7">
        <v>46248</v>
      </c>
      <c r="G67" s="8" t="s">
        <v>166</v>
      </c>
      <c r="H67" s="10"/>
      <c r="I67" s="10"/>
      <c r="J67" s="20"/>
      <c r="K67" s="10"/>
      <c r="L67" s="10"/>
      <c r="M67" s="10"/>
      <c r="N67" s="10"/>
      <c r="O67" s="10"/>
      <c r="P67" s="10"/>
      <c r="Q67" s="10"/>
      <c r="R67" t="str">
        <f t="shared" si="1"/>
        <v>E10 Deploy</v>
      </c>
    </row>
    <row r="68" spans="1:18" x14ac:dyDescent="0.55000000000000004">
      <c r="A68" s="11"/>
      <c r="B68" s="11" t="s">
        <v>167</v>
      </c>
      <c r="C68" s="19" t="s">
        <v>128</v>
      </c>
      <c r="D68" s="12" t="s">
        <v>23</v>
      </c>
      <c r="E68" s="13">
        <v>46247</v>
      </c>
      <c r="F68" s="13">
        <v>46249</v>
      </c>
      <c r="G68" s="14" t="s">
        <v>168</v>
      </c>
      <c r="H68" s="15"/>
      <c r="I68" s="15"/>
      <c r="J68" s="20"/>
      <c r="K68" s="15"/>
      <c r="L68" s="15"/>
      <c r="M68" s="15"/>
      <c r="N68" s="15"/>
      <c r="O68" s="15"/>
      <c r="P68" s="15"/>
      <c r="Q68" s="15"/>
      <c r="R68" t="str">
        <f t="shared" si="1"/>
        <v>E10 Deploy</v>
      </c>
    </row>
    <row r="69" spans="1:18" x14ac:dyDescent="0.55000000000000004">
      <c r="A69" s="4"/>
      <c r="B69" s="4" t="s">
        <v>169</v>
      </c>
      <c r="C69" s="19" t="s">
        <v>128</v>
      </c>
      <c r="D69" s="6" t="s">
        <v>23</v>
      </c>
      <c r="E69" s="7">
        <v>46248</v>
      </c>
      <c r="F69" s="7">
        <v>46252</v>
      </c>
      <c r="G69" s="8" t="s">
        <v>170</v>
      </c>
      <c r="H69" s="10"/>
      <c r="I69" s="10"/>
      <c r="J69" s="20"/>
      <c r="K69" s="20"/>
      <c r="L69" s="10"/>
      <c r="M69" s="10"/>
      <c r="N69" s="10"/>
      <c r="O69" s="10"/>
      <c r="P69" s="10"/>
      <c r="Q69" s="10"/>
      <c r="R69" t="str">
        <f t="shared" si="1"/>
        <v>E10 Deploy</v>
      </c>
    </row>
    <row r="70" spans="1:18" x14ac:dyDescent="0.55000000000000004">
      <c r="A70" s="11"/>
      <c r="B70" s="11" t="s">
        <v>171</v>
      </c>
      <c r="C70" s="19" t="s">
        <v>128</v>
      </c>
      <c r="D70" s="12" t="s">
        <v>23</v>
      </c>
      <c r="E70" s="13">
        <v>46251</v>
      </c>
      <c r="F70" s="13">
        <v>46255</v>
      </c>
      <c r="G70" s="14" t="s">
        <v>172</v>
      </c>
      <c r="H70" s="15"/>
      <c r="I70" s="15"/>
      <c r="J70" s="15"/>
      <c r="K70" s="20"/>
      <c r="L70" s="15"/>
      <c r="M70" s="15"/>
      <c r="N70" s="15"/>
      <c r="O70" s="15"/>
      <c r="P70" s="15"/>
      <c r="Q70" s="15"/>
      <c r="R70" t="str">
        <f t="shared" ref="R70:R101" si="2">IF($A70&lt;&gt;"",$A70,R69)</f>
        <v>E10 Deploy</v>
      </c>
    </row>
    <row r="71" spans="1:18" x14ac:dyDescent="0.55000000000000004">
      <c r="A71" s="4"/>
      <c r="B71" s="4" t="s">
        <v>173</v>
      </c>
      <c r="C71" s="19" t="s">
        <v>128</v>
      </c>
      <c r="D71" s="6" t="s">
        <v>75</v>
      </c>
      <c r="E71" s="7">
        <v>46252</v>
      </c>
      <c r="F71" s="7">
        <v>46255</v>
      </c>
      <c r="G71" s="8" t="s">
        <v>174</v>
      </c>
      <c r="H71" s="10"/>
      <c r="I71" s="10"/>
      <c r="J71" s="10"/>
      <c r="K71" s="20"/>
      <c r="L71" s="10"/>
      <c r="M71" s="10"/>
      <c r="N71" s="10"/>
      <c r="O71" s="10"/>
      <c r="P71" s="10"/>
      <c r="Q71" s="10"/>
      <c r="R71" t="str">
        <f t="shared" si="2"/>
        <v>E10 Deploy</v>
      </c>
    </row>
    <row r="72" spans="1:18" x14ac:dyDescent="0.55000000000000004">
      <c r="A72" s="11"/>
      <c r="B72" s="11" t="s">
        <v>175</v>
      </c>
      <c r="C72" s="19" t="s">
        <v>128</v>
      </c>
      <c r="D72" s="12" t="s">
        <v>85</v>
      </c>
      <c r="E72" s="13">
        <v>46253</v>
      </c>
      <c r="F72" s="13">
        <v>46258</v>
      </c>
      <c r="G72" s="14" t="s">
        <v>176</v>
      </c>
      <c r="H72" s="15"/>
      <c r="I72" s="15"/>
      <c r="J72" s="15"/>
      <c r="K72" s="20"/>
      <c r="L72" s="20"/>
      <c r="M72" s="15"/>
      <c r="N72" s="15"/>
      <c r="O72" s="15"/>
      <c r="P72" s="15"/>
      <c r="Q72" s="15"/>
      <c r="R72" t="str">
        <f t="shared" si="2"/>
        <v>E10 Deploy</v>
      </c>
    </row>
    <row r="73" spans="1:18" x14ac:dyDescent="0.55000000000000004">
      <c r="A73" s="4"/>
      <c r="B73" s="4" t="s">
        <v>177</v>
      </c>
      <c r="C73" s="19" t="s">
        <v>128</v>
      </c>
      <c r="D73" s="6" t="s">
        <v>85</v>
      </c>
      <c r="E73" s="7">
        <v>46258</v>
      </c>
      <c r="F73" s="7">
        <v>46261</v>
      </c>
      <c r="G73" s="8" t="s">
        <v>178</v>
      </c>
      <c r="H73" s="10"/>
      <c r="I73" s="10"/>
      <c r="J73" s="10"/>
      <c r="K73" s="10"/>
      <c r="L73" s="20"/>
      <c r="M73" s="10"/>
      <c r="N73" s="10"/>
      <c r="O73" s="10"/>
      <c r="P73" s="10"/>
      <c r="Q73" s="10"/>
      <c r="R73" t="str">
        <f t="shared" si="2"/>
        <v>E10 Deploy</v>
      </c>
    </row>
    <row r="74" spans="1:18" x14ac:dyDescent="0.55000000000000004">
      <c r="A74" s="11"/>
      <c r="B74" s="11" t="s">
        <v>179</v>
      </c>
      <c r="C74" s="19" t="s">
        <v>128</v>
      </c>
      <c r="D74" s="12" t="s">
        <v>85</v>
      </c>
      <c r="E74" s="13">
        <v>46259</v>
      </c>
      <c r="F74" s="13">
        <v>46261</v>
      </c>
      <c r="G74" s="14" t="s">
        <v>180</v>
      </c>
      <c r="H74" s="15"/>
      <c r="I74" s="15"/>
      <c r="J74" s="15"/>
      <c r="K74" s="15"/>
      <c r="L74" s="20"/>
      <c r="M74" s="15"/>
      <c r="N74" s="15"/>
      <c r="O74" s="15"/>
      <c r="P74" s="15"/>
      <c r="Q74" s="15"/>
      <c r="R74" t="str">
        <f t="shared" si="2"/>
        <v>E10 Deploy</v>
      </c>
    </row>
    <row r="75" spans="1:18" x14ac:dyDescent="0.55000000000000004">
      <c r="A75" s="4"/>
      <c r="B75" s="4" t="s">
        <v>181</v>
      </c>
      <c r="C75" s="21" t="s">
        <v>136</v>
      </c>
      <c r="D75" s="6" t="s">
        <v>23</v>
      </c>
      <c r="E75" s="7">
        <v>46269</v>
      </c>
      <c r="F75" s="7">
        <v>46269</v>
      </c>
      <c r="G75" s="8" t="s">
        <v>182</v>
      </c>
      <c r="H75" s="10"/>
      <c r="I75" s="10"/>
      <c r="J75" s="10"/>
      <c r="K75" s="10"/>
      <c r="L75" s="10"/>
      <c r="M75" s="22" t="s">
        <v>118</v>
      </c>
      <c r="N75" s="10"/>
      <c r="O75" s="10"/>
      <c r="P75" s="10"/>
      <c r="Q75" s="10"/>
      <c r="R75" t="str">
        <f t="shared" si="2"/>
        <v>E10 Deploy</v>
      </c>
    </row>
    <row r="76" spans="1:18" x14ac:dyDescent="0.55000000000000004">
      <c r="A76" s="11"/>
      <c r="B76" s="11" t="s">
        <v>183</v>
      </c>
      <c r="C76" s="19" t="s">
        <v>128</v>
      </c>
      <c r="D76" s="12" t="s">
        <v>160</v>
      </c>
      <c r="E76" s="13">
        <v>46272</v>
      </c>
      <c r="F76" s="13">
        <v>46283</v>
      </c>
      <c r="G76" s="14" t="s">
        <v>184</v>
      </c>
      <c r="H76" s="15"/>
      <c r="I76" s="15"/>
      <c r="J76" s="15"/>
      <c r="K76" s="15"/>
      <c r="L76" s="15"/>
      <c r="M76" s="15"/>
      <c r="N76" s="20"/>
      <c r="O76" s="20"/>
      <c r="P76" s="15"/>
      <c r="Q76" s="15"/>
      <c r="R76" t="str">
        <f t="shared" si="2"/>
        <v>E10 Deploy</v>
      </c>
    </row>
    <row r="77" spans="1:18" x14ac:dyDescent="0.55000000000000004">
      <c r="A77" s="4"/>
      <c r="B77" s="4" t="s">
        <v>185</v>
      </c>
      <c r="C77" s="21" t="s">
        <v>136</v>
      </c>
      <c r="D77" s="6" t="s">
        <v>160</v>
      </c>
      <c r="E77" s="7">
        <v>46290</v>
      </c>
      <c r="F77" s="7">
        <v>46290</v>
      </c>
      <c r="G77" s="8" t="s">
        <v>186</v>
      </c>
      <c r="H77" s="10"/>
      <c r="I77" s="10"/>
      <c r="J77" s="10"/>
      <c r="K77" s="10"/>
      <c r="L77" s="10"/>
      <c r="M77" s="10"/>
      <c r="N77" s="10"/>
      <c r="O77" s="10"/>
      <c r="P77" s="22" t="s">
        <v>118</v>
      </c>
      <c r="Q77" s="10"/>
      <c r="R77" t="str">
        <f t="shared" si="2"/>
        <v>E10 Deploy</v>
      </c>
    </row>
    <row r="78" spans="1:18" x14ac:dyDescent="0.55000000000000004">
      <c r="A78" s="11"/>
      <c r="B78" s="11" t="s">
        <v>187</v>
      </c>
      <c r="C78" s="5" t="s">
        <v>22</v>
      </c>
      <c r="D78" s="12" t="s">
        <v>23</v>
      </c>
      <c r="E78" s="13">
        <v>46237</v>
      </c>
      <c r="F78" s="13">
        <v>46237</v>
      </c>
      <c r="G78" s="14" t="s">
        <v>188</v>
      </c>
      <c r="H78" s="15"/>
      <c r="I78" s="9"/>
      <c r="J78" s="15"/>
      <c r="K78" s="15"/>
      <c r="L78" s="15"/>
      <c r="M78" s="15"/>
      <c r="N78" s="15"/>
      <c r="O78" s="15"/>
      <c r="P78" s="15"/>
      <c r="Q78" s="15"/>
      <c r="R78" t="str">
        <f t="shared" si="2"/>
        <v>E10 Deploy</v>
      </c>
    </row>
    <row r="79" spans="1:18" x14ac:dyDescent="0.55000000000000004">
      <c r="A79" s="4"/>
      <c r="B79" s="4" t="s">
        <v>189</v>
      </c>
      <c r="C79" s="5" t="s">
        <v>22</v>
      </c>
      <c r="D79" s="6" t="s">
        <v>160</v>
      </c>
      <c r="E79" s="7">
        <v>46237</v>
      </c>
      <c r="F79" s="7">
        <v>46238</v>
      </c>
      <c r="G79" s="8" t="s">
        <v>190</v>
      </c>
      <c r="H79" s="10"/>
      <c r="I79" s="9"/>
      <c r="J79" s="10"/>
      <c r="K79" s="10"/>
      <c r="L79" s="10"/>
      <c r="M79" s="10"/>
      <c r="N79" s="10"/>
      <c r="O79" s="10"/>
      <c r="P79" s="10"/>
      <c r="Q79" s="10"/>
      <c r="R79" t="str">
        <f t="shared" si="2"/>
        <v>E10 Deploy</v>
      </c>
    </row>
    <row r="80" spans="1:18" x14ac:dyDescent="0.55000000000000004">
      <c r="A80" s="16" t="s">
        <v>191</v>
      </c>
      <c r="B80" s="11" t="s">
        <v>192</v>
      </c>
      <c r="C80" s="5" t="s">
        <v>22</v>
      </c>
      <c r="D80" s="12" t="s">
        <v>23</v>
      </c>
      <c r="E80" s="13">
        <v>46238</v>
      </c>
      <c r="F80" s="13">
        <v>46238</v>
      </c>
      <c r="G80" s="14" t="s">
        <v>193</v>
      </c>
      <c r="H80" s="15"/>
      <c r="I80" s="9"/>
      <c r="J80" s="15"/>
      <c r="K80" s="15"/>
      <c r="L80" s="15"/>
      <c r="M80" s="15"/>
      <c r="N80" s="15"/>
      <c r="O80" s="15"/>
      <c r="P80" s="15"/>
      <c r="Q80" s="15"/>
      <c r="R80" t="str">
        <f t="shared" si="2"/>
        <v>E11 Ops Resilience</v>
      </c>
    </row>
    <row r="81" spans="1:18" x14ac:dyDescent="0.55000000000000004">
      <c r="A81" s="4"/>
      <c r="B81" s="4" t="s">
        <v>194</v>
      </c>
      <c r="C81" s="5" t="s">
        <v>22</v>
      </c>
      <c r="D81" s="6" t="s">
        <v>23</v>
      </c>
      <c r="E81" s="7">
        <v>46238</v>
      </c>
      <c r="F81" s="7">
        <v>46238</v>
      </c>
      <c r="G81" s="8" t="s">
        <v>195</v>
      </c>
      <c r="H81" s="10"/>
      <c r="I81" s="9"/>
      <c r="J81" s="10"/>
      <c r="K81" s="10"/>
      <c r="L81" s="10"/>
      <c r="M81" s="10"/>
      <c r="N81" s="10"/>
      <c r="O81" s="10"/>
      <c r="P81" s="10"/>
      <c r="Q81" s="10"/>
      <c r="R81" t="str">
        <f t="shared" si="2"/>
        <v>E11 Ops Resilience</v>
      </c>
    </row>
    <row r="82" spans="1:18" x14ac:dyDescent="0.55000000000000004">
      <c r="A82" s="11"/>
      <c r="B82" s="11" t="s">
        <v>196</v>
      </c>
      <c r="C82" s="19" t="s">
        <v>128</v>
      </c>
      <c r="D82" s="12" t="s">
        <v>23</v>
      </c>
      <c r="E82" s="13">
        <v>46246</v>
      </c>
      <c r="F82" s="13">
        <v>46247</v>
      </c>
      <c r="G82" s="14" t="s">
        <v>197</v>
      </c>
      <c r="H82" s="15"/>
      <c r="I82" s="15"/>
      <c r="J82" s="20"/>
      <c r="K82" s="15"/>
      <c r="L82" s="15"/>
      <c r="M82" s="15"/>
      <c r="N82" s="15"/>
      <c r="O82" s="15"/>
      <c r="P82" s="15"/>
      <c r="Q82" s="15"/>
      <c r="R82" t="str">
        <f t="shared" si="2"/>
        <v>E11 Ops Resilience</v>
      </c>
    </row>
    <row r="83" spans="1:18" x14ac:dyDescent="0.55000000000000004">
      <c r="A83" s="4"/>
      <c r="B83" s="4" t="s">
        <v>198</v>
      </c>
      <c r="C83" s="19" t="s">
        <v>128</v>
      </c>
      <c r="D83" s="6" t="s">
        <v>23</v>
      </c>
      <c r="E83" s="7">
        <v>46247</v>
      </c>
      <c r="F83" s="7">
        <v>46247</v>
      </c>
      <c r="G83" s="8" t="s">
        <v>199</v>
      </c>
      <c r="H83" s="10"/>
      <c r="I83" s="10"/>
      <c r="J83" s="20"/>
      <c r="K83" s="10"/>
      <c r="L83" s="10"/>
      <c r="M83" s="10"/>
      <c r="N83" s="10"/>
      <c r="O83" s="10"/>
      <c r="P83" s="10"/>
      <c r="Q83" s="10"/>
      <c r="R83" t="str">
        <f t="shared" si="2"/>
        <v>E11 Ops Resilience</v>
      </c>
    </row>
    <row r="84" spans="1:18" x14ac:dyDescent="0.55000000000000004">
      <c r="A84" s="11"/>
      <c r="B84" s="11" t="s">
        <v>200</v>
      </c>
      <c r="C84" s="19" t="s">
        <v>128</v>
      </c>
      <c r="D84" s="12" t="s">
        <v>23</v>
      </c>
      <c r="E84" s="13">
        <v>46248</v>
      </c>
      <c r="F84" s="13">
        <v>46252</v>
      </c>
      <c r="G84" s="14" t="s">
        <v>201</v>
      </c>
      <c r="H84" s="15"/>
      <c r="I84" s="15"/>
      <c r="J84" s="20"/>
      <c r="K84" s="20"/>
      <c r="L84" s="15"/>
      <c r="M84" s="15"/>
      <c r="N84" s="15"/>
      <c r="O84" s="15"/>
      <c r="P84" s="15"/>
      <c r="Q84" s="15"/>
      <c r="R84" t="str">
        <f t="shared" si="2"/>
        <v>E11 Ops Resilience</v>
      </c>
    </row>
    <row r="85" spans="1:18" x14ac:dyDescent="0.55000000000000004">
      <c r="A85" s="4"/>
      <c r="B85" s="4" t="s">
        <v>202</v>
      </c>
      <c r="C85" s="19" t="s">
        <v>128</v>
      </c>
      <c r="D85" s="6" t="s">
        <v>23</v>
      </c>
      <c r="E85" s="7">
        <v>46253</v>
      </c>
      <c r="F85" s="7">
        <v>46254</v>
      </c>
      <c r="G85" s="8" t="s">
        <v>203</v>
      </c>
      <c r="H85" s="10"/>
      <c r="I85" s="10"/>
      <c r="J85" s="10"/>
      <c r="K85" s="20"/>
      <c r="L85" s="10"/>
      <c r="M85" s="10"/>
      <c r="N85" s="10"/>
      <c r="O85" s="10"/>
      <c r="P85" s="10"/>
      <c r="Q85" s="10"/>
      <c r="R85" t="str">
        <f t="shared" si="2"/>
        <v>E11 Ops Resilience</v>
      </c>
    </row>
    <row r="86" spans="1:18" x14ac:dyDescent="0.55000000000000004">
      <c r="A86" s="16" t="s">
        <v>99</v>
      </c>
      <c r="B86" s="11" t="s">
        <v>204</v>
      </c>
      <c r="C86" s="5" t="s">
        <v>22</v>
      </c>
      <c r="D86" s="12" t="s">
        <v>45</v>
      </c>
      <c r="E86" s="13">
        <v>46238</v>
      </c>
      <c r="F86" s="13">
        <v>46238</v>
      </c>
      <c r="G86" s="14" t="s">
        <v>205</v>
      </c>
      <c r="H86" s="11"/>
      <c r="I86" s="39"/>
      <c r="J86" s="11"/>
      <c r="K86" s="11"/>
      <c r="L86" s="11"/>
      <c r="M86" s="11"/>
      <c r="N86" s="11"/>
      <c r="O86" s="11"/>
      <c r="P86" s="11"/>
      <c r="Q86" s="11"/>
      <c r="R86" t="str">
        <f t="shared" si="2"/>
        <v>E8 Model Quality</v>
      </c>
    </row>
    <row r="87" spans="1:18" x14ac:dyDescent="0.55000000000000004">
      <c r="A87" s="3" t="s">
        <v>99</v>
      </c>
      <c r="B87" s="4" t="s">
        <v>206</v>
      </c>
      <c r="C87" s="5" t="s">
        <v>22</v>
      </c>
      <c r="D87" s="6" t="s">
        <v>45</v>
      </c>
      <c r="E87" s="7">
        <v>46238</v>
      </c>
      <c r="F87" s="7">
        <v>46238</v>
      </c>
      <c r="G87" s="8" t="s">
        <v>207</v>
      </c>
      <c r="H87" s="4"/>
      <c r="I87" s="39"/>
      <c r="J87" s="4"/>
      <c r="K87" s="4"/>
      <c r="L87" s="4"/>
      <c r="M87" s="4"/>
      <c r="N87" s="4"/>
      <c r="O87" s="4"/>
      <c r="P87" s="4"/>
      <c r="Q87" s="4"/>
      <c r="R87" t="str">
        <f t="shared" si="2"/>
        <v>E8 Model Quality</v>
      </c>
    </row>
    <row r="88" spans="1:18" x14ac:dyDescent="0.55000000000000004">
      <c r="A88" s="16" t="s">
        <v>99</v>
      </c>
      <c r="B88" s="11" t="s">
        <v>208</v>
      </c>
      <c r="C88" s="5" t="s">
        <v>22</v>
      </c>
      <c r="D88" s="12" t="s">
        <v>45</v>
      </c>
      <c r="E88" s="13">
        <v>46238</v>
      </c>
      <c r="F88" s="13">
        <v>46238</v>
      </c>
      <c r="G88" s="14" t="s">
        <v>209</v>
      </c>
      <c r="H88" s="11"/>
      <c r="I88" s="39"/>
      <c r="J88" s="11"/>
      <c r="K88" s="11"/>
      <c r="L88" s="11"/>
      <c r="M88" s="11"/>
      <c r="N88" s="11"/>
      <c r="O88" s="11"/>
      <c r="P88" s="11"/>
      <c r="Q88" s="11"/>
      <c r="R88" t="str">
        <f t="shared" si="2"/>
        <v>E8 Model Quality</v>
      </c>
    </row>
    <row r="89" spans="1:18" x14ac:dyDescent="0.55000000000000004">
      <c r="A89" s="3" t="s">
        <v>99</v>
      </c>
      <c r="B89" s="4" t="s">
        <v>210</v>
      </c>
      <c r="C89" s="5" t="s">
        <v>22</v>
      </c>
      <c r="D89" s="6" t="s">
        <v>45</v>
      </c>
      <c r="E89" s="7">
        <v>46238</v>
      </c>
      <c r="F89" s="7">
        <v>46238</v>
      </c>
      <c r="G89" s="8" t="s">
        <v>211</v>
      </c>
      <c r="H89" s="4"/>
      <c r="I89" s="39"/>
      <c r="J89" s="4"/>
      <c r="K89" s="4"/>
      <c r="L89" s="4"/>
      <c r="M89" s="4"/>
      <c r="N89" s="4"/>
      <c r="O89" s="4"/>
      <c r="P89" s="4"/>
      <c r="Q89" s="4"/>
      <c r="R89" t="str">
        <f t="shared" si="2"/>
        <v>E8 Model Quality</v>
      </c>
    </row>
    <row r="90" spans="1:18" x14ac:dyDescent="0.55000000000000004">
      <c r="A90" s="16" t="s">
        <v>99</v>
      </c>
      <c r="B90" s="11" t="s">
        <v>212</v>
      </c>
      <c r="C90" s="5" t="s">
        <v>22</v>
      </c>
      <c r="D90" s="12" t="s">
        <v>45</v>
      </c>
      <c r="E90" s="13">
        <v>46238</v>
      </c>
      <c r="F90" s="13">
        <v>46238</v>
      </c>
      <c r="G90" s="14" t="s">
        <v>213</v>
      </c>
      <c r="H90" s="11"/>
      <c r="I90" s="39"/>
      <c r="J90" s="11"/>
      <c r="K90" s="11"/>
      <c r="L90" s="11"/>
      <c r="M90" s="11"/>
      <c r="N90" s="11"/>
      <c r="O90" s="11"/>
      <c r="P90" s="11"/>
      <c r="Q90" s="11"/>
      <c r="R90" t="str">
        <f t="shared" si="2"/>
        <v>E8 Model Quality</v>
      </c>
    </row>
    <row r="91" spans="1:18" x14ac:dyDescent="0.55000000000000004">
      <c r="A91" s="3" t="s">
        <v>99</v>
      </c>
      <c r="B91" s="4" t="s">
        <v>214</v>
      </c>
      <c r="C91" s="5" t="s">
        <v>22</v>
      </c>
      <c r="D91" s="6" t="s">
        <v>45</v>
      </c>
      <c r="E91" s="7">
        <v>46238</v>
      </c>
      <c r="F91" s="7">
        <v>46238</v>
      </c>
      <c r="G91" s="8" t="s">
        <v>215</v>
      </c>
      <c r="H91" s="4"/>
      <c r="I91" s="39"/>
      <c r="J91" s="4"/>
      <c r="K91" s="4"/>
      <c r="L91" s="4"/>
      <c r="M91" s="4"/>
      <c r="N91" s="4"/>
      <c r="O91" s="4"/>
      <c r="P91" s="4"/>
      <c r="Q91" s="4"/>
      <c r="R91" t="str">
        <f t="shared" si="2"/>
        <v>E8 Model Quality</v>
      </c>
    </row>
    <row r="92" spans="1:18" x14ac:dyDescent="0.55000000000000004">
      <c r="A92" s="16" t="s">
        <v>191</v>
      </c>
      <c r="B92" s="11" t="s">
        <v>216</v>
      </c>
      <c r="C92" s="5" t="s">
        <v>22</v>
      </c>
      <c r="D92" s="12" t="s">
        <v>23</v>
      </c>
      <c r="E92" s="13">
        <v>46238</v>
      </c>
      <c r="F92" s="13">
        <v>46238</v>
      </c>
      <c r="G92" s="14" t="s">
        <v>217</v>
      </c>
      <c r="H92" s="11"/>
      <c r="I92" s="39"/>
      <c r="J92" s="11"/>
      <c r="K92" s="11"/>
      <c r="L92" s="11"/>
      <c r="M92" s="11"/>
      <c r="N92" s="11"/>
      <c r="O92" s="11"/>
      <c r="P92" s="11"/>
      <c r="Q92" s="11"/>
      <c r="R92" t="str">
        <f t="shared" si="2"/>
        <v>E11 Ops Resilience</v>
      </c>
    </row>
    <row r="93" spans="1:18" x14ac:dyDescent="0.55000000000000004">
      <c r="A93" s="3" t="s">
        <v>130</v>
      </c>
      <c r="B93" s="4" t="s">
        <v>218</v>
      </c>
      <c r="C93" s="19" t="s">
        <v>128</v>
      </c>
      <c r="D93" s="6" t="s">
        <v>75</v>
      </c>
      <c r="E93" s="7">
        <v>46239</v>
      </c>
      <c r="F93" s="7">
        <v>46239</v>
      </c>
      <c r="G93" s="8" t="s">
        <v>219</v>
      </c>
      <c r="H93" s="4"/>
      <c r="I93" s="41"/>
      <c r="J93" s="4"/>
      <c r="K93" s="4"/>
      <c r="L93" s="4"/>
      <c r="M93" s="4"/>
      <c r="N93" s="4"/>
      <c r="O93" s="4"/>
      <c r="P93" s="4"/>
      <c r="Q93" s="4"/>
      <c r="R93" t="str">
        <f t="shared" si="2"/>
        <v>E9 Data Ops</v>
      </c>
    </row>
    <row r="94" spans="1:18" x14ac:dyDescent="0.55000000000000004">
      <c r="A94" s="16" t="s">
        <v>130</v>
      </c>
      <c r="B94" s="11" t="s">
        <v>220</v>
      </c>
      <c r="C94" s="5" t="s">
        <v>22</v>
      </c>
      <c r="D94" s="12" t="s">
        <v>23</v>
      </c>
      <c r="E94" s="13">
        <v>46239</v>
      </c>
      <c r="F94" s="13">
        <v>46239</v>
      </c>
      <c r="G94" s="14" t="s">
        <v>221</v>
      </c>
      <c r="H94" s="11"/>
      <c r="I94" s="39"/>
      <c r="J94" s="11"/>
      <c r="K94" s="11"/>
      <c r="L94" s="11"/>
      <c r="M94" s="11"/>
      <c r="N94" s="11"/>
      <c r="O94" s="11"/>
      <c r="P94" s="11"/>
      <c r="Q94" s="11"/>
      <c r="R94" t="str">
        <f t="shared" si="2"/>
        <v>E9 Data Ops</v>
      </c>
    </row>
    <row r="95" spans="1:18" x14ac:dyDescent="0.55000000000000004">
      <c r="A95" s="3" t="s">
        <v>99</v>
      </c>
      <c r="B95" s="4" t="s">
        <v>222</v>
      </c>
      <c r="C95" s="19" t="s">
        <v>128</v>
      </c>
      <c r="D95" s="6" t="s">
        <v>33</v>
      </c>
      <c r="E95" s="7">
        <v>46240</v>
      </c>
      <c r="F95" s="7">
        <v>46240</v>
      </c>
      <c r="G95" s="8" t="s">
        <v>223</v>
      </c>
      <c r="H95" s="4"/>
      <c r="I95" s="41"/>
      <c r="J95" s="4"/>
      <c r="K95" s="4"/>
      <c r="L95" s="4"/>
      <c r="M95" s="4"/>
      <c r="N95" s="4"/>
      <c r="O95" s="4"/>
      <c r="P95" s="4"/>
      <c r="Q95" s="4"/>
      <c r="R95" t="str">
        <f t="shared" si="2"/>
        <v>E8 Model Quality</v>
      </c>
    </row>
    <row r="96" spans="1:18" x14ac:dyDescent="0.55000000000000004">
      <c r="A96" s="16" t="s">
        <v>99</v>
      </c>
      <c r="B96" s="11" t="s">
        <v>224</v>
      </c>
      <c r="C96" s="5" t="s">
        <v>22</v>
      </c>
      <c r="D96" s="12" t="s">
        <v>45</v>
      </c>
      <c r="E96" s="13">
        <v>46238</v>
      </c>
      <c r="F96" s="13">
        <v>46238</v>
      </c>
      <c r="G96" s="14" t="s">
        <v>225</v>
      </c>
      <c r="H96" s="11"/>
      <c r="I96" s="39"/>
      <c r="J96" s="11"/>
      <c r="K96" s="11"/>
      <c r="L96" s="11"/>
      <c r="M96" s="11"/>
      <c r="N96" s="11"/>
      <c r="O96" s="11"/>
      <c r="P96" s="11"/>
      <c r="Q96" s="11"/>
      <c r="R96" t="str">
        <f t="shared" si="2"/>
        <v>E8 Model Quality</v>
      </c>
    </row>
    <row r="97" spans="1:18" x14ac:dyDescent="0.55000000000000004">
      <c r="A97" s="3" t="s">
        <v>99</v>
      </c>
      <c r="B97" s="4" t="s">
        <v>226</v>
      </c>
      <c r="C97" s="5" t="s">
        <v>22</v>
      </c>
      <c r="D97" s="6" t="s">
        <v>33</v>
      </c>
      <c r="E97" s="7">
        <v>46238</v>
      </c>
      <c r="F97" s="7">
        <v>46238</v>
      </c>
      <c r="G97" s="8" t="s">
        <v>227</v>
      </c>
      <c r="H97" s="4"/>
      <c r="I97" s="39"/>
      <c r="J97" s="4"/>
      <c r="K97" s="4"/>
      <c r="L97" s="4"/>
      <c r="M97" s="4"/>
      <c r="N97" s="4"/>
      <c r="O97" s="4"/>
      <c r="P97" s="4"/>
      <c r="Q97" s="4"/>
      <c r="R97" t="str">
        <f t="shared" si="2"/>
        <v>E8 Model Quality</v>
      </c>
    </row>
    <row r="98" spans="1:18" x14ac:dyDescent="0.55000000000000004">
      <c r="A98" s="16" t="s">
        <v>99</v>
      </c>
      <c r="B98" s="11" t="s">
        <v>228</v>
      </c>
      <c r="C98" s="5" t="s">
        <v>22</v>
      </c>
      <c r="D98" s="12" t="s">
        <v>45</v>
      </c>
      <c r="E98" s="13">
        <v>46238</v>
      </c>
      <c r="F98" s="13">
        <v>46238</v>
      </c>
      <c r="G98" s="14" t="s">
        <v>229</v>
      </c>
      <c r="H98" s="11"/>
      <c r="I98" s="39"/>
      <c r="J98" s="11"/>
      <c r="K98" s="11"/>
      <c r="L98" s="11"/>
      <c r="M98" s="11"/>
      <c r="N98" s="11"/>
      <c r="O98" s="11"/>
      <c r="P98" s="11"/>
      <c r="Q98" s="11"/>
      <c r="R98" t="str">
        <f t="shared" si="2"/>
        <v>E8 Model Quality</v>
      </c>
    </row>
    <row r="99" spans="1:18" x14ac:dyDescent="0.55000000000000004">
      <c r="A99" s="3" t="s">
        <v>99</v>
      </c>
      <c r="B99" s="4" t="s">
        <v>230</v>
      </c>
      <c r="C99" s="21" t="s">
        <v>231</v>
      </c>
      <c r="D99" s="6" t="s">
        <v>33</v>
      </c>
      <c r="E99" s="7">
        <v>46238</v>
      </c>
      <c r="F99" s="7">
        <v>46239</v>
      </c>
      <c r="G99" s="8" t="s">
        <v>232</v>
      </c>
      <c r="H99" s="4"/>
      <c r="I99" s="40"/>
      <c r="J99" s="4"/>
      <c r="K99" s="4"/>
      <c r="L99" s="4"/>
      <c r="M99" s="4"/>
      <c r="N99" s="4"/>
      <c r="O99" s="4"/>
      <c r="P99" s="4"/>
      <c r="Q99" s="4"/>
      <c r="R99" t="str">
        <f t="shared" si="2"/>
        <v>E8 Model Quality</v>
      </c>
    </row>
    <row r="100" spans="1:18" x14ac:dyDescent="0.55000000000000004">
      <c r="A100" s="16" t="s">
        <v>99</v>
      </c>
      <c r="B100" s="11" t="s">
        <v>233</v>
      </c>
      <c r="C100" s="19" t="s">
        <v>128</v>
      </c>
      <c r="D100" s="12" t="s">
        <v>45</v>
      </c>
      <c r="E100" s="13">
        <v>46239</v>
      </c>
      <c r="F100" s="13">
        <v>46239</v>
      </c>
      <c r="G100" s="14" t="s">
        <v>234</v>
      </c>
      <c r="H100" s="11"/>
      <c r="I100" s="41"/>
      <c r="J100" s="11"/>
      <c r="K100" s="11"/>
      <c r="L100" s="11"/>
      <c r="M100" s="11"/>
      <c r="N100" s="11"/>
      <c r="O100" s="11"/>
      <c r="P100" s="11"/>
      <c r="Q100" s="11"/>
      <c r="R100" t="str">
        <f t="shared" si="2"/>
        <v>E8 Model Quality</v>
      </c>
    </row>
    <row r="101" spans="1:18" x14ac:dyDescent="0.55000000000000004">
      <c r="A101" s="3" t="s">
        <v>130</v>
      </c>
      <c r="B101" s="4" t="s">
        <v>235</v>
      </c>
      <c r="C101" s="19" t="s">
        <v>128</v>
      </c>
      <c r="D101" s="6" t="s">
        <v>33</v>
      </c>
      <c r="E101" s="7">
        <v>46246</v>
      </c>
      <c r="F101" s="7">
        <v>46248</v>
      </c>
      <c r="G101" s="8" t="s">
        <v>236</v>
      </c>
      <c r="H101" s="4"/>
      <c r="I101" s="4"/>
      <c r="J101" s="41"/>
      <c r="K101" s="4"/>
      <c r="L101" s="4"/>
      <c r="M101" s="4"/>
      <c r="N101" s="4"/>
      <c r="O101" s="4"/>
      <c r="P101" s="4"/>
      <c r="Q101" s="4"/>
      <c r="R101" t="str">
        <f t="shared" si="2"/>
        <v>E9 Data Ops</v>
      </c>
    </row>
    <row r="102" spans="1:18" x14ac:dyDescent="0.55000000000000004">
      <c r="A102" s="16" t="s">
        <v>130</v>
      </c>
      <c r="B102" s="11" t="s">
        <v>237</v>
      </c>
      <c r="C102" s="19" t="s">
        <v>128</v>
      </c>
      <c r="D102" s="12" t="s">
        <v>23</v>
      </c>
      <c r="E102" s="13">
        <v>46239</v>
      </c>
      <c r="F102" s="13">
        <v>46239</v>
      </c>
      <c r="G102" s="14" t="s">
        <v>238</v>
      </c>
      <c r="H102" s="11"/>
      <c r="I102" s="41"/>
      <c r="J102" s="11"/>
      <c r="K102" s="11"/>
      <c r="L102" s="11"/>
      <c r="M102" s="11"/>
      <c r="N102" s="11"/>
      <c r="O102" s="11"/>
      <c r="P102" s="11"/>
      <c r="Q102" s="11"/>
      <c r="R102" t="str">
        <f t="shared" ref="R102:R120" si="3">IF($A102&lt;&gt;"",$A102,R101)</f>
        <v>E9 Data Ops</v>
      </c>
    </row>
    <row r="103" spans="1:18" x14ac:dyDescent="0.55000000000000004">
      <c r="A103" s="3" t="s">
        <v>191</v>
      </c>
      <c r="B103" s="4" t="s">
        <v>239</v>
      </c>
      <c r="C103" s="5" t="s">
        <v>22</v>
      </c>
      <c r="D103" s="6" t="s">
        <v>23</v>
      </c>
      <c r="E103" s="7">
        <v>46238</v>
      </c>
      <c r="F103" s="7">
        <v>46238</v>
      </c>
      <c r="G103" s="8" t="s">
        <v>240</v>
      </c>
      <c r="H103" s="4"/>
      <c r="I103" s="39"/>
      <c r="J103" s="4"/>
      <c r="K103" s="4"/>
      <c r="L103" s="4"/>
      <c r="M103" s="4"/>
      <c r="N103" s="4"/>
      <c r="O103" s="4"/>
      <c r="P103" s="4"/>
      <c r="Q103" s="4"/>
      <c r="R103" t="str">
        <f t="shared" si="3"/>
        <v>E11 Ops Resilience</v>
      </c>
    </row>
    <row r="104" spans="1:18" x14ac:dyDescent="0.55000000000000004">
      <c r="A104" s="16" t="s">
        <v>62</v>
      </c>
      <c r="B104" s="11" t="s">
        <v>241</v>
      </c>
      <c r="C104" s="5" t="s">
        <v>22</v>
      </c>
      <c r="D104" s="12" t="s">
        <v>75</v>
      </c>
      <c r="E104" s="13">
        <v>46238</v>
      </c>
      <c r="F104" s="13">
        <v>46238</v>
      </c>
      <c r="G104" s="14" t="s">
        <v>242</v>
      </c>
      <c r="H104" s="11"/>
      <c r="I104" s="39"/>
      <c r="J104" s="11"/>
      <c r="K104" s="11"/>
      <c r="L104" s="11"/>
      <c r="M104" s="11"/>
      <c r="N104" s="11"/>
      <c r="O104" s="11"/>
      <c r="P104" s="11"/>
      <c r="Q104" s="11"/>
      <c r="R104" t="str">
        <f t="shared" si="3"/>
        <v>E5 ML Tennis</v>
      </c>
    </row>
    <row r="105" spans="1:18" x14ac:dyDescent="0.55000000000000004">
      <c r="A105" s="3" t="s">
        <v>62</v>
      </c>
      <c r="B105" s="4" t="s">
        <v>243</v>
      </c>
      <c r="C105" s="5" t="s">
        <v>22</v>
      </c>
      <c r="D105" s="6" t="s">
        <v>75</v>
      </c>
      <c r="E105" s="7">
        <v>46238</v>
      </c>
      <c r="F105" s="7">
        <v>46238</v>
      </c>
      <c r="G105" s="8" t="s">
        <v>244</v>
      </c>
      <c r="H105" s="4"/>
      <c r="I105" s="39"/>
      <c r="J105" s="4"/>
      <c r="K105" s="4"/>
      <c r="L105" s="4"/>
      <c r="M105" s="4"/>
      <c r="N105" s="4"/>
      <c r="O105" s="4"/>
      <c r="P105" s="4"/>
      <c r="Q105" s="4"/>
      <c r="R105" t="str">
        <f t="shared" si="3"/>
        <v>E5 ML Tennis</v>
      </c>
    </row>
    <row r="106" spans="1:18" x14ac:dyDescent="0.55000000000000004">
      <c r="A106" s="16" t="s">
        <v>130</v>
      </c>
      <c r="B106" s="11" t="s">
        <v>245</v>
      </c>
      <c r="C106" s="5" t="s">
        <v>22</v>
      </c>
      <c r="D106" s="12" t="s">
        <v>33</v>
      </c>
      <c r="E106" s="13">
        <v>46238</v>
      </c>
      <c r="F106" s="13">
        <v>46238</v>
      </c>
      <c r="G106" s="14" t="s">
        <v>246</v>
      </c>
      <c r="H106" s="11"/>
      <c r="I106" s="39"/>
      <c r="J106" s="11"/>
      <c r="K106" s="11"/>
      <c r="L106" s="11"/>
      <c r="M106" s="11"/>
      <c r="N106" s="11"/>
      <c r="O106" s="11"/>
      <c r="P106" s="11"/>
      <c r="Q106" s="11"/>
      <c r="R106" t="str">
        <f t="shared" si="3"/>
        <v>E9 Data Ops</v>
      </c>
    </row>
    <row r="107" spans="1:18" x14ac:dyDescent="0.55000000000000004">
      <c r="A107" s="3" t="s">
        <v>191</v>
      </c>
      <c r="B107" s="4" t="s">
        <v>247</v>
      </c>
      <c r="C107" s="5" t="s">
        <v>22</v>
      </c>
      <c r="D107" s="6" t="s">
        <v>23</v>
      </c>
      <c r="E107" s="7">
        <v>46238</v>
      </c>
      <c r="F107" s="7">
        <v>46238</v>
      </c>
      <c r="G107" s="8" t="s">
        <v>248</v>
      </c>
      <c r="H107" s="4"/>
      <c r="I107" s="39"/>
      <c r="J107" s="4"/>
      <c r="K107" s="4"/>
      <c r="L107" s="4"/>
      <c r="M107" s="4"/>
      <c r="N107" s="4"/>
      <c r="O107" s="4"/>
      <c r="P107" s="4"/>
      <c r="Q107" s="4"/>
      <c r="R107" t="str">
        <f t="shared" si="3"/>
        <v>E11 Ops Resilience</v>
      </c>
    </row>
    <row r="108" spans="1:18" x14ac:dyDescent="0.55000000000000004">
      <c r="A108" s="46" t="s">
        <v>162</v>
      </c>
      <c r="B108" s="47" t="s">
        <v>249</v>
      </c>
      <c r="C108" s="48" t="s">
        <v>22</v>
      </c>
      <c r="D108" s="49" t="s">
        <v>23</v>
      </c>
      <c r="E108" s="50">
        <v>46238</v>
      </c>
      <c r="F108" s="50">
        <v>46238</v>
      </c>
      <c r="G108" s="51" t="s">
        <v>250</v>
      </c>
      <c r="H108" s="47"/>
      <c r="I108" s="52"/>
      <c r="J108" s="47"/>
      <c r="K108" s="47"/>
      <c r="L108" s="47"/>
      <c r="M108" s="47"/>
      <c r="N108" s="47"/>
      <c r="O108" s="47"/>
      <c r="P108" s="47"/>
      <c r="Q108" s="47"/>
      <c r="R108" t="str">
        <f t="shared" si="3"/>
        <v>E10 Deploy</v>
      </c>
    </row>
    <row r="109" spans="1:18" x14ac:dyDescent="0.55000000000000004">
      <c r="A109" s="53" t="s">
        <v>162</v>
      </c>
      <c r="B109" s="54" t="s">
        <v>251</v>
      </c>
      <c r="C109" s="48" t="s">
        <v>22</v>
      </c>
      <c r="D109" s="55" t="s">
        <v>23</v>
      </c>
      <c r="E109" s="56">
        <v>46238</v>
      </c>
      <c r="F109" s="56">
        <v>46238</v>
      </c>
      <c r="G109" s="57" t="s">
        <v>252</v>
      </c>
      <c r="H109" s="54"/>
      <c r="I109" s="52"/>
      <c r="J109" s="54"/>
      <c r="K109" s="54"/>
      <c r="L109" s="54"/>
      <c r="M109" s="54"/>
      <c r="N109" s="54"/>
      <c r="O109" s="54"/>
      <c r="P109" s="54"/>
      <c r="Q109" s="54"/>
      <c r="R109" t="str">
        <f t="shared" si="3"/>
        <v>E10 Deploy</v>
      </c>
    </row>
    <row r="110" spans="1:18" x14ac:dyDescent="0.55000000000000004">
      <c r="A110" s="46" t="s">
        <v>162</v>
      </c>
      <c r="B110" s="47" t="s">
        <v>253</v>
      </c>
      <c r="C110" s="48" t="s">
        <v>22</v>
      </c>
      <c r="D110" s="49" t="s">
        <v>23</v>
      </c>
      <c r="E110" s="50">
        <v>46238</v>
      </c>
      <c r="F110" s="50">
        <v>46238</v>
      </c>
      <c r="G110" s="51" t="s">
        <v>254</v>
      </c>
      <c r="H110" s="47"/>
      <c r="I110" s="52"/>
      <c r="J110" s="47"/>
      <c r="K110" s="47"/>
      <c r="L110" s="47"/>
      <c r="M110" s="47"/>
      <c r="N110" s="47"/>
      <c r="O110" s="47"/>
      <c r="P110" s="47"/>
      <c r="Q110" s="47"/>
      <c r="R110" t="str">
        <f t="shared" si="3"/>
        <v>E10 Deploy</v>
      </c>
    </row>
    <row r="111" spans="1:18" x14ac:dyDescent="0.55000000000000004">
      <c r="A111" s="53" t="s">
        <v>162</v>
      </c>
      <c r="B111" s="54" t="s">
        <v>255</v>
      </c>
      <c r="C111" s="48" t="s">
        <v>22</v>
      </c>
      <c r="D111" s="55" t="s">
        <v>75</v>
      </c>
      <c r="E111" s="56">
        <v>46238</v>
      </c>
      <c r="F111" s="56">
        <v>46238</v>
      </c>
      <c r="G111" s="57" t="s">
        <v>256</v>
      </c>
      <c r="H111" s="54"/>
      <c r="I111" s="52"/>
      <c r="J111" s="54"/>
      <c r="K111" s="54"/>
      <c r="L111" s="54"/>
      <c r="M111" s="54"/>
      <c r="N111" s="54"/>
      <c r="O111" s="54"/>
      <c r="P111" s="54"/>
      <c r="Q111" s="54"/>
      <c r="R111" t="str">
        <f t="shared" si="3"/>
        <v>E10 Deploy</v>
      </c>
    </row>
    <row r="112" spans="1:18" x14ac:dyDescent="0.55000000000000004">
      <c r="A112" s="63" t="s">
        <v>162</v>
      </c>
      <c r="B112" s="64" t="s">
        <v>257</v>
      </c>
      <c r="C112" s="65" t="s">
        <v>22</v>
      </c>
      <c r="D112" s="66" t="s">
        <v>85</v>
      </c>
      <c r="E112" s="67">
        <v>46238</v>
      </c>
      <c r="F112" s="67">
        <v>46238</v>
      </c>
      <c r="G112" s="68" t="s">
        <v>258</v>
      </c>
      <c r="H112" s="64"/>
      <c r="I112" s="69"/>
      <c r="J112" s="64"/>
      <c r="K112" s="64"/>
      <c r="L112" s="64"/>
      <c r="M112" s="64"/>
      <c r="N112" s="64"/>
      <c r="O112" s="64"/>
      <c r="P112" s="64"/>
      <c r="Q112" s="64"/>
      <c r="R112" t="str">
        <f t="shared" si="3"/>
        <v>E10 Deploy</v>
      </c>
    </row>
    <row r="113" spans="1:18" x14ac:dyDescent="0.55000000000000004">
      <c r="A113" s="70" t="s">
        <v>162</v>
      </c>
      <c r="B113" s="71" t="s">
        <v>259</v>
      </c>
      <c r="C113" s="65" t="s">
        <v>22</v>
      </c>
      <c r="D113" s="72" t="s">
        <v>23</v>
      </c>
      <c r="E113" s="73">
        <v>46238</v>
      </c>
      <c r="F113" s="73">
        <v>46238</v>
      </c>
      <c r="G113" s="74" t="s">
        <v>260</v>
      </c>
      <c r="H113" s="71"/>
      <c r="I113" s="69"/>
      <c r="J113" s="71"/>
      <c r="K113" s="71"/>
      <c r="L113" s="71"/>
      <c r="M113" s="71"/>
      <c r="N113" s="71"/>
      <c r="O113" s="71"/>
      <c r="P113" s="71"/>
      <c r="Q113" s="71"/>
      <c r="R113" t="str">
        <f t="shared" si="3"/>
        <v>E10 Deploy</v>
      </c>
    </row>
    <row r="114" spans="1:18" x14ac:dyDescent="0.55000000000000004">
      <c r="A114" s="63" t="s">
        <v>162</v>
      </c>
      <c r="B114" s="64" t="s">
        <v>261</v>
      </c>
      <c r="C114" s="75" t="s">
        <v>136</v>
      </c>
      <c r="D114" s="66" t="s">
        <v>23</v>
      </c>
      <c r="E114" s="67">
        <v>46238</v>
      </c>
      <c r="F114" s="67">
        <v>46238</v>
      </c>
      <c r="G114" s="68" t="s">
        <v>262</v>
      </c>
      <c r="H114" s="64"/>
      <c r="I114" s="76"/>
      <c r="J114" s="64"/>
      <c r="K114" s="64"/>
      <c r="L114" s="64"/>
      <c r="M114" s="64"/>
      <c r="N114" s="64"/>
      <c r="O114" s="64"/>
      <c r="P114" s="64"/>
      <c r="Q114" s="64"/>
      <c r="R114" t="str">
        <f t="shared" si="3"/>
        <v>E10 Deploy</v>
      </c>
    </row>
    <row r="115" spans="1:18" x14ac:dyDescent="0.55000000000000004">
      <c r="A115" s="70" t="s">
        <v>162</v>
      </c>
      <c r="B115" s="71" t="s">
        <v>263</v>
      </c>
      <c r="C115" s="77" t="s">
        <v>128</v>
      </c>
      <c r="D115" s="72" t="s">
        <v>85</v>
      </c>
      <c r="E115" s="73">
        <v>46239</v>
      </c>
      <c r="F115" s="73">
        <v>46239</v>
      </c>
      <c r="G115" s="74" t="s">
        <v>264</v>
      </c>
      <c r="H115" s="71"/>
      <c r="I115" s="78"/>
      <c r="J115" s="71"/>
      <c r="K115" s="71"/>
      <c r="L115" s="71"/>
      <c r="M115" s="71"/>
      <c r="N115" s="71"/>
      <c r="O115" s="71"/>
      <c r="P115" s="71"/>
      <c r="Q115" s="71"/>
      <c r="R115" t="str">
        <f t="shared" si="3"/>
        <v>E10 Deploy</v>
      </c>
    </row>
    <row r="116" spans="1:18" x14ac:dyDescent="0.55000000000000004">
      <c r="A116" s="81" t="s">
        <v>162</v>
      </c>
      <c r="B116" s="82" t="s">
        <v>265</v>
      </c>
      <c r="C116" s="83" t="s">
        <v>22</v>
      </c>
      <c r="D116" s="84" t="s">
        <v>85</v>
      </c>
      <c r="E116" s="85">
        <v>46238</v>
      </c>
      <c r="F116" s="85">
        <v>46238</v>
      </c>
      <c r="G116" s="86" t="s">
        <v>266</v>
      </c>
      <c r="H116" s="82"/>
      <c r="I116" s="87"/>
      <c r="J116" s="82"/>
      <c r="K116" s="82"/>
      <c r="L116" s="82"/>
      <c r="M116" s="82"/>
      <c r="N116" s="82"/>
      <c r="O116" s="82"/>
      <c r="P116" s="82"/>
      <c r="Q116" s="82"/>
      <c r="R116" t="str">
        <f t="shared" si="3"/>
        <v>E10 Deploy</v>
      </c>
    </row>
    <row r="117" spans="1:18" x14ac:dyDescent="0.55000000000000004">
      <c r="A117" s="91" t="s">
        <v>83</v>
      </c>
      <c r="B117" s="92" t="s">
        <v>267</v>
      </c>
      <c r="C117" s="93" t="s">
        <v>22</v>
      </c>
      <c r="D117" s="94" t="s">
        <v>85</v>
      </c>
      <c r="E117" s="95">
        <v>46238</v>
      </c>
      <c r="F117" s="95">
        <v>46238</v>
      </c>
      <c r="G117" s="96" t="s">
        <v>268</v>
      </c>
      <c r="H117" s="92"/>
      <c r="I117" s="97"/>
      <c r="J117" s="92"/>
      <c r="K117" s="92"/>
      <c r="L117" s="92"/>
      <c r="M117" s="92"/>
      <c r="N117" s="92"/>
      <c r="O117" s="92"/>
      <c r="P117" s="92"/>
      <c r="Q117" s="92"/>
      <c r="R117" t="str">
        <f t="shared" si="3"/>
        <v>E7 Mobile</v>
      </c>
    </row>
    <row r="118" spans="1:18" x14ac:dyDescent="0.55000000000000004">
      <c r="A118" s="98" t="s">
        <v>83</v>
      </c>
      <c r="B118" s="99" t="s">
        <v>269</v>
      </c>
      <c r="C118" s="93" t="s">
        <v>22</v>
      </c>
      <c r="D118" s="100" t="s">
        <v>160</v>
      </c>
      <c r="E118" s="101">
        <v>46238</v>
      </c>
      <c r="F118" s="101">
        <v>46238</v>
      </c>
      <c r="G118" s="102" t="s">
        <v>270</v>
      </c>
      <c r="H118" s="99"/>
      <c r="I118" s="97"/>
      <c r="J118" s="99"/>
      <c r="K118" s="99"/>
      <c r="L118" s="99"/>
      <c r="M118" s="99"/>
      <c r="N118" s="99"/>
      <c r="O118" s="99"/>
      <c r="P118" s="99"/>
      <c r="Q118" s="99"/>
      <c r="R118" t="str">
        <f t="shared" si="3"/>
        <v>E7 Mobile</v>
      </c>
    </row>
    <row r="119" spans="1:18" x14ac:dyDescent="0.55000000000000004">
      <c r="A119" s="91" t="s">
        <v>162</v>
      </c>
      <c r="B119" s="92" t="s">
        <v>271</v>
      </c>
      <c r="C119" s="103" t="s">
        <v>128</v>
      </c>
      <c r="D119" s="94" t="s">
        <v>85</v>
      </c>
      <c r="E119" s="95">
        <v>46239</v>
      </c>
      <c r="F119" s="95">
        <v>46239</v>
      </c>
      <c r="G119" s="96" t="s">
        <v>272</v>
      </c>
      <c r="H119" s="92"/>
      <c r="I119" s="104"/>
      <c r="J119" s="92"/>
      <c r="K119" s="92"/>
      <c r="L119" s="92"/>
      <c r="M119" s="92"/>
      <c r="N119" s="92"/>
      <c r="O119" s="92"/>
      <c r="P119" s="92"/>
      <c r="Q119" s="92"/>
      <c r="R119" t="str">
        <f t="shared" si="3"/>
        <v>E10 Deploy</v>
      </c>
    </row>
    <row r="120" spans="1:18" x14ac:dyDescent="0.55000000000000004">
      <c r="A120" s="98" t="s">
        <v>83</v>
      </c>
      <c r="B120" s="99" t="s">
        <v>273</v>
      </c>
      <c r="C120" s="103" t="s">
        <v>128</v>
      </c>
      <c r="D120" s="100" t="s">
        <v>160</v>
      </c>
      <c r="E120" s="101">
        <v>46244</v>
      </c>
      <c r="F120" s="101">
        <v>46248</v>
      </c>
      <c r="G120" s="102" t="s">
        <v>274</v>
      </c>
      <c r="H120" s="99"/>
      <c r="I120" s="99"/>
      <c r="J120" s="104"/>
      <c r="K120" s="99"/>
      <c r="L120" s="99"/>
      <c r="M120" s="99"/>
      <c r="N120" s="99"/>
      <c r="O120" s="99"/>
      <c r="P120" s="99"/>
      <c r="Q120" s="99"/>
      <c r="R120" t="str">
        <f t="shared" si="3"/>
        <v>E7 Mobile</v>
      </c>
    </row>
    <row r="122" spans="1:18" x14ac:dyDescent="0.55000000000000004">
      <c r="A122" s="25" t="s">
        <v>275</v>
      </c>
      <c r="B122" s="5" t="s">
        <v>22</v>
      </c>
      <c r="C122" s="17" t="s">
        <v>231</v>
      </c>
      <c r="D122" s="19" t="s">
        <v>128</v>
      </c>
      <c r="E122" s="23" t="s">
        <v>145</v>
      </c>
      <c r="F122" s="21" t="s">
        <v>136</v>
      </c>
    </row>
  </sheetData>
  <mergeCells count="2">
    <mergeCell ref="A2:Q2"/>
    <mergeCell ref="A1:Q1"/>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S39"/>
  <sheetViews>
    <sheetView showGridLines="0" workbookViewId="0">
      <pane ySplit="3" topLeftCell="A4" activePane="bottomLeft" state="frozen"/>
      <selection pane="bottomLeft"/>
    </sheetView>
  </sheetViews>
  <sheetFormatPr defaultRowHeight="14.4" x14ac:dyDescent="0.55000000000000004"/>
  <cols>
    <col min="1" max="1" width="20" customWidth="1"/>
    <col min="2" max="19" width="11.47265625" customWidth="1"/>
    <col min="20" max="20" width="2" customWidth="1"/>
  </cols>
  <sheetData>
    <row r="1" spans="1:19" ht="30" customHeight="1" x14ac:dyDescent="0.55000000000000004">
      <c r="A1" s="127" t="s">
        <v>276</v>
      </c>
      <c r="B1" s="117"/>
      <c r="C1" s="117"/>
      <c r="D1" s="117"/>
      <c r="E1" s="117"/>
      <c r="F1" s="117"/>
      <c r="G1" s="117"/>
      <c r="H1" s="117"/>
      <c r="I1" s="117"/>
      <c r="J1" s="117"/>
      <c r="K1" s="117"/>
      <c r="L1" s="117"/>
      <c r="M1" s="117"/>
      <c r="N1" s="117"/>
      <c r="O1" s="117"/>
      <c r="P1" s="117"/>
      <c r="Q1" s="117"/>
      <c r="R1" s="117"/>
      <c r="S1" s="117"/>
    </row>
    <row r="2" spans="1:19" ht="18" customHeight="1" x14ac:dyDescent="0.55000000000000004">
      <c r="A2" s="134" t="s">
        <v>277</v>
      </c>
      <c r="B2" s="117"/>
      <c r="C2" s="117"/>
      <c r="D2" s="117"/>
      <c r="E2" s="117"/>
      <c r="F2" s="117"/>
      <c r="G2" s="117"/>
      <c r="H2" s="117"/>
      <c r="I2" s="117"/>
      <c r="J2" s="117"/>
      <c r="K2" s="117"/>
      <c r="L2" s="117"/>
      <c r="M2" s="117"/>
      <c r="N2" s="117"/>
      <c r="O2" s="117"/>
      <c r="P2" s="117"/>
      <c r="Q2" s="117"/>
      <c r="R2" s="117"/>
      <c r="S2" s="117"/>
    </row>
    <row r="4" spans="1:19" ht="20.05" customHeight="1" x14ac:dyDescent="0.55000000000000004">
      <c r="A4" s="122" t="s">
        <v>278</v>
      </c>
      <c r="B4" s="117"/>
      <c r="C4" s="117"/>
      <c r="D4" s="117"/>
      <c r="E4" s="117"/>
      <c r="F4" s="117"/>
      <c r="G4" s="117"/>
      <c r="H4" s="117"/>
      <c r="I4" s="117"/>
      <c r="J4" s="117"/>
      <c r="K4" s="117"/>
      <c r="L4" s="117"/>
      <c r="M4" s="117"/>
      <c r="N4" s="117"/>
      <c r="O4" s="117"/>
      <c r="P4" s="117"/>
      <c r="Q4" s="117"/>
      <c r="R4" s="117"/>
      <c r="S4" s="117"/>
    </row>
    <row r="5" spans="1:19" ht="52" customHeight="1" x14ac:dyDescent="0.55000000000000004">
      <c r="A5" s="37" t="s">
        <v>279</v>
      </c>
      <c r="B5" s="112" t="s">
        <v>280</v>
      </c>
      <c r="C5" s="113"/>
      <c r="D5" s="114"/>
      <c r="E5" s="115" t="s">
        <v>281</v>
      </c>
      <c r="F5" s="113"/>
      <c r="G5" s="114"/>
      <c r="H5" s="115" t="s">
        <v>282</v>
      </c>
      <c r="I5" s="113"/>
      <c r="J5" s="114"/>
      <c r="K5" s="112" t="s">
        <v>283</v>
      </c>
      <c r="L5" s="113"/>
      <c r="M5" s="114"/>
      <c r="N5" s="119" t="s">
        <v>284</v>
      </c>
      <c r="O5" s="113"/>
      <c r="P5" s="114"/>
      <c r="Q5" s="119" t="s">
        <v>285</v>
      </c>
      <c r="R5" s="113"/>
      <c r="S5" s="114"/>
    </row>
    <row r="6" spans="1:19" ht="15" customHeight="1" x14ac:dyDescent="0.55000000000000004">
      <c r="B6" s="116" t="s">
        <v>286</v>
      </c>
      <c r="C6" s="117"/>
      <c r="D6" s="117"/>
      <c r="E6" s="117"/>
      <c r="F6" s="117"/>
      <c r="G6" s="117"/>
      <c r="H6" s="117"/>
      <c r="I6" s="117"/>
      <c r="J6" s="117"/>
      <c r="K6" s="117"/>
      <c r="L6" s="117"/>
      <c r="M6" s="117"/>
      <c r="N6" s="117"/>
      <c r="O6" s="117"/>
      <c r="P6" s="117"/>
      <c r="Q6" s="117"/>
      <c r="R6" s="117"/>
      <c r="S6" s="117"/>
    </row>
    <row r="7" spans="1:19" ht="20.05" customHeight="1" x14ac:dyDescent="0.55000000000000004">
      <c r="A7" s="122" t="s">
        <v>287</v>
      </c>
      <c r="B7" s="117"/>
      <c r="C7" s="117"/>
      <c r="D7" s="117"/>
      <c r="E7" s="117"/>
      <c r="F7" s="117"/>
      <c r="G7" s="117"/>
      <c r="H7" s="117"/>
      <c r="I7" s="117"/>
      <c r="J7" s="117"/>
      <c r="K7" s="117"/>
      <c r="L7" s="117"/>
      <c r="M7" s="117"/>
      <c r="N7" s="117"/>
      <c r="O7" s="117"/>
      <c r="P7" s="117"/>
      <c r="Q7" s="117"/>
      <c r="R7" s="117"/>
      <c r="S7" s="117"/>
    </row>
    <row r="8" spans="1:19" ht="46" customHeight="1" x14ac:dyDescent="0.55000000000000004">
      <c r="A8" s="37" t="s">
        <v>288</v>
      </c>
      <c r="B8" s="125" t="s">
        <v>289</v>
      </c>
      <c r="C8" s="113"/>
      <c r="D8" s="113"/>
      <c r="E8" s="113"/>
      <c r="F8" s="113"/>
      <c r="G8" s="113"/>
      <c r="H8" s="113"/>
      <c r="I8" s="113"/>
      <c r="J8" s="114"/>
      <c r="K8" s="125" t="s">
        <v>290</v>
      </c>
      <c r="L8" s="113"/>
      <c r="M8" s="113"/>
      <c r="N8" s="113"/>
      <c r="O8" s="113"/>
      <c r="P8" s="113"/>
      <c r="Q8" s="113"/>
      <c r="R8" s="113"/>
      <c r="S8" s="114"/>
    </row>
    <row r="9" spans="1:19" ht="15" customHeight="1" x14ac:dyDescent="0.55000000000000004">
      <c r="B9" s="116" t="s">
        <v>286</v>
      </c>
      <c r="C9" s="117"/>
      <c r="D9" s="117"/>
      <c r="E9" s="117"/>
      <c r="F9" s="117"/>
      <c r="G9" s="117"/>
      <c r="H9" s="117"/>
      <c r="I9" s="117"/>
      <c r="J9" s="117"/>
      <c r="K9" s="117"/>
      <c r="L9" s="117"/>
      <c r="M9" s="117"/>
      <c r="N9" s="117"/>
      <c r="O9" s="117"/>
      <c r="P9" s="117"/>
      <c r="Q9" s="117"/>
      <c r="R9" s="117"/>
      <c r="S9" s="117"/>
    </row>
    <row r="10" spans="1:19" ht="20.05" customHeight="1" x14ac:dyDescent="0.55000000000000004">
      <c r="A10" s="122" t="s">
        <v>291</v>
      </c>
      <c r="B10" s="117"/>
      <c r="C10" s="117"/>
      <c r="D10" s="117"/>
      <c r="E10" s="117"/>
      <c r="F10" s="117"/>
      <c r="G10" s="117"/>
      <c r="H10" s="117"/>
      <c r="I10" s="117"/>
      <c r="J10" s="117"/>
      <c r="K10" s="117"/>
      <c r="L10" s="117"/>
      <c r="M10" s="117"/>
      <c r="N10" s="117"/>
      <c r="O10" s="117"/>
      <c r="P10" s="117"/>
      <c r="Q10" s="117"/>
      <c r="R10" s="117"/>
      <c r="S10" s="117"/>
    </row>
    <row r="11" spans="1:19" ht="54" customHeight="1" x14ac:dyDescent="0.55000000000000004">
      <c r="A11" s="37" t="s">
        <v>292</v>
      </c>
      <c r="B11" s="112" t="s">
        <v>293</v>
      </c>
      <c r="C11" s="113"/>
      <c r="D11" s="114"/>
      <c r="E11" s="112" t="s">
        <v>294</v>
      </c>
      <c r="F11" s="113"/>
      <c r="G11" s="114"/>
      <c r="H11" s="112" t="s">
        <v>295</v>
      </c>
      <c r="I11" s="113"/>
      <c r="J11" s="114"/>
      <c r="K11" s="115" t="s">
        <v>296</v>
      </c>
      <c r="L11" s="113"/>
      <c r="M11" s="114"/>
      <c r="N11" s="112" t="s">
        <v>297</v>
      </c>
      <c r="O11" s="113"/>
      <c r="P11" s="114"/>
      <c r="Q11" s="112" t="s">
        <v>298</v>
      </c>
      <c r="R11" s="113"/>
      <c r="S11" s="114"/>
    </row>
    <row r="12" spans="1:19" ht="15" customHeight="1" x14ac:dyDescent="0.55000000000000004">
      <c r="B12" s="116" t="s">
        <v>286</v>
      </c>
      <c r="C12" s="117"/>
      <c r="D12" s="117"/>
      <c r="E12" s="117"/>
      <c r="F12" s="117"/>
      <c r="G12" s="117"/>
      <c r="H12" s="117"/>
      <c r="I12" s="117"/>
      <c r="J12" s="117"/>
      <c r="K12" s="117"/>
      <c r="L12" s="117"/>
      <c r="M12" s="117"/>
      <c r="N12" s="117"/>
      <c r="O12" s="117"/>
      <c r="P12" s="117"/>
      <c r="Q12" s="117"/>
      <c r="R12" s="117"/>
      <c r="S12" s="117"/>
    </row>
    <row r="13" spans="1:19" ht="20.05" customHeight="1" x14ac:dyDescent="0.55000000000000004">
      <c r="A13" s="122" t="s">
        <v>299</v>
      </c>
      <c r="B13" s="117"/>
      <c r="C13" s="117"/>
      <c r="D13" s="117"/>
      <c r="E13" s="117"/>
      <c r="F13" s="117"/>
      <c r="G13" s="117"/>
      <c r="H13" s="117"/>
      <c r="I13" s="117"/>
      <c r="J13" s="117"/>
      <c r="K13" s="117"/>
      <c r="L13" s="117"/>
      <c r="M13" s="117"/>
      <c r="N13" s="117"/>
      <c r="O13" s="117"/>
      <c r="P13" s="117"/>
      <c r="Q13" s="117"/>
      <c r="R13" s="117"/>
      <c r="S13" s="117"/>
    </row>
    <row r="14" spans="1:19" ht="52" customHeight="1" x14ac:dyDescent="0.55000000000000004">
      <c r="A14" s="37" t="s">
        <v>300</v>
      </c>
      <c r="B14" s="120" t="s">
        <v>301</v>
      </c>
      <c r="C14" s="113"/>
      <c r="D14" s="113"/>
      <c r="E14" s="113"/>
      <c r="F14" s="113"/>
      <c r="G14" s="114"/>
      <c r="H14" s="120" t="s">
        <v>302</v>
      </c>
      <c r="I14" s="113"/>
      <c r="J14" s="113"/>
      <c r="K14" s="113"/>
      <c r="L14" s="113"/>
      <c r="M14" s="114"/>
      <c r="N14" s="120" t="s">
        <v>303</v>
      </c>
      <c r="O14" s="113"/>
      <c r="P14" s="114"/>
      <c r="Q14" s="115" t="s">
        <v>304</v>
      </c>
      <c r="R14" s="113"/>
      <c r="S14" s="114"/>
    </row>
    <row r="15" spans="1:19" ht="15" customHeight="1" x14ac:dyDescent="0.55000000000000004">
      <c r="B15" s="116" t="s">
        <v>305</v>
      </c>
      <c r="C15" s="117"/>
      <c r="D15" s="117"/>
      <c r="E15" s="117"/>
      <c r="F15" s="117"/>
      <c r="G15" s="117"/>
      <c r="H15" s="117"/>
      <c r="I15" s="117"/>
      <c r="J15" s="117"/>
      <c r="K15" s="117"/>
      <c r="L15" s="117"/>
      <c r="M15" s="117"/>
      <c r="N15" s="117"/>
      <c r="O15" s="117"/>
      <c r="P15" s="117"/>
      <c r="Q15" s="117"/>
      <c r="R15" s="117"/>
      <c r="S15" s="117"/>
    </row>
    <row r="16" spans="1:19" ht="20.05" customHeight="1" x14ac:dyDescent="0.55000000000000004">
      <c r="A16" s="122" t="s">
        <v>306</v>
      </c>
      <c r="B16" s="117"/>
      <c r="C16" s="117"/>
      <c r="D16" s="117"/>
      <c r="E16" s="117"/>
      <c r="F16" s="117"/>
      <c r="G16" s="117"/>
      <c r="H16" s="117"/>
      <c r="I16" s="117"/>
      <c r="J16" s="117"/>
      <c r="K16" s="117"/>
      <c r="L16" s="117"/>
      <c r="M16" s="117"/>
      <c r="N16" s="117"/>
      <c r="O16" s="117"/>
      <c r="P16" s="117"/>
      <c r="Q16" s="117"/>
      <c r="R16" s="117"/>
      <c r="S16" s="117"/>
    </row>
    <row r="17" spans="1:19" ht="54" customHeight="1" x14ac:dyDescent="0.55000000000000004">
      <c r="A17" s="37" t="s">
        <v>307</v>
      </c>
      <c r="B17" s="121" t="s">
        <v>308</v>
      </c>
      <c r="C17" s="113"/>
      <c r="D17" s="113"/>
      <c r="E17" s="113"/>
      <c r="F17" s="113"/>
      <c r="G17" s="114"/>
      <c r="H17" s="121" t="s">
        <v>309</v>
      </c>
      <c r="I17" s="113"/>
      <c r="J17" s="114"/>
      <c r="K17" s="121" t="s">
        <v>310</v>
      </c>
      <c r="L17" s="113"/>
      <c r="M17" s="114"/>
      <c r="N17" s="121" t="s">
        <v>311</v>
      </c>
      <c r="O17" s="113"/>
      <c r="P17" s="114"/>
      <c r="Q17" s="121" t="s">
        <v>312</v>
      </c>
      <c r="R17" s="113"/>
      <c r="S17" s="114"/>
    </row>
    <row r="18" spans="1:19" ht="15" customHeight="1" x14ac:dyDescent="0.55000000000000004">
      <c r="B18" s="116" t="s">
        <v>286</v>
      </c>
      <c r="C18" s="117"/>
      <c r="D18" s="117"/>
      <c r="E18" s="117"/>
      <c r="F18" s="117"/>
      <c r="G18" s="117"/>
      <c r="H18" s="117"/>
      <c r="I18" s="117"/>
      <c r="J18" s="117"/>
      <c r="K18" s="117"/>
      <c r="L18" s="117"/>
      <c r="M18" s="117"/>
      <c r="N18" s="117"/>
      <c r="O18" s="117"/>
      <c r="P18" s="117"/>
      <c r="Q18" s="117"/>
      <c r="R18" s="117"/>
      <c r="S18" s="117"/>
    </row>
    <row r="19" spans="1:19" ht="20.05" customHeight="1" x14ac:dyDescent="0.55000000000000004">
      <c r="A19" s="122" t="s">
        <v>313</v>
      </c>
      <c r="B19" s="117"/>
      <c r="C19" s="117"/>
      <c r="D19" s="117"/>
      <c r="E19" s="117"/>
      <c r="F19" s="117"/>
      <c r="G19" s="117"/>
      <c r="H19" s="117"/>
      <c r="I19" s="117"/>
      <c r="J19" s="117"/>
      <c r="K19" s="117"/>
      <c r="L19" s="117"/>
      <c r="M19" s="117"/>
      <c r="N19" s="117"/>
      <c r="O19" s="117"/>
      <c r="P19" s="117"/>
      <c r="Q19" s="117"/>
      <c r="R19" s="117"/>
      <c r="S19" s="117"/>
    </row>
    <row r="20" spans="1:19" ht="46" customHeight="1" x14ac:dyDescent="0.55000000000000004">
      <c r="A20" s="37" t="s">
        <v>314</v>
      </c>
      <c r="B20" s="123" t="s">
        <v>315</v>
      </c>
      <c r="C20" s="113"/>
      <c r="D20" s="113"/>
      <c r="E20" s="113"/>
      <c r="F20" s="113"/>
      <c r="G20" s="114"/>
      <c r="H20" s="123" t="s">
        <v>316</v>
      </c>
      <c r="I20" s="113"/>
      <c r="J20" s="113"/>
      <c r="K20" s="113"/>
      <c r="L20" s="113"/>
      <c r="M20" s="114"/>
      <c r="N20" s="123" t="s">
        <v>317</v>
      </c>
      <c r="O20" s="113"/>
      <c r="P20" s="113"/>
      <c r="Q20" s="113"/>
      <c r="R20" s="113"/>
      <c r="S20" s="114"/>
    </row>
    <row r="21" spans="1:19" ht="15" customHeight="1" x14ac:dyDescent="0.55000000000000004">
      <c r="B21" s="116" t="s">
        <v>286</v>
      </c>
      <c r="C21" s="117"/>
      <c r="D21" s="117"/>
      <c r="E21" s="117"/>
      <c r="F21" s="117"/>
      <c r="G21" s="117"/>
      <c r="H21" s="117"/>
      <c r="I21" s="117"/>
      <c r="J21" s="117"/>
      <c r="K21" s="117"/>
      <c r="L21" s="117"/>
      <c r="M21" s="117"/>
      <c r="N21" s="117"/>
      <c r="O21" s="117"/>
      <c r="P21" s="117"/>
      <c r="Q21" s="117"/>
      <c r="R21" s="117"/>
      <c r="S21" s="117"/>
    </row>
    <row r="22" spans="1:19" ht="20.05" customHeight="1" x14ac:dyDescent="0.55000000000000004">
      <c r="A22" s="122" t="s">
        <v>318</v>
      </c>
      <c r="B22" s="117"/>
      <c r="C22" s="117"/>
      <c r="D22" s="117"/>
      <c r="E22" s="117"/>
      <c r="F22" s="117"/>
      <c r="G22" s="117"/>
      <c r="H22" s="117"/>
      <c r="I22" s="117"/>
      <c r="J22" s="117"/>
      <c r="K22" s="117"/>
      <c r="L22" s="117"/>
      <c r="M22" s="117"/>
      <c r="N22" s="117"/>
      <c r="O22" s="117"/>
      <c r="P22" s="117"/>
      <c r="Q22" s="117"/>
      <c r="R22" s="117"/>
      <c r="S22" s="117"/>
    </row>
    <row r="23" spans="1:19" ht="52" customHeight="1" x14ac:dyDescent="0.55000000000000004">
      <c r="A23" s="37" t="s">
        <v>319</v>
      </c>
      <c r="B23" s="123" t="s">
        <v>320</v>
      </c>
      <c r="C23" s="113"/>
      <c r="D23" s="113"/>
      <c r="E23" s="113"/>
      <c r="F23" s="113"/>
      <c r="G23" s="114"/>
      <c r="H23" s="123" t="s">
        <v>321</v>
      </c>
      <c r="I23" s="113"/>
      <c r="J23" s="114"/>
      <c r="K23" s="123" t="s">
        <v>322</v>
      </c>
      <c r="L23" s="113"/>
      <c r="M23" s="114"/>
      <c r="N23" s="123" t="s">
        <v>323</v>
      </c>
      <c r="O23" s="113"/>
      <c r="P23" s="114"/>
      <c r="Q23" s="119" t="s">
        <v>324</v>
      </c>
      <c r="R23" s="113"/>
      <c r="S23" s="114"/>
    </row>
    <row r="26" spans="1:19" ht="20.05" customHeight="1" x14ac:dyDescent="0.55000000000000004">
      <c r="A26" s="128" t="s">
        <v>325</v>
      </c>
      <c r="B26" s="117"/>
      <c r="C26" s="117"/>
      <c r="D26" s="117"/>
      <c r="E26" s="117"/>
      <c r="F26" s="117"/>
      <c r="G26" s="117"/>
      <c r="H26" s="117"/>
      <c r="I26" s="117"/>
      <c r="J26" s="117"/>
      <c r="K26" s="117"/>
      <c r="L26" s="117"/>
      <c r="M26" s="117"/>
      <c r="N26" s="117"/>
      <c r="O26" s="117"/>
      <c r="P26" s="117"/>
      <c r="Q26" s="117"/>
      <c r="R26" s="117"/>
      <c r="S26" s="117"/>
    </row>
    <row r="27" spans="1:19" ht="52" customHeight="1" x14ac:dyDescent="0.55000000000000004">
      <c r="A27" s="37" t="s">
        <v>326</v>
      </c>
      <c r="B27" s="112" t="s">
        <v>327</v>
      </c>
      <c r="C27" s="113"/>
      <c r="D27" s="114"/>
      <c r="E27" s="112" t="s">
        <v>328</v>
      </c>
      <c r="F27" s="113"/>
      <c r="G27" s="114"/>
      <c r="H27" s="120" t="s">
        <v>329</v>
      </c>
      <c r="I27" s="113"/>
      <c r="J27" s="114"/>
      <c r="K27" s="121" t="s">
        <v>330</v>
      </c>
      <c r="L27" s="113"/>
      <c r="M27" s="114"/>
      <c r="N27" s="121" t="s">
        <v>331</v>
      </c>
      <c r="O27" s="113"/>
      <c r="P27" s="114"/>
      <c r="Q27" s="120" t="s">
        <v>332</v>
      </c>
      <c r="R27" s="113"/>
      <c r="S27" s="114"/>
    </row>
    <row r="30" spans="1:19" ht="20.05" customHeight="1" x14ac:dyDescent="0.55000000000000004">
      <c r="A30" s="122" t="s">
        <v>333</v>
      </c>
      <c r="B30" s="117"/>
      <c r="C30" s="117"/>
      <c r="D30" s="117"/>
      <c r="E30" s="117"/>
      <c r="F30" s="117"/>
      <c r="G30" s="117"/>
      <c r="H30" s="117"/>
      <c r="I30" s="117"/>
      <c r="J30" s="117"/>
      <c r="K30" s="117"/>
      <c r="L30" s="117"/>
      <c r="M30" s="117"/>
      <c r="N30" s="117"/>
      <c r="O30" s="117"/>
      <c r="P30" s="117"/>
      <c r="Q30" s="117"/>
      <c r="R30" s="117"/>
      <c r="S30" s="117"/>
    </row>
    <row r="31" spans="1:19" ht="16" customHeight="1" x14ac:dyDescent="0.55000000000000004">
      <c r="A31" s="118" t="s">
        <v>334</v>
      </c>
      <c r="B31" s="117"/>
      <c r="C31" s="117"/>
      <c r="D31" s="117"/>
      <c r="E31" s="117"/>
      <c r="F31" s="117"/>
      <c r="G31" s="117"/>
      <c r="H31" s="117"/>
      <c r="I31" s="117"/>
      <c r="J31" s="117"/>
      <c r="K31" s="117"/>
      <c r="L31" s="117"/>
      <c r="M31" s="117"/>
      <c r="N31" s="117"/>
      <c r="O31" s="117"/>
      <c r="P31" s="117"/>
      <c r="Q31" s="117"/>
      <c r="R31" s="117"/>
      <c r="S31" s="117"/>
    </row>
    <row r="32" spans="1:19" ht="16" customHeight="1" x14ac:dyDescent="0.55000000000000004">
      <c r="A32" s="118" t="s">
        <v>335</v>
      </c>
      <c r="B32" s="117"/>
      <c r="C32" s="117"/>
      <c r="D32" s="117"/>
      <c r="E32" s="117"/>
      <c r="F32" s="117"/>
      <c r="G32" s="117"/>
      <c r="H32" s="117"/>
      <c r="I32" s="117"/>
      <c r="J32" s="117"/>
      <c r="K32" s="117"/>
      <c r="L32" s="117"/>
      <c r="M32" s="117"/>
      <c r="N32" s="117"/>
      <c r="O32" s="117"/>
      <c r="P32" s="117"/>
      <c r="Q32" s="117"/>
      <c r="R32" s="117"/>
      <c r="S32" s="117"/>
    </row>
    <row r="33" spans="1:19" ht="16" customHeight="1" x14ac:dyDescent="0.55000000000000004">
      <c r="A33" s="118" t="s">
        <v>336</v>
      </c>
      <c r="B33" s="117"/>
      <c r="C33" s="117"/>
      <c r="D33" s="117"/>
      <c r="E33" s="117"/>
      <c r="F33" s="117"/>
      <c r="G33" s="117"/>
      <c r="H33" s="117"/>
      <c r="I33" s="117"/>
      <c r="J33" s="117"/>
      <c r="K33" s="117"/>
      <c r="L33" s="117"/>
      <c r="M33" s="117"/>
      <c r="N33" s="117"/>
      <c r="O33" s="117"/>
      <c r="P33" s="117"/>
      <c r="Q33" s="117"/>
      <c r="R33" s="117"/>
      <c r="S33" s="117"/>
    </row>
    <row r="34" spans="1:19" ht="16" customHeight="1" x14ac:dyDescent="0.55000000000000004">
      <c r="A34" s="118" t="s">
        <v>337</v>
      </c>
      <c r="B34" s="117"/>
      <c r="C34" s="117"/>
      <c r="D34" s="117"/>
      <c r="E34" s="117"/>
      <c r="F34" s="117"/>
      <c r="G34" s="117"/>
      <c r="H34" s="117"/>
      <c r="I34" s="117"/>
      <c r="J34" s="117"/>
      <c r="K34" s="117"/>
      <c r="L34" s="117"/>
      <c r="M34" s="117"/>
      <c r="N34" s="117"/>
      <c r="O34" s="117"/>
      <c r="P34" s="117"/>
      <c r="Q34" s="117"/>
      <c r="R34" s="117"/>
      <c r="S34" s="117"/>
    </row>
    <row r="35" spans="1:19" ht="16" customHeight="1" x14ac:dyDescent="0.55000000000000004">
      <c r="A35" s="118" t="s">
        <v>338</v>
      </c>
      <c r="B35" s="117"/>
      <c r="C35" s="117"/>
      <c r="D35" s="117"/>
      <c r="E35" s="117"/>
      <c r="F35" s="117"/>
      <c r="G35" s="117"/>
      <c r="H35" s="117"/>
      <c r="I35" s="117"/>
      <c r="J35" s="117"/>
      <c r="K35" s="117"/>
      <c r="L35" s="117"/>
      <c r="M35" s="117"/>
      <c r="N35" s="117"/>
      <c r="O35" s="117"/>
      <c r="P35" s="117"/>
      <c r="Q35" s="117"/>
      <c r="R35" s="117"/>
      <c r="S35" s="117"/>
    </row>
    <row r="36" spans="1:19" ht="16" customHeight="1" x14ac:dyDescent="0.55000000000000004">
      <c r="A36" s="118" t="s">
        <v>339</v>
      </c>
      <c r="B36" s="117"/>
      <c r="C36" s="117"/>
      <c r="D36" s="117"/>
      <c r="E36" s="117"/>
      <c r="F36" s="117"/>
      <c r="G36" s="117"/>
      <c r="H36" s="117"/>
      <c r="I36" s="117"/>
      <c r="J36" s="117"/>
      <c r="K36" s="117"/>
      <c r="L36" s="117"/>
      <c r="M36" s="117"/>
      <c r="N36" s="117"/>
      <c r="O36" s="117"/>
      <c r="P36" s="117"/>
      <c r="Q36" s="117"/>
      <c r="R36" s="117"/>
      <c r="S36" s="117"/>
    </row>
    <row r="37" spans="1:19" ht="16" customHeight="1" x14ac:dyDescent="0.55000000000000004">
      <c r="A37" s="129" t="s">
        <v>340</v>
      </c>
      <c r="B37" s="117"/>
      <c r="C37" s="117"/>
      <c r="D37" s="117"/>
      <c r="E37" s="117"/>
      <c r="F37" s="117"/>
      <c r="G37" s="117"/>
      <c r="H37" s="117"/>
      <c r="I37" s="117"/>
      <c r="J37" s="117"/>
      <c r="K37" s="117"/>
      <c r="L37" s="117"/>
      <c r="M37" s="117"/>
      <c r="N37" s="117"/>
      <c r="O37" s="117"/>
      <c r="P37" s="117"/>
      <c r="Q37" s="117"/>
      <c r="R37" s="117"/>
      <c r="S37" s="117"/>
    </row>
    <row r="39" spans="1:19" ht="18" customHeight="1" x14ac:dyDescent="0.55000000000000004">
      <c r="A39" s="38" t="s">
        <v>275</v>
      </c>
      <c r="B39" s="132" t="s">
        <v>341</v>
      </c>
      <c r="C39" s="117"/>
      <c r="D39" s="117"/>
      <c r="E39" s="130" t="s">
        <v>342</v>
      </c>
      <c r="F39" s="117"/>
      <c r="G39" s="117"/>
      <c r="H39" s="133" t="s">
        <v>343</v>
      </c>
      <c r="I39" s="117"/>
      <c r="J39" s="117"/>
      <c r="K39" s="126" t="s">
        <v>344</v>
      </c>
      <c r="L39" s="117"/>
      <c r="M39" s="117"/>
      <c r="N39" s="124" t="s">
        <v>45</v>
      </c>
      <c r="O39" s="117"/>
      <c r="P39" s="117"/>
      <c r="Q39" s="131" t="s">
        <v>345</v>
      </c>
      <c r="R39" s="117"/>
      <c r="S39" s="117"/>
    </row>
  </sheetData>
  <mergeCells count="67">
    <mergeCell ref="A1:S1"/>
    <mergeCell ref="H14:M14"/>
    <mergeCell ref="N27:P27"/>
    <mergeCell ref="A26:S26"/>
    <mergeCell ref="A16:S16"/>
    <mergeCell ref="H20:M20"/>
    <mergeCell ref="N20:S20"/>
    <mergeCell ref="A7:S7"/>
    <mergeCell ref="N11:P11"/>
    <mergeCell ref="E5:G5"/>
    <mergeCell ref="K5:M5"/>
    <mergeCell ref="B27:D27"/>
    <mergeCell ref="A2:S2"/>
    <mergeCell ref="K11:M11"/>
    <mergeCell ref="B18:S18"/>
    <mergeCell ref="B6:S6"/>
    <mergeCell ref="Q11:S11"/>
    <mergeCell ref="B20:G20"/>
    <mergeCell ref="B5:D5"/>
    <mergeCell ref="B15:S15"/>
    <mergeCell ref="H5:J5"/>
    <mergeCell ref="A31:S31"/>
    <mergeCell ref="K39:M39"/>
    <mergeCell ref="A34:S34"/>
    <mergeCell ref="B9:S9"/>
    <mergeCell ref="K17:M17"/>
    <mergeCell ref="Q17:S17"/>
    <mergeCell ref="A30:S30"/>
    <mergeCell ref="A36:S36"/>
    <mergeCell ref="H23:J23"/>
    <mergeCell ref="A37:S37"/>
    <mergeCell ref="E39:G39"/>
    <mergeCell ref="Q39:S39"/>
    <mergeCell ref="B39:D39"/>
    <mergeCell ref="H39:J39"/>
    <mergeCell ref="N39:P39"/>
    <mergeCell ref="B8:J8"/>
    <mergeCell ref="B12:S12"/>
    <mergeCell ref="A35:S35"/>
    <mergeCell ref="A4:S4"/>
    <mergeCell ref="H17:J17"/>
    <mergeCell ref="H11:J11"/>
    <mergeCell ref="A10:S10"/>
    <mergeCell ref="K8:S8"/>
    <mergeCell ref="A19:S19"/>
    <mergeCell ref="E11:G11"/>
    <mergeCell ref="E27:G27"/>
    <mergeCell ref="A13:S13"/>
    <mergeCell ref="K27:M27"/>
    <mergeCell ref="Q27:S27"/>
    <mergeCell ref="H27:J27"/>
    <mergeCell ref="B11:D11"/>
    <mergeCell ref="Q14:S14"/>
    <mergeCell ref="B21:S21"/>
    <mergeCell ref="A33:S33"/>
    <mergeCell ref="Q5:S5"/>
    <mergeCell ref="Q23:S23"/>
    <mergeCell ref="B14:G14"/>
    <mergeCell ref="A32:S32"/>
    <mergeCell ref="B17:G17"/>
    <mergeCell ref="N14:P14"/>
    <mergeCell ref="A22:S22"/>
    <mergeCell ref="B23:G23"/>
    <mergeCell ref="N5:P5"/>
    <mergeCell ref="N17:P17"/>
    <mergeCell ref="N23:P23"/>
    <mergeCell ref="K23:M23"/>
  </mergeCell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19"/>
  <sheetViews>
    <sheetView workbookViewId="0"/>
  </sheetViews>
  <sheetFormatPr defaultRowHeight="14.4" x14ac:dyDescent="0.55000000000000004"/>
  <cols>
    <col min="1" max="1" width="22" customWidth="1"/>
    <col min="2" max="3" width="9" customWidth="1"/>
    <col min="4" max="4" width="20" customWidth="1"/>
    <col min="5" max="5" width="10" customWidth="1"/>
    <col min="6" max="6" width="13" customWidth="1"/>
  </cols>
  <sheetData>
    <row r="1" spans="1:6" ht="26.05" customHeight="1" x14ac:dyDescent="0.55000000000000004">
      <c r="A1" s="135" t="s">
        <v>346</v>
      </c>
      <c r="B1" s="109"/>
      <c r="C1" s="109"/>
      <c r="D1" s="109"/>
      <c r="E1" s="109"/>
      <c r="F1" s="110"/>
    </row>
    <row r="3" spans="1:6" x14ac:dyDescent="0.55000000000000004">
      <c r="A3" s="1" t="s">
        <v>2</v>
      </c>
      <c r="B3" s="1" t="s">
        <v>347</v>
      </c>
      <c r="C3" s="1" t="s">
        <v>22</v>
      </c>
      <c r="D3" s="1" t="s">
        <v>348</v>
      </c>
      <c r="E3" s="1" t="s">
        <v>145</v>
      </c>
      <c r="F3" s="1" t="s">
        <v>349</v>
      </c>
    </row>
    <row r="4" spans="1:6" x14ac:dyDescent="0.55000000000000004">
      <c r="A4" s="25" t="s">
        <v>20</v>
      </c>
      <c r="B4" s="26">
        <f t="shared" ref="B4:B14" si="0">C4+D4+E4</f>
        <v>4</v>
      </c>
      <c r="C4" s="26">
        <f>COUNTIFS('Delivery Board'!$R$5:$R$500,$A4,'Delivery Board'!$C$5:$C$500,"Done")</f>
        <v>4</v>
      </c>
      <c r="D4" s="26">
        <f>COUNTIFS('Delivery Board'!$R$5:$R$500,$A4,'Delivery Board'!$C$5:$C$500,"Planned")+COUNTIFS('Delivery Board'!$R$5:$R$500,$A4,'Delivery Board'!$C$5:$C$500,"In progress")+COUNTIFS('Delivery Board'!$R$5:$R$500,$A4,'Delivery Board'!$C$5:$C$500,"Milestone")</f>
        <v>0</v>
      </c>
      <c r="E4" s="26">
        <f>COUNTIFS('Delivery Board'!$R$5:$R$500,$A4,'Delivery Board'!$C$5:$C$500,"Blocked")</f>
        <v>0</v>
      </c>
      <c r="F4" s="27">
        <f t="shared" ref="F4:F14" si="1">IF(B4=0,0,C4/B4)</f>
        <v>1</v>
      </c>
    </row>
    <row r="5" spans="1:6" x14ac:dyDescent="0.55000000000000004">
      <c r="A5" s="25" t="s">
        <v>31</v>
      </c>
      <c r="B5" s="26">
        <f t="shared" si="0"/>
        <v>5</v>
      </c>
      <c r="C5" s="26">
        <f>COUNTIFS('Delivery Board'!$R$5:$R$500,$A5,'Delivery Board'!$C$5:$C$500,"Done")</f>
        <v>5</v>
      </c>
      <c r="D5" s="26">
        <f>COUNTIFS('Delivery Board'!$R$5:$R$500,$A5,'Delivery Board'!$C$5:$C$500,"Planned")+COUNTIFS('Delivery Board'!$R$5:$R$500,$A5,'Delivery Board'!$C$5:$C$500,"In progress")+COUNTIFS('Delivery Board'!$R$5:$R$500,$A5,'Delivery Board'!$C$5:$C$500,"Milestone")</f>
        <v>0</v>
      </c>
      <c r="E5" s="26">
        <f>COUNTIFS('Delivery Board'!$R$5:$R$500,$A5,'Delivery Board'!$C$5:$C$500,"Blocked")</f>
        <v>0</v>
      </c>
      <c r="F5" s="27">
        <f t="shared" si="1"/>
        <v>1</v>
      </c>
    </row>
    <row r="6" spans="1:6" x14ac:dyDescent="0.55000000000000004">
      <c r="A6" s="25" t="s">
        <v>43</v>
      </c>
      <c r="B6" s="26">
        <f t="shared" si="0"/>
        <v>3</v>
      </c>
      <c r="C6" s="26">
        <f>COUNTIFS('Delivery Board'!$R$5:$R$500,$A6,'Delivery Board'!$C$5:$C$500,"Done")</f>
        <v>3</v>
      </c>
      <c r="D6" s="26">
        <f>COUNTIFS('Delivery Board'!$R$5:$R$500,$A6,'Delivery Board'!$C$5:$C$500,"Planned")+COUNTIFS('Delivery Board'!$R$5:$R$500,$A6,'Delivery Board'!$C$5:$C$500,"In progress")+COUNTIFS('Delivery Board'!$R$5:$R$500,$A6,'Delivery Board'!$C$5:$C$500,"Milestone")</f>
        <v>0</v>
      </c>
      <c r="E6" s="26">
        <f>COUNTIFS('Delivery Board'!$R$5:$R$500,$A6,'Delivery Board'!$C$5:$C$500,"Blocked")</f>
        <v>0</v>
      </c>
      <c r="F6" s="27">
        <f t="shared" si="1"/>
        <v>1</v>
      </c>
    </row>
    <row r="7" spans="1:6" x14ac:dyDescent="0.55000000000000004">
      <c r="A7" s="25" t="s">
        <v>51</v>
      </c>
      <c r="B7" s="26">
        <f t="shared" si="0"/>
        <v>5</v>
      </c>
      <c r="C7" s="26">
        <f>COUNTIFS('Delivery Board'!$R$5:$R$500,$A7,'Delivery Board'!$C$5:$C$500,"Done")</f>
        <v>5</v>
      </c>
      <c r="D7" s="26">
        <f>COUNTIFS('Delivery Board'!$R$5:$R$500,$A7,'Delivery Board'!$C$5:$C$500,"Planned")+COUNTIFS('Delivery Board'!$R$5:$R$500,$A7,'Delivery Board'!$C$5:$C$500,"In progress")+COUNTIFS('Delivery Board'!$R$5:$R$500,$A7,'Delivery Board'!$C$5:$C$500,"Milestone")</f>
        <v>0</v>
      </c>
      <c r="E7" s="26">
        <f>COUNTIFS('Delivery Board'!$R$5:$R$500,$A7,'Delivery Board'!$C$5:$C$500,"Blocked")</f>
        <v>0</v>
      </c>
      <c r="F7" s="27">
        <f t="shared" si="1"/>
        <v>1</v>
      </c>
    </row>
    <row r="8" spans="1:6" x14ac:dyDescent="0.55000000000000004">
      <c r="A8" s="25" t="s">
        <v>62</v>
      </c>
      <c r="B8" s="26">
        <f t="shared" si="0"/>
        <v>7</v>
      </c>
      <c r="C8" s="26">
        <f>COUNTIFS('Delivery Board'!$R$5:$R$500,$A8,'Delivery Board'!$C$5:$C$500,"Done")</f>
        <v>7</v>
      </c>
      <c r="D8" s="26">
        <f>COUNTIFS('Delivery Board'!$R$5:$R$500,$A8,'Delivery Board'!$C$5:$C$500,"Planned")+COUNTIFS('Delivery Board'!$R$5:$R$500,$A8,'Delivery Board'!$C$5:$C$500,"In progress")+COUNTIFS('Delivery Board'!$R$5:$R$500,$A8,'Delivery Board'!$C$5:$C$500,"Milestone")</f>
        <v>0</v>
      </c>
      <c r="E8" s="26">
        <f>COUNTIFS('Delivery Board'!$R$5:$R$500,$A8,'Delivery Board'!$C$5:$C$500,"Blocked")</f>
        <v>0</v>
      </c>
      <c r="F8" s="27">
        <f t="shared" si="1"/>
        <v>1</v>
      </c>
    </row>
    <row r="9" spans="1:6" x14ac:dyDescent="0.55000000000000004">
      <c r="A9" s="25" t="s">
        <v>73</v>
      </c>
      <c r="B9" s="26">
        <f t="shared" si="0"/>
        <v>4</v>
      </c>
      <c r="C9" s="26">
        <f>COUNTIFS('Delivery Board'!$R$5:$R$500,$A9,'Delivery Board'!$C$5:$C$500,"Done")</f>
        <v>4</v>
      </c>
      <c r="D9" s="26">
        <f>COUNTIFS('Delivery Board'!$R$5:$R$500,$A9,'Delivery Board'!$C$5:$C$500,"Planned")+COUNTIFS('Delivery Board'!$R$5:$R$500,$A9,'Delivery Board'!$C$5:$C$500,"In progress")+COUNTIFS('Delivery Board'!$R$5:$R$500,$A9,'Delivery Board'!$C$5:$C$500,"Milestone")</f>
        <v>0</v>
      </c>
      <c r="E9" s="26">
        <f>COUNTIFS('Delivery Board'!$R$5:$R$500,$A9,'Delivery Board'!$C$5:$C$500,"Blocked")</f>
        <v>0</v>
      </c>
      <c r="F9" s="27">
        <f t="shared" si="1"/>
        <v>1</v>
      </c>
    </row>
    <row r="10" spans="1:6" x14ac:dyDescent="0.55000000000000004">
      <c r="A10" s="25" t="s">
        <v>83</v>
      </c>
      <c r="B10" s="26">
        <f t="shared" si="0"/>
        <v>10</v>
      </c>
      <c r="C10" s="26">
        <f>COUNTIFS('Delivery Board'!$R$5:$R$500,$A10,'Delivery Board'!$C$5:$C$500,"Done")</f>
        <v>9</v>
      </c>
      <c r="D10" s="26">
        <f>COUNTIFS('Delivery Board'!$R$5:$R$500,$A10,'Delivery Board'!$C$5:$C$500,"Planned")+COUNTIFS('Delivery Board'!$R$5:$R$500,$A10,'Delivery Board'!$C$5:$C$500,"In progress")+COUNTIFS('Delivery Board'!$R$5:$R$500,$A10,'Delivery Board'!$C$5:$C$500,"Milestone")</f>
        <v>1</v>
      </c>
      <c r="E10" s="26">
        <f>COUNTIFS('Delivery Board'!$R$5:$R$500,$A10,'Delivery Board'!$C$5:$C$500,"Blocked")</f>
        <v>0</v>
      </c>
      <c r="F10" s="27">
        <f t="shared" si="1"/>
        <v>0.9</v>
      </c>
    </row>
    <row r="11" spans="1:6" x14ac:dyDescent="0.55000000000000004">
      <c r="A11" s="25" t="s">
        <v>99</v>
      </c>
      <c r="B11" s="26">
        <f t="shared" si="0"/>
        <v>26</v>
      </c>
      <c r="C11" s="26">
        <f>COUNTIFS('Delivery Board'!$R$5:$R$500,$A11,'Delivery Board'!$C$5:$C$500,"Done")</f>
        <v>22</v>
      </c>
      <c r="D11" s="26">
        <f>COUNTIFS('Delivery Board'!$R$5:$R$500,$A11,'Delivery Board'!$C$5:$C$500,"Planned")+COUNTIFS('Delivery Board'!$R$5:$R$500,$A11,'Delivery Board'!$C$5:$C$500,"In progress")+COUNTIFS('Delivery Board'!$R$5:$R$500,$A11,'Delivery Board'!$C$5:$C$500,"Milestone")</f>
        <v>4</v>
      </c>
      <c r="E11" s="26">
        <f>COUNTIFS('Delivery Board'!$R$5:$R$500,$A11,'Delivery Board'!$C$5:$C$500,"Blocked")</f>
        <v>0</v>
      </c>
      <c r="F11" s="27">
        <f t="shared" si="1"/>
        <v>0.84615384615384615</v>
      </c>
    </row>
    <row r="12" spans="1:6" x14ac:dyDescent="0.55000000000000004">
      <c r="A12" s="25" t="s">
        <v>130</v>
      </c>
      <c r="B12" s="26">
        <f t="shared" si="0"/>
        <v>19</v>
      </c>
      <c r="C12" s="26">
        <f>COUNTIFS('Delivery Board'!$R$5:$R$500,$A12,'Delivery Board'!$C$5:$C$500,"Done")</f>
        <v>4</v>
      </c>
      <c r="D12" s="26">
        <f>COUNTIFS('Delivery Board'!$R$5:$R$500,$A12,'Delivery Board'!$C$5:$C$500,"Planned")+COUNTIFS('Delivery Board'!$R$5:$R$500,$A12,'Delivery Board'!$C$5:$C$500,"In progress")+COUNTIFS('Delivery Board'!$R$5:$R$500,$A12,'Delivery Board'!$C$5:$C$500,"Milestone")</f>
        <v>13</v>
      </c>
      <c r="E12" s="26">
        <f>COUNTIFS('Delivery Board'!$R$5:$R$500,$A12,'Delivery Board'!$C$5:$C$500,"Blocked")</f>
        <v>2</v>
      </c>
      <c r="F12" s="27">
        <f t="shared" si="1"/>
        <v>0.21052631578947367</v>
      </c>
    </row>
    <row r="13" spans="1:6" x14ac:dyDescent="0.55000000000000004">
      <c r="A13" s="25" t="s">
        <v>162</v>
      </c>
      <c r="B13" s="26">
        <f t="shared" si="0"/>
        <v>24</v>
      </c>
      <c r="C13" s="26">
        <f>COUNTIFS('Delivery Board'!$R$5:$R$500,$A13,'Delivery Board'!$C$5:$C$500,"Done")</f>
        <v>9</v>
      </c>
      <c r="D13" s="26">
        <f>COUNTIFS('Delivery Board'!$R$5:$R$500,$A13,'Delivery Board'!$C$5:$C$500,"Planned")+COUNTIFS('Delivery Board'!$R$5:$R$500,$A13,'Delivery Board'!$C$5:$C$500,"In progress")+COUNTIFS('Delivery Board'!$R$5:$R$500,$A13,'Delivery Board'!$C$5:$C$500,"Milestone")</f>
        <v>15</v>
      </c>
      <c r="E13" s="26">
        <f>COUNTIFS('Delivery Board'!$R$5:$R$500,$A13,'Delivery Board'!$C$5:$C$500,"Blocked")</f>
        <v>0</v>
      </c>
      <c r="F13" s="27">
        <f t="shared" si="1"/>
        <v>0.375</v>
      </c>
    </row>
    <row r="14" spans="1:6" x14ac:dyDescent="0.55000000000000004">
      <c r="A14" s="25" t="s">
        <v>191</v>
      </c>
      <c r="B14" s="26">
        <f t="shared" si="0"/>
        <v>9</v>
      </c>
      <c r="C14" s="26">
        <f>COUNTIFS('Delivery Board'!$R$5:$R$500,$A14,'Delivery Board'!$C$5:$C$500,"Done")</f>
        <v>5</v>
      </c>
      <c r="D14" s="26">
        <f>COUNTIFS('Delivery Board'!$R$5:$R$500,$A14,'Delivery Board'!$C$5:$C$500,"Planned")+COUNTIFS('Delivery Board'!$R$5:$R$500,$A14,'Delivery Board'!$C$5:$C$500,"In progress")+COUNTIFS('Delivery Board'!$R$5:$R$500,$A14,'Delivery Board'!$C$5:$C$500,"Milestone")</f>
        <v>4</v>
      </c>
      <c r="E14" s="26">
        <f>COUNTIFS('Delivery Board'!$R$5:$R$500,$A14,'Delivery Board'!$C$5:$C$500,"Blocked")</f>
        <v>0</v>
      </c>
      <c r="F14" s="27">
        <f t="shared" si="1"/>
        <v>0.55555555555555558</v>
      </c>
    </row>
    <row r="16" spans="1:6" x14ac:dyDescent="0.55000000000000004">
      <c r="A16" s="28" t="s">
        <v>350</v>
      </c>
      <c r="B16" s="29">
        <f>SUM(B4:B14)</f>
        <v>116</v>
      </c>
      <c r="C16" s="29">
        <f>SUM(C4:C14)</f>
        <v>77</v>
      </c>
      <c r="D16">
        <f>SUM(D4:D14)</f>
        <v>37</v>
      </c>
      <c r="E16">
        <f>SUM(E4:E14)</f>
        <v>2</v>
      </c>
      <c r="F16" s="30">
        <f>IF(B16=0,0,C16/B16)</f>
        <v>0.66379310344827591</v>
      </c>
    </row>
    <row r="18" spans="1:2" x14ac:dyDescent="0.55000000000000004">
      <c r="A18" s="43" t="s">
        <v>351</v>
      </c>
      <c r="B18" s="44">
        <f>COUNTIFS('Delivery Board'!$R$5:$R$500,"&lt;&gt;",'Delivery Board'!$C$5:$C$500,"Done")+COUNTIFS('Delivery Board'!$R$5:$R$500,"&lt;&gt;",'Delivery Board'!$C$5:$C$500,"Planned")+COUNTIFS('Delivery Board'!$R$5:$R$500,"&lt;&gt;",'Delivery Board'!$C$5:$C$500,"In progress")+COUNTIFS('Delivery Board'!$R$5:$R$500,"&lt;&gt;",'Delivery Board'!$C$5:$C$500,"Milestone")+COUNTIFS('Delivery Board'!$R$5:$R$500,"&lt;&gt;",'Delivery Board'!$C$5:$C$500,"Blocked")-B16</f>
        <v>0</v>
      </c>
    </row>
    <row r="19" spans="1:2" x14ac:dyDescent="0.55000000000000004">
      <c r="A19" s="45" t="s">
        <v>352</v>
      </c>
    </row>
  </sheetData>
  <mergeCells count="1">
    <mergeCell ref="A1:F1"/>
  </mergeCells>
  <conditionalFormatting sqref="F4:F14">
    <cfRule type="cellIs" dxfId="1" priority="1" operator="greaterThanOrEqual">
      <formula>0.99</formula>
    </cfRule>
    <cfRule type="cellIs" dxfId="0" priority="2" operator="lessThan">
      <formula>0.5</formula>
    </cfRule>
  </conditionalFormatting>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31"/>
  <sheetViews>
    <sheetView workbookViewId="0">
      <pane ySplit="3" topLeftCell="A4" activePane="bottomLeft" state="frozen"/>
      <selection pane="bottomLeft"/>
    </sheetView>
  </sheetViews>
  <sheetFormatPr defaultRowHeight="14.4" x14ac:dyDescent="0.55000000000000004"/>
  <cols>
    <col min="1" max="1" width="34" customWidth="1"/>
    <col min="2" max="2" width="13" customWidth="1"/>
    <col min="3" max="3" width="11" customWidth="1"/>
    <col min="4" max="4" width="12" customWidth="1"/>
    <col min="5" max="5" width="62" customWidth="1"/>
  </cols>
  <sheetData>
    <row r="1" spans="1:5" ht="26.05" customHeight="1" x14ac:dyDescent="0.55000000000000004">
      <c r="A1" s="135" t="s">
        <v>353</v>
      </c>
      <c r="B1" s="109"/>
      <c r="C1" s="109"/>
      <c r="D1" s="109"/>
      <c r="E1" s="110"/>
    </row>
    <row r="3" spans="1:5" x14ac:dyDescent="0.55000000000000004">
      <c r="A3" s="31" t="s">
        <v>354</v>
      </c>
      <c r="B3" s="31" t="s">
        <v>355</v>
      </c>
      <c r="C3" s="31" t="s">
        <v>356</v>
      </c>
      <c r="D3" s="31" t="s">
        <v>4</v>
      </c>
      <c r="E3" s="31" t="s">
        <v>357</v>
      </c>
    </row>
    <row r="4" spans="1:5" ht="28" customHeight="1" x14ac:dyDescent="0.55000000000000004">
      <c r="A4" s="32" t="s">
        <v>358</v>
      </c>
      <c r="B4" s="12" t="s">
        <v>359</v>
      </c>
      <c r="C4" s="23" t="s">
        <v>360</v>
      </c>
      <c r="D4" s="12" t="s">
        <v>361</v>
      </c>
      <c r="E4" s="33" t="s">
        <v>362</v>
      </c>
    </row>
    <row r="5" spans="1:5" ht="28" customHeight="1" x14ac:dyDescent="0.55000000000000004">
      <c r="A5" s="34" t="s">
        <v>363</v>
      </c>
      <c r="B5" s="6" t="s">
        <v>359</v>
      </c>
      <c r="C5" s="21" t="s">
        <v>364</v>
      </c>
      <c r="D5" s="6" t="s">
        <v>361</v>
      </c>
      <c r="E5" s="35" t="s">
        <v>365</v>
      </c>
    </row>
    <row r="6" spans="1:5" ht="28" customHeight="1" x14ac:dyDescent="0.55000000000000004">
      <c r="A6" s="32" t="s">
        <v>366</v>
      </c>
      <c r="B6" s="12" t="s">
        <v>367</v>
      </c>
      <c r="C6" s="23" t="s">
        <v>360</v>
      </c>
      <c r="D6" s="12" t="s">
        <v>128</v>
      </c>
      <c r="E6" s="33" t="s">
        <v>368</v>
      </c>
    </row>
    <row r="7" spans="1:5" ht="28" customHeight="1" x14ac:dyDescent="0.55000000000000004">
      <c r="A7" s="34" t="s">
        <v>369</v>
      </c>
      <c r="B7" s="6" t="s">
        <v>359</v>
      </c>
      <c r="C7" s="21" t="s">
        <v>364</v>
      </c>
      <c r="D7" s="6" t="s">
        <v>128</v>
      </c>
      <c r="E7" s="35" t="s">
        <v>370</v>
      </c>
    </row>
    <row r="8" spans="1:5" ht="28" customHeight="1" x14ac:dyDescent="0.55000000000000004">
      <c r="A8" s="32" t="s">
        <v>371</v>
      </c>
      <c r="B8" s="12" t="s">
        <v>367</v>
      </c>
      <c r="C8" s="19" t="s">
        <v>372</v>
      </c>
      <c r="D8" s="12" t="s">
        <v>373</v>
      </c>
      <c r="E8" s="33" t="s">
        <v>374</v>
      </c>
    </row>
    <row r="9" spans="1:5" ht="28" customHeight="1" x14ac:dyDescent="0.55000000000000004">
      <c r="A9" s="34" t="s">
        <v>375</v>
      </c>
      <c r="B9" s="6" t="s">
        <v>359</v>
      </c>
      <c r="C9" s="21" t="s">
        <v>364</v>
      </c>
      <c r="D9" s="6" t="s">
        <v>376</v>
      </c>
      <c r="E9" s="35" t="s">
        <v>377</v>
      </c>
    </row>
    <row r="10" spans="1:5" ht="28" customHeight="1" x14ac:dyDescent="0.55000000000000004">
      <c r="A10" s="32" t="s">
        <v>378</v>
      </c>
      <c r="B10" s="12" t="s">
        <v>379</v>
      </c>
      <c r="C10" s="19" t="s">
        <v>372</v>
      </c>
      <c r="D10" s="12" t="s">
        <v>361</v>
      </c>
      <c r="E10" s="33" t="s">
        <v>380</v>
      </c>
    </row>
    <row r="11" spans="1:5" ht="28" customHeight="1" x14ac:dyDescent="0.55000000000000004">
      <c r="A11" s="34" t="s">
        <v>381</v>
      </c>
      <c r="B11" s="6" t="s">
        <v>367</v>
      </c>
      <c r="C11" s="21" t="s">
        <v>364</v>
      </c>
      <c r="D11" s="6" t="s">
        <v>128</v>
      </c>
      <c r="E11" s="35" t="s">
        <v>382</v>
      </c>
    </row>
    <row r="12" spans="1:5" ht="28" customHeight="1" x14ac:dyDescent="0.55000000000000004">
      <c r="A12" s="32" t="s">
        <v>383</v>
      </c>
      <c r="B12" s="12" t="s">
        <v>367</v>
      </c>
      <c r="C12" s="36" t="s">
        <v>384</v>
      </c>
      <c r="D12" s="12" t="s">
        <v>385</v>
      </c>
      <c r="E12" s="33" t="s">
        <v>386</v>
      </c>
    </row>
    <row r="13" spans="1:5" ht="28" customHeight="1" x14ac:dyDescent="0.55000000000000004">
      <c r="A13" s="34" t="s">
        <v>387</v>
      </c>
      <c r="B13" s="6" t="s">
        <v>367</v>
      </c>
      <c r="C13" s="19" t="s">
        <v>372</v>
      </c>
      <c r="D13" s="6" t="s">
        <v>385</v>
      </c>
      <c r="E13" s="35" t="s">
        <v>388</v>
      </c>
    </row>
    <row r="14" spans="1:5" ht="28" customHeight="1" x14ac:dyDescent="0.55000000000000004">
      <c r="A14" s="32" t="s">
        <v>389</v>
      </c>
      <c r="B14" s="12" t="s">
        <v>359</v>
      </c>
      <c r="C14" s="19" t="s">
        <v>372</v>
      </c>
      <c r="D14" s="12" t="s">
        <v>128</v>
      </c>
      <c r="E14" s="33" t="s">
        <v>390</v>
      </c>
    </row>
    <row r="15" spans="1:5" ht="28" customHeight="1" x14ac:dyDescent="0.55000000000000004">
      <c r="A15" s="34" t="s">
        <v>391</v>
      </c>
      <c r="B15" s="6" t="s">
        <v>359</v>
      </c>
      <c r="C15" s="19" t="s">
        <v>372</v>
      </c>
      <c r="D15" s="6" t="s">
        <v>361</v>
      </c>
      <c r="E15" s="35" t="s">
        <v>392</v>
      </c>
    </row>
    <row r="16" spans="1:5" ht="30" customHeight="1" x14ac:dyDescent="0.55000000000000004">
      <c r="A16" s="32" t="s">
        <v>393</v>
      </c>
      <c r="B16" s="12" t="s">
        <v>359</v>
      </c>
      <c r="C16" s="21" t="s">
        <v>364</v>
      </c>
      <c r="D16" s="12" t="s">
        <v>394</v>
      </c>
      <c r="E16" s="33" t="s">
        <v>395</v>
      </c>
    </row>
    <row r="17" spans="1:5" ht="30" customHeight="1" x14ac:dyDescent="0.55000000000000004">
      <c r="A17" s="34" t="s">
        <v>396</v>
      </c>
      <c r="B17" s="6" t="s">
        <v>359</v>
      </c>
      <c r="C17" s="23" t="s">
        <v>360</v>
      </c>
      <c r="D17" s="6" t="s">
        <v>361</v>
      </c>
      <c r="E17" s="35" t="s">
        <v>397</v>
      </c>
    </row>
    <row r="18" spans="1:5" ht="30" customHeight="1" x14ac:dyDescent="0.55000000000000004">
      <c r="A18" s="32" t="s">
        <v>398</v>
      </c>
      <c r="B18" s="12" t="s">
        <v>367</v>
      </c>
      <c r="C18" s="19" t="s">
        <v>372</v>
      </c>
      <c r="D18" s="12" t="s">
        <v>373</v>
      </c>
      <c r="E18" s="33" t="s">
        <v>399</v>
      </c>
    </row>
    <row r="19" spans="1:5" ht="30" customHeight="1" x14ac:dyDescent="0.55000000000000004">
      <c r="A19" s="34" t="s">
        <v>400</v>
      </c>
      <c r="B19" s="6" t="s">
        <v>359</v>
      </c>
      <c r="C19" s="19" t="s">
        <v>372</v>
      </c>
      <c r="D19" s="6" t="s">
        <v>361</v>
      </c>
      <c r="E19" s="35" t="s">
        <v>401</v>
      </c>
    </row>
    <row r="20" spans="1:5" ht="32.049999999999997" customHeight="1" x14ac:dyDescent="0.55000000000000004">
      <c r="A20" s="32" t="s">
        <v>402</v>
      </c>
      <c r="B20" s="12" t="s">
        <v>403</v>
      </c>
      <c r="C20" s="23" t="s">
        <v>360</v>
      </c>
      <c r="D20" s="12" t="s">
        <v>404</v>
      </c>
      <c r="E20" s="33" t="s">
        <v>405</v>
      </c>
    </row>
    <row r="21" spans="1:5" ht="32.049999999999997" customHeight="1" x14ac:dyDescent="0.55000000000000004">
      <c r="A21" s="34" t="s">
        <v>406</v>
      </c>
      <c r="B21" s="6" t="s">
        <v>359</v>
      </c>
      <c r="C21" s="21" t="s">
        <v>364</v>
      </c>
      <c r="D21" s="6" t="s">
        <v>394</v>
      </c>
      <c r="E21" s="35" t="s">
        <v>407</v>
      </c>
    </row>
    <row r="22" spans="1:5" ht="32.049999999999997" customHeight="1" x14ac:dyDescent="0.55000000000000004">
      <c r="A22" s="32" t="s">
        <v>408</v>
      </c>
      <c r="B22" s="12" t="s">
        <v>409</v>
      </c>
      <c r="C22" s="19" t="s">
        <v>372</v>
      </c>
      <c r="D22" s="12" t="s">
        <v>361</v>
      </c>
      <c r="E22" s="33" t="s">
        <v>410</v>
      </c>
    </row>
    <row r="23" spans="1:5" ht="32.049999999999997" customHeight="1" x14ac:dyDescent="0.55000000000000004">
      <c r="A23" s="34" t="s">
        <v>411</v>
      </c>
      <c r="B23" s="6" t="s">
        <v>409</v>
      </c>
      <c r="C23" s="19" t="s">
        <v>372</v>
      </c>
      <c r="D23" s="6" t="s">
        <v>361</v>
      </c>
      <c r="E23" s="35" t="s">
        <v>412</v>
      </c>
    </row>
    <row r="24" spans="1:5" ht="32.049999999999997" customHeight="1" x14ac:dyDescent="0.55000000000000004">
      <c r="A24" s="32" t="s">
        <v>413</v>
      </c>
      <c r="B24" s="12" t="s">
        <v>409</v>
      </c>
      <c r="C24" s="19" t="s">
        <v>372</v>
      </c>
      <c r="D24" s="12" t="s">
        <v>361</v>
      </c>
      <c r="E24" s="33" t="s">
        <v>414</v>
      </c>
    </row>
    <row r="25" spans="1:5" ht="32.049999999999997" customHeight="1" x14ac:dyDescent="0.55000000000000004">
      <c r="A25" s="58" t="s">
        <v>415</v>
      </c>
      <c r="B25" s="55" t="s">
        <v>373</v>
      </c>
      <c r="C25" s="59" t="s">
        <v>372</v>
      </c>
      <c r="D25" s="55" t="s">
        <v>361</v>
      </c>
      <c r="E25" s="60" t="s">
        <v>416</v>
      </c>
    </row>
    <row r="26" spans="1:5" ht="32.049999999999997" customHeight="1" x14ac:dyDescent="0.55000000000000004">
      <c r="A26" s="61" t="s">
        <v>417</v>
      </c>
      <c r="B26" s="49" t="s">
        <v>409</v>
      </c>
      <c r="C26" s="59" t="s">
        <v>384</v>
      </c>
      <c r="D26" s="49" t="s">
        <v>404</v>
      </c>
      <c r="E26" s="62" t="s">
        <v>418</v>
      </c>
    </row>
    <row r="27" spans="1:5" ht="32.049999999999997" customHeight="1" x14ac:dyDescent="0.55000000000000004">
      <c r="A27" s="58" t="s">
        <v>419</v>
      </c>
      <c r="B27" s="55" t="s">
        <v>373</v>
      </c>
      <c r="C27" s="59" t="s">
        <v>384</v>
      </c>
      <c r="D27" s="55" t="s">
        <v>361</v>
      </c>
      <c r="E27" s="60" t="s">
        <v>420</v>
      </c>
    </row>
    <row r="28" spans="1:5" ht="46" customHeight="1" x14ac:dyDescent="0.55000000000000004">
      <c r="A28" s="79" t="s">
        <v>421</v>
      </c>
      <c r="B28" s="66" t="s">
        <v>373</v>
      </c>
      <c r="C28" s="75" t="s">
        <v>364</v>
      </c>
      <c r="D28" s="107" t="s">
        <v>404</v>
      </c>
      <c r="E28" s="107" t="s">
        <v>422</v>
      </c>
    </row>
    <row r="29" spans="1:5" ht="46" customHeight="1" x14ac:dyDescent="0.55000000000000004">
      <c r="A29" s="80" t="s">
        <v>423</v>
      </c>
      <c r="B29" s="72" t="s">
        <v>359</v>
      </c>
      <c r="C29" s="77" t="s">
        <v>372</v>
      </c>
      <c r="D29" s="106" t="s">
        <v>404</v>
      </c>
      <c r="E29" s="106" t="s">
        <v>424</v>
      </c>
    </row>
    <row r="30" spans="1:5" ht="32.049999999999997" customHeight="1" x14ac:dyDescent="0.55000000000000004">
      <c r="A30" s="88" t="s">
        <v>425</v>
      </c>
      <c r="B30" s="84" t="s">
        <v>359</v>
      </c>
      <c r="C30" s="89" t="s">
        <v>372</v>
      </c>
      <c r="D30" s="84" t="s">
        <v>361</v>
      </c>
      <c r="E30" s="90" t="s">
        <v>426</v>
      </c>
    </row>
    <row r="31" spans="1:5" ht="32.049999999999997" customHeight="1" x14ac:dyDescent="0.55000000000000004">
      <c r="A31" s="105" t="s">
        <v>427</v>
      </c>
      <c r="B31" s="94" t="s">
        <v>409</v>
      </c>
      <c r="C31" s="103" t="s">
        <v>372</v>
      </c>
      <c r="D31" s="94" t="s">
        <v>428</v>
      </c>
      <c r="E31" s="106" t="s">
        <v>429</v>
      </c>
    </row>
  </sheetData>
  <mergeCells count="1">
    <mergeCell ref="A1:E1"/>
  </mergeCell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Delivery Board</vt:lpstr>
      <vt:lpstr>Architecture</vt:lpstr>
      <vt:lpstr>Epic Summary</vt:lpstr>
      <vt:lpstr>Risks &amp; Decisions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Richard Usang</cp:lastModifiedBy>
  <dcterms:created xsi:type="dcterms:W3CDTF">2026-08-03T22:52:33Z</dcterms:created>
  <dcterms:modified xsi:type="dcterms:W3CDTF">2026-08-04T20:53:52Z</dcterms:modified>
</cp:coreProperties>
</file>