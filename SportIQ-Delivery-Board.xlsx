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8A39AFE9-161D-4D5F-8A25-21B492BB1476}" xr6:coauthVersionLast="47" xr6:coauthVersionMax="47" xr10:uidLastSave="{00000000-0000-0000-0000-000000000000}"/>
  <bookViews>
    <workbookView xWindow="14895" yWindow="-16320" windowWidth="29040" windowHeight="15720" xr2:uid="{00000000-000D-0000-FFFF-FFFF00000000}"/>
  </bookViews>
  <sheets>
    <sheet name="Delivery Board" sheetId="1" r:id="rId1"/>
    <sheet name="Architecture" sheetId="2" r:id="rId2"/>
    <sheet name="Epic Summary" sheetId="3" r:id="rId3"/>
    <sheet name="Risks &amp; Decisi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6" i="1" l="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10" i="1"/>
  <c r="R11" i="1" s="1"/>
  <c r="R12" i="1" s="1"/>
  <c r="R13" i="1" s="1"/>
  <c r="R9" i="1"/>
  <c r="R5" i="1"/>
  <c r="R6" i="1" l="1"/>
  <c r="R7" i="1" l="1"/>
  <c r="R8" i="1" l="1"/>
  <c r="E4" i="3"/>
  <c r="E14" i="3"/>
  <c r="D11" i="3"/>
  <c r="C10" i="3"/>
  <c r="C8" i="3"/>
  <c r="E8" i="3"/>
  <c r="D9" i="3"/>
  <c r="D5" i="3"/>
  <c r="C6" i="3"/>
  <c r="E7" i="3"/>
  <c r="C7" i="3"/>
  <c r="D14" i="3"/>
  <c r="C9" i="3"/>
  <c r="E6" i="3"/>
  <c r="D12" i="3"/>
  <c r="C11" i="3"/>
  <c r="C12" i="3"/>
  <c r="C4" i="3"/>
  <c r="E5" i="3"/>
  <c r="C14" i="3"/>
  <c r="D6" i="3"/>
  <c r="D7" i="3"/>
  <c r="E9" i="3"/>
  <c r="B14" i="3" l="1"/>
  <c r="F14" i="3" s="1"/>
  <c r="B7" i="3"/>
  <c r="F7" i="3" s="1"/>
  <c r="B6" i="3"/>
  <c r="F6" i="3" s="1"/>
  <c r="B9" i="3"/>
  <c r="F9" i="3" s="1"/>
  <c r="C13" i="3"/>
  <c r="D13" i="3"/>
  <c r="E10" i="3"/>
  <c r="D10" i="3"/>
  <c r="E13" i="3"/>
  <c r="D4" i="3"/>
  <c r="E11" i="3"/>
  <c r="B11" i="3" s="1"/>
  <c r="F11" i="3" s="1"/>
  <c r="C5" i="3"/>
  <c r="B5" i="3" s="1"/>
  <c r="F5" i="3" s="1"/>
  <c r="E12" i="3"/>
  <c r="B12" i="3" s="1"/>
  <c r="F12" i="3" s="1"/>
  <c r="D8" i="3"/>
  <c r="B8" i="3" s="1"/>
  <c r="F8" i="3" s="1"/>
  <c r="D16" i="3" l="1"/>
  <c r="E16" i="3"/>
  <c r="B10" i="3"/>
  <c r="F10" i="3" s="1"/>
  <c r="C16" i="3"/>
  <c r="B4" i="3"/>
  <c r="B13" i="3"/>
  <c r="F13" i="3" s="1"/>
  <c r="B16" i="3" l="1"/>
  <c r="F4" i="3"/>
  <c r="B18" i="3" l="1"/>
  <c r="F16" i="3"/>
</calcChain>
</file>

<file path=xl/sharedStrings.xml><?xml version="1.0" encoding="utf-8"?>
<sst xmlns="http://schemas.openxmlformats.org/spreadsheetml/2006/main" count="826" uniqueCount="446">
  <si>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</si>
  <si>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</si>
  <si>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</si>
  <si>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</si>
  <si>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</si>
  <si>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</si>
  <si>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</si>
  <si>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</si>
  <si>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</si>
  <si>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</si>
  <si>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</si>
  <si>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</si>
  <si>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</si>
  <si>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</si>
  <si>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</si>
  <si>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</si>
  <si>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</si>
  <si>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</si>
  <si>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</si>
  <si>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</si>
  <si>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</si>
  <si>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</si>
  <si>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</si>
  <si>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</si>
  <si>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</si>
  <si>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</si>
  <si>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</si>
  <si>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</si>
  <si>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</si>
  <si>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</si>
  <si>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</si>
  <si>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</si>
  <si>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</si>
  <si>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</si>
  <si>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</si>
  <si>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</si>
  <si>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</si>
  <si>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</si>
  <si>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</si>
  <si>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</si>
  <si>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</si>
  <si>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</si>
  <si>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</si>
  <si>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</si>
  <si>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</si>
  <si>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</si>
  <si>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</si>
  <si>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</si>
  <si>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</si>
  <si>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</si>
  <si>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</si>
  <si>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</si>
  <si>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</si>
  <si>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</si>
  <si>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</si>
  <si>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</si>
  <si>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</si>
  <si>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</si>
  <si>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</si>
  <si>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</si>
  <si>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</si>
  <si>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</si>
  <si>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</si>
  <si>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</si>
  <si>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</si>
  <si>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</si>
  <si>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</si>
  <si>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</si>
  <si>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</si>
  <si>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</si>
  <si>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</si>
  <si>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</si>
  <si>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</si>
  <si>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</si>
  <si>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</si>
  <si>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</si>
  <si>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</si>
  <si>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</si>
  <si>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</si>
  <si>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</si>
  <si>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</si>
  <si>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</si>
  <si>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</si>
  <si>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</si>
  <si>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</si>
  <si>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</si>
  <si>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</si>
  <si>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</si>
  <si>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</si>
  <si>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</si>
  <si>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</si>
  <si>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</si>
  <si>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</si>
  <si>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</si>
  <si>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</si>
  <si>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</si>
  <si>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</si>
  <si>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</si>
  <si>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</si>
  <si>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</si>
  <si>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</si>
  <si>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</si>
  <si>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</si>
  <si>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</si>
  <si>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</si>
  <si>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</si>
  <si>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</si>
  <si>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</si>
  <si>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</si>
  <si>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</si>
  <si>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</si>
  <si>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</si>
  <si>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</si>
  <si>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</si>
  <si>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</si>
  <si>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</si>
  <si>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</si>
  <si>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</si>
  <si>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</si>
  <si>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</si>
  <si>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</si>
  <si>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</si>
  <si>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</si>
  <si>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</si>
  <si>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</si>
  <si>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</si>
  <si>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</si>
  <si>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</si>
  <si>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</si>
  <si>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</si>
  <si>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</si>
  <si>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</si>
  <si>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Before EPL opens</t>
  </si>
  <si>
    <t>Narrow odds lookahead window</t>
  </si>
  <si>
    <t>Halves per-league cost</t>
  </si>
  <si>
    <t>Re-test API-Football European odds</t>
  </si>
  <si>
    <t>Milestone</t>
  </si>
  <si>
    <t>Could drop TheRundown</t>
  </si>
  <si>
    <t>EPL 2026-27 season opens</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</si>
  <si>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</si>
  <si>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</si>
  <si>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</si>
  <si>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</si>
  <si>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</si>
  <si>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</si>
  <si>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</si>
  <si>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</si>
  <si>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</si>
  <si>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Needs GOAT tier</t>
  </si>
  <si>
    <t>Tennis kickoff refresh + live derivation</t>
  </si>
  <si>
    <t>26-&gt;20 estimated; rest is a provider limit</t>
  </si>
  <si>
    <t>Injury ingest per-sport isolation</t>
  </si>
  <si>
    <t>NBA stub was aborting football every 30 min</t>
  </si>
  <si>
    <t>Commit 4 Aug work</t>
  </si>
  <si>
    <t>13 modified + 5 new files uncommitted</t>
  </si>
  <si>
    <t>Review + merge feat/tennis-atp-integration</t>
  </si>
  <si>
    <t>10 commits, unreviewed</t>
  </si>
  <si>
    <t>Push main to origin</t>
  </si>
  <si>
    <t>25+ commits unpushed; repo is PUBLIC</t>
  </si>
  <si>
    <t>Tennis provider decision</t>
  </si>
  <si>
    <t>Product</t>
  </si>
  <si>
    <t>Only ~2% of matches carry a real kickoff time</t>
  </si>
  <si>
    <t>E10 Deploy</t>
  </si>
  <si>
    <t>Portable artefact paths</t>
  </si>
  <si>
    <t>Absolute Windows path today</t>
  </si>
  <si>
    <t>infra/ + Render blueprint</t>
  </si>
  <si>
    <t>Web, worker, beat, PG, Redis</t>
  </si>
  <si>
    <t>Secrets management + env parity</t>
  </si>
  <si>
    <t>No .env in prod</t>
  </si>
  <si>
    <t>Monitoring + alerting (Sentry)</t>
  </si>
  <si>
    <t>Silent failures found twice</t>
  </si>
  <si>
    <t>Staging deploy + soak</t>
  </si>
  <si>
    <t>Run against real ingestion</t>
  </si>
  <si>
    <t>watchlist table + PICK-07</t>
  </si>
  <si>
    <t>Unblocks T-60 reminders</t>
  </si>
  <si>
    <t>EAS project + first mobile build</t>
  </si>
  <si>
    <t>Unblocks push tokens</t>
  </si>
  <si>
    <t>Push notifications end-to-end</t>
  </si>
  <si>
    <t>Code real, no token yet</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</si>
  <si>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</si>
  <si>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</si>
  <si>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</si>
  <si>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</si>
  <si>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</si>
  <si>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</si>
  <si>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</si>
  <si>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</si>
  <si>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</si>
  <si>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</si>
  <si>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</si>
  <si>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</si>
  <si>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</si>
  <si>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</si>
  <si>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</si>
  <si>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</si>
  <si>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</si>
  <si>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</si>
  <si>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</si>
  <si>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</si>
  <si>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</si>
  <si>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</si>
  <si>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</si>
  <si>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</si>
  <si>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</si>
  <si>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</si>
  <si>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</si>
  <si>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</si>
  <si>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</si>
  <si>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</si>
  <si>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</si>
  <si>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</si>
  <si>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</si>
  <si>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</si>
  <si>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</si>
  <si>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</si>
  <si>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</si>
  <si>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</si>
  <si>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</si>
  <si>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</si>
  <si>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</si>
  <si>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</si>
  <si>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</si>
  <si>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</si>
  <si>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</si>
  <si>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</si>
  <si>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</si>
  <si>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</si>
  <si>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</si>
  <si>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</si>
  <si>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</si>
  <si>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</si>
  <si>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In progress</t>
  </si>
  <si>
    <t>~5,580 matches, ~8h. All 4 have full 22/23-25/26 coverage</t>
  </si>
  <si>
    <t>Retrain pooled across 9 leagues</t>
  </si>
  <si>
    <t>Does O/U z hold at +2.96? Pool now spans 2.41-3.17 goals/match</t>
  </si>
  <si>
    <t>Corners for the 4 new leagues (DEFERRED)</t>
  </si>
  <si>
    <t>~7k calls = 94% of daily budget; measured no gain. Deferred by choice</t>
  </si>
  <si>
    <t>Merge feat/european-leagues -&gt; main</t>
  </si>
  <si>
    <t>2 commits, unpushed. 302 tests green</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</si>
  <si>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</si>
  <si>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</si>
  <si>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</si>
  <si>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</si>
  <si>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</si>
  <si>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</si>
  <si>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</si>
  <si>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</si>
  <si>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</si>
  <si>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</si>
  <si>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</si>
  <si>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</si>
  <si>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</si>
  <si>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</si>
  <si>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</si>
  <si>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</si>
  <si>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</si>
  <si>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</si>
  <si>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</si>
  <si>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</si>
  <si>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</si>
  <si>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</si>
  <si>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</si>
  <si>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</si>
  <si>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</si>
  <si>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Writes extra.eas.projectId. Blocks minting ANY push token - see mobile/EAS-SETUP.md</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</si>
  <si>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</si>
  <si>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</si>
  <si>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</si>
  <si>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</si>
  <si>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</si>
  <si>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</si>
  <si>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</si>
  <si>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</si>
  <si>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</si>
  <si>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</si>
  <si>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</si>
  <si>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</si>
  <si>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</si>
  <si>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</si>
  <si>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</si>
  <si>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Package must match com.sportpiq.app exactly or tokens register to the wrong app</t>
  </si>
  <si>
    <t>Development build + verify push on a real device</t>
  </si>
  <si>
    <t>The only way to prove delivery; Expo Go on Android cannot receive push</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</si>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</sst>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numFmts>
  <fonts count="46"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s>
  <fills count="40">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s>
  <borders count="1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168">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2" fillId="3" borderId="11" xfId="0" applyFont="1" applyFill="1" applyBorder="1" applyAlignment="1">
      <alignment horizontal="left" vertical="center"/>
    </xf>
    <xf numFmtId="0" fontId="0" fillId="0" borderId="2" xfId="0" applyBorder="1"/>
    <xf numFmtId="0" fontId="0" fillId="0" borderId="3" xfId="0" applyBorder="1"/>
    <xf numFmtId="0" fontId="1" fillId="2" borderId="11"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1" xfId="0" applyFont="1" applyFill="1" applyBorder="1" applyAlignment="1">
      <alignment horizontal="left" vertical="center"/>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28"/>
  <sheetViews>
    <sheetView tabSelected="1" workbookViewId="0">
      <pane xSplit="7" ySplit="4" topLeftCell="H5" activePane="bottomRight" state="frozen"/>
      <selection pane="topRight"/>
      <selection pane="bottomLeft"/>
      <selection pane="bottomRight" sqref="A1:Q1"/>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40" customWidth="1"/>
    <col min="8" max="17" width="5.41796875" customWidth="1"/>
    <col min="18" max="18" width="13" hidden="1" customWidth="1"/>
  </cols>
  <sheetData>
    <row r="1" spans="1:18" ht="30" customHeight="1" x14ac:dyDescent="0.55000000000000004">
      <c r="A1" s="143" t="s">
        <v>0</v>
      </c>
      <c r="B1" s="141"/>
      <c r="C1" s="141"/>
      <c r="D1" s="141"/>
      <c r="E1" s="141"/>
      <c r="F1" s="141"/>
      <c r="G1" s="141"/>
      <c r="H1" s="141"/>
      <c r="I1" s="141"/>
      <c r="J1" s="141"/>
      <c r="K1" s="141"/>
      <c r="L1" s="141"/>
      <c r="M1" s="141"/>
      <c r="N1" s="141"/>
      <c r="O1" s="141"/>
      <c r="P1" s="141"/>
      <c r="Q1" s="142"/>
    </row>
    <row r="2" spans="1:18" ht="18" customHeight="1" x14ac:dyDescent="0.55000000000000004">
      <c r="A2" s="140" t="s">
        <v>1</v>
      </c>
      <c r="B2" s="141"/>
      <c r="C2" s="141"/>
      <c r="D2" s="141"/>
      <c r="E2" s="141"/>
      <c r="F2" s="141"/>
      <c r="G2" s="141"/>
      <c r="H2" s="141"/>
      <c r="I2" s="141"/>
      <c r="J2" s="141"/>
      <c r="K2" s="141"/>
      <c r="L2" s="141"/>
      <c r="M2" s="141"/>
      <c r="N2" s="141"/>
      <c r="O2" s="141"/>
      <c r="P2" s="141"/>
      <c r="Q2" s="142"/>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128</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136</v>
      </c>
      <c r="D54" s="12" t="s">
        <v>33</v>
      </c>
      <c r="E54" s="13">
        <v>46255</v>
      </c>
      <c r="F54" s="13">
        <v>46255</v>
      </c>
      <c r="G54" s="14" t="s">
        <v>137</v>
      </c>
      <c r="H54" s="15"/>
      <c r="I54" s="15"/>
      <c r="J54" s="15"/>
      <c r="K54" s="22" t="s">
        <v>118</v>
      </c>
      <c r="L54" s="15"/>
      <c r="M54" s="15"/>
      <c r="N54" s="15"/>
      <c r="O54" s="15"/>
      <c r="P54" s="15"/>
      <c r="Q54" s="15"/>
      <c r="R54" t="str">
        <f t="shared" si="1"/>
        <v>E9 Data Ops</v>
      </c>
    </row>
    <row r="55" spans="1:18" x14ac:dyDescent="0.55000000000000004">
      <c r="A55" s="4"/>
      <c r="B55" s="4" t="s">
        <v>138</v>
      </c>
      <c r="C55" s="21" t="s">
        <v>136</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136</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145</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128</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128</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128</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136</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128</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128</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128</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128</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128</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128</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136</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136</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231</v>
      </c>
      <c r="D99" s="6" t="s">
        <v>33</v>
      </c>
      <c r="E99" s="7">
        <v>46238</v>
      </c>
      <c r="F99" s="7">
        <v>46239</v>
      </c>
      <c r="G99" s="8" t="s">
        <v>232</v>
      </c>
      <c r="H99" s="4"/>
      <c r="I99" s="40"/>
      <c r="J99" s="4"/>
      <c r="K99" s="4"/>
      <c r="L99" s="4"/>
      <c r="M99" s="4"/>
      <c r="N99" s="4"/>
      <c r="O99" s="4"/>
      <c r="P99" s="4"/>
      <c r="Q99" s="4"/>
      <c r="R99" t="str">
        <f t="shared" si="2"/>
        <v>E8 Model Quality</v>
      </c>
    </row>
    <row r="100" spans="1:18" x14ac:dyDescent="0.55000000000000004">
      <c r="A100" s="16" t="s">
        <v>99</v>
      </c>
      <c r="B100" s="11" t="s">
        <v>233</v>
      </c>
      <c r="C100" s="19" t="s">
        <v>128</v>
      </c>
      <c r="D100" s="12" t="s">
        <v>45</v>
      </c>
      <c r="E100" s="13">
        <v>46239</v>
      </c>
      <c r="F100" s="13">
        <v>46239</v>
      </c>
      <c r="G100" s="14" t="s">
        <v>234</v>
      </c>
      <c r="H100" s="11"/>
      <c r="I100" s="41"/>
      <c r="J100" s="11"/>
      <c r="K100" s="11"/>
      <c r="L100" s="11"/>
      <c r="M100" s="11"/>
      <c r="N100" s="11"/>
      <c r="O100" s="11"/>
      <c r="P100" s="11"/>
      <c r="Q100" s="11"/>
      <c r="R100" t="str">
        <f t="shared" si="2"/>
        <v>E8 Model Quality</v>
      </c>
    </row>
    <row r="101" spans="1:18" x14ac:dyDescent="0.55000000000000004">
      <c r="A101" s="3" t="s">
        <v>130</v>
      </c>
      <c r="B101" s="4" t="s">
        <v>235</v>
      </c>
      <c r="C101" s="19" t="s">
        <v>128</v>
      </c>
      <c r="D101" s="6" t="s">
        <v>33</v>
      </c>
      <c r="E101" s="7">
        <v>46246</v>
      </c>
      <c r="F101" s="7">
        <v>46248</v>
      </c>
      <c r="G101" s="8" t="s">
        <v>236</v>
      </c>
      <c r="H101" s="4"/>
      <c r="I101" s="4"/>
      <c r="J101" s="41"/>
      <c r="K101" s="4"/>
      <c r="L101" s="4"/>
      <c r="M101" s="4"/>
      <c r="N101" s="4"/>
      <c r="O101" s="4"/>
      <c r="P101" s="4"/>
      <c r="Q101" s="4"/>
      <c r="R101" t="str">
        <f t="shared" si="2"/>
        <v>E9 Data Ops</v>
      </c>
    </row>
    <row r="102" spans="1:18" x14ac:dyDescent="0.55000000000000004">
      <c r="A102" s="16" t="s">
        <v>130</v>
      </c>
      <c r="B102" s="11" t="s">
        <v>237</v>
      </c>
      <c r="C102" s="19" t="s">
        <v>128</v>
      </c>
      <c r="D102" s="12" t="s">
        <v>23</v>
      </c>
      <c r="E102" s="13">
        <v>46239</v>
      </c>
      <c r="F102" s="13">
        <v>46239</v>
      </c>
      <c r="G102" s="14" t="s">
        <v>238</v>
      </c>
      <c r="H102" s="11"/>
      <c r="I102" s="41"/>
      <c r="J102" s="11"/>
      <c r="K102" s="11"/>
      <c r="L102" s="11"/>
      <c r="M102" s="11"/>
      <c r="N102" s="11"/>
      <c r="O102" s="11"/>
      <c r="P102" s="11"/>
      <c r="Q102" s="11"/>
      <c r="R102" t="str">
        <f t="shared" ref="R102:R126" si="3">IF($A102&lt;&gt;"",$A102,R101)</f>
        <v>E9 Data Ops</v>
      </c>
    </row>
    <row r="103" spans="1:18" x14ac:dyDescent="0.55000000000000004">
      <c r="A103" s="3" t="s">
        <v>191</v>
      </c>
      <c r="B103" s="4" t="s">
        <v>239</v>
      </c>
      <c r="C103" s="5" t="s">
        <v>22</v>
      </c>
      <c r="D103" s="6" t="s">
        <v>23</v>
      </c>
      <c r="E103" s="7">
        <v>46238</v>
      </c>
      <c r="F103" s="7">
        <v>46238</v>
      </c>
      <c r="G103" s="8" t="s">
        <v>240</v>
      </c>
      <c r="H103" s="4"/>
      <c r="I103" s="39"/>
      <c r="J103" s="4"/>
      <c r="K103" s="4"/>
      <c r="L103" s="4"/>
      <c r="M103" s="4"/>
      <c r="N103" s="4"/>
      <c r="O103" s="4"/>
      <c r="P103" s="4"/>
      <c r="Q103" s="4"/>
      <c r="R103" t="str">
        <f t="shared" si="3"/>
        <v>E11 Ops Resilience</v>
      </c>
    </row>
    <row r="104" spans="1:18" x14ac:dyDescent="0.55000000000000004">
      <c r="A104" s="16" t="s">
        <v>62</v>
      </c>
      <c r="B104" s="11" t="s">
        <v>241</v>
      </c>
      <c r="C104" s="5" t="s">
        <v>22</v>
      </c>
      <c r="D104" s="12" t="s">
        <v>75</v>
      </c>
      <c r="E104" s="13">
        <v>46238</v>
      </c>
      <c r="F104" s="13">
        <v>46238</v>
      </c>
      <c r="G104" s="14" t="s">
        <v>242</v>
      </c>
      <c r="H104" s="11"/>
      <c r="I104" s="39"/>
      <c r="J104" s="11"/>
      <c r="K104" s="11"/>
      <c r="L104" s="11"/>
      <c r="M104" s="11"/>
      <c r="N104" s="11"/>
      <c r="O104" s="11"/>
      <c r="P104" s="11"/>
      <c r="Q104" s="11"/>
      <c r="R104" t="str">
        <f t="shared" si="3"/>
        <v>E5 ML Tennis</v>
      </c>
    </row>
    <row r="105" spans="1:18" x14ac:dyDescent="0.55000000000000004">
      <c r="A105" s="3" t="s">
        <v>62</v>
      </c>
      <c r="B105" s="4" t="s">
        <v>243</v>
      </c>
      <c r="C105" s="5" t="s">
        <v>22</v>
      </c>
      <c r="D105" s="6" t="s">
        <v>75</v>
      </c>
      <c r="E105" s="7">
        <v>46238</v>
      </c>
      <c r="F105" s="7">
        <v>46238</v>
      </c>
      <c r="G105" s="8" t="s">
        <v>244</v>
      </c>
      <c r="H105" s="4"/>
      <c r="I105" s="39"/>
      <c r="J105" s="4"/>
      <c r="K105" s="4"/>
      <c r="L105" s="4"/>
      <c r="M105" s="4"/>
      <c r="N105" s="4"/>
      <c r="O105" s="4"/>
      <c r="P105" s="4"/>
      <c r="Q105" s="4"/>
      <c r="R105" t="str">
        <f t="shared" si="3"/>
        <v>E5 ML Tennis</v>
      </c>
    </row>
    <row r="106" spans="1:18" x14ac:dyDescent="0.55000000000000004">
      <c r="A106" s="16" t="s">
        <v>130</v>
      </c>
      <c r="B106" s="11" t="s">
        <v>245</v>
      </c>
      <c r="C106" s="5" t="s">
        <v>22</v>
      </c>
      <c r="D106" s="12" t="s">
        <v>33</v>
      </c>
      <c r="E106" s="13">
        <v>46238</v>
      </c>
      <c r="F106" s="13">
        <v>46238</v>
      </c>
      <c r="G106" s="14" t="s">
        <v>246</v>
      </c>
      <c r="H106" s="11"/>
      <c r="I106" s="39"/>
      <c r="J106" s="11"/>
      <c r="K106" s="11"/>
      <c r="L106" s="11"/>
      <c r="M106" s="11"/>
      <c r="N106" s="11"/>
      <c r="O106" s="11"/>
      <c r="P106" s="11"/>
      <c r="Q106" s="11"/>
      <c r="R106" t="str">
        <f t="shared" si="3"/>
        <v>E9 Data Ops</v>
      </c>
    </row>
    <row r="107" spans="1:18" x14ac:dyDescent="0.55000000000000004">
      <c r="A107" s="3" t="s">
        <v>191</v>
      </c>
      <c r="B107" s="4" t="s">
        <v>247</v>
      </c>
      <c r="C107" s="5" t="s">
        <v>22</v>
      </c>
      <c r="D107" s="6" t="s">
        <v>23</v>
      </c>
      <c r="E107" s="7">
        <v>46238</v>
      </c>
      <c r="F107" s="7">
        <v>46238</v>
      </c>
      <c r="G107" s="8" t="s">
        <v>248</v>
      </c>
      <c r="H107" s="4"/>
      <c r="I107" s="39"/>
      <c r="J107" s="4"/>
      <c r="K107" s="4"/>
      <c r="L107" s="4"/>
      <c r="M107" s="4"/>
      <c r="N107" s="4"/>
      <c r="O107" s="4"/>
      <c r="P107" s="4"/>
      <c r="Q107" s="4"/>
      <c r="R107" t="str">
        <f t="shared" si="3"/>
        <v>E11 Ops Resilience</v>
      </c>
    </row>
    <row r="108" spans="1:18" x14ac:dyDescent="0.55000000000000004">
      <c r="A108" s="46" t="s">
        <v>162</v>
      </c>
      <c r="B108" s="47" t="s">
        <v>249</v>
      </c>
      <c r="C108" s="48" t="s">
        <v>22</v>
      </c>
      <c r="D108" s="49" t="s">
        <v>23</v>
      </c>
      <c r="E108" s="50">
        <v>46238</v>
      </c>
      <c r="F108" s="50">
        <v>46238</v>
      </c>
      <c r="G108" s="51" t="s">
        <v>250</v>
      </c>
      <c r="H108" s="47"/>
      <c r="I108" s="52"/>
      <c r="J108" s="47"/>
      <c r="K108" s="47"/>
      <c r="L108" s="47"/>
      <c r="M108" s="47"/>
      <c r="N108" s="47"/>
      <c r="O108" s="47"/>
      <c r="P108" s="47"/>
      <c r="Q108" s="47"/>
      <c r="R108" t="str">
        <f t="shared" si="3"/>
        <v>E10 Deploy</v>
      </c>
    </row>
    <row r="109" spans="1:18" x14ac:dyDescent="0.55000000000000004">
      <c r="A109" s="53" t="s">
        <v>162</v>
      </c>
      <c r="B109" s="54" t="s">
        <v>251</v>
      </c>
      <c r="C109" s="48" t="s">
        <v>22</v>
      </c>
      <c r="D109" s="55" t="s">
        <v>23</v>
      </c>
      <c r="E109" s="56">
        <v>46238</v>
      </c>
      <c r="F109" s="56">
        <v>46238</v>
      </c>
      <c r="G109" s="57" t="s">
        <v>252</v>
      </c>
      <c r="H109" s="54"/>
      <c r="I109" s="52"/>
      <c r="J109" s="54"/>
      <c r="K109" s="54"/>
      <c r="L109" s="54"/>
      <c r="M109" s="54"/>
      <c r="N109" s="54"/>
      <c r="O109" s="54"/>
      <c r="P109" s="54"/>
      <c r="Q109" s="54"/>
      <c r="R109" t="str">
        <f t="shared" si="3"/>
        <v>E10 Deploy</v>
      </c>
    </row>
    <row r="110" spans="1:18" x14ac:dyDescent="0.55000000000000004">
      <c r="A110" s="46" t="s">
        <v>162</v>
      </c>
      <c r="B110" s="47" t="s">
        <v>253</v>
      </c>
      <c r="C110" s="48" t="s">
        <v>22</v>
      </c>
      <c r="D110" s="49" t="s">
        <v>23</v>
      </c>
      <c r="E110" s="50">
        <v>46238</v>
      </c>
      <c r="F110" s="50">
        <v>46238</v>
      </c>
      <c r="G110" s="51" t="s">
        <v>254</v>
      </c>
      <c r="H110" s="47"/>
      <c r="I110" s="52"/>
      <c r="J110" s="47"/>
      <c r="K110" s="47"/>
      <c r="L110" s="47"/>
      <c r="M110" s="47"/>
      <c r="N110" s="47"/>
      <c r="O110" s="47"/>
      <c r="P110" s="47"/>
      <c r="Q110" s="47"/>
      <c r="R110" t="str">
        <f t="shared" si="3"/>
        <v>E10 Deploy</v>
      </c>
    </row>
    <row r="111" spans="1:18" x14ac:dyDescent="0.55000000000000004">
      <c r="A111" s="53" t="s">
        <v>162</v>
      </c>
      <c r="B111" s="54" t="s">
        <v>255</v>
      </c>
      <c r="C111" s="48" t="s">
        <v>22</v>
      </c>
      <c r="D111" s="55" t="s">
        <v>75</v>
      </c>
      <c r="E111" s="56">
        <v>46238</v>
      </c>
      <c r="F111" s="56">
        <v>46238</v>
      </c>
      <c r="G111" s="57" t="s">
        <v>256</v>
      </c>
      <c r="H111" s="54"/>
      <c r="I111" s="52"/>
      <c r="J111" s="54"/>
      <c r="K111" s="54"/>
      <c r="L111" s="54"/>
      <c r="M111" s="54"/>
      <c r="N111" s="54"/>
      <c r="O111" s="54"/>
      <c r="P111" s="54"/>
      <c r="Q111" s="54"/>
      <c r="R111" t="str">
        <f t="shared" si="3"/>
        <v>E10 Deploy</v>
      </c>
    </row>
    <row r="112" spans="1:18" x14ac:dyDescent="0.55000000000000004">
      <c r="A112" s="63" t="s">
        <v>162</v>
      </c>
      <c r="B112" s="64" t="s">
        <v>257</v>
      </c>
      <c r="C112" s="65" t="s">
        <v>22</v>
      </c>
      <c r="D112" s="66" t="s">
        <v>85</v>
      </c>
      <c r="E112" s="67">
        <v>46238</v>
      </c>
      <c r="F112" s="67">
        <v>46238</v>
      </c>
      <c r="G112" s="68" t="s">
        <v>258</v>
      </c>
      <c r="H112" s="64"/>
      <c r="I112" s="69"/>
      <c r="J112" s="64"/>
      <c r="K112" s="64"/>
      <c r="L112" s="64"/>
      <c r="M112" s="64"/>
      <c r="N112" s="64"/>
      <c r="O112" s="64"/>
      <c r="P112" s="64"/>
      <c r="Q112" s="64"/>
      <c r="R112" t="str">
        <f t="shared" si="3"/>
        <v>E10 Deploy</v>
      </c>
    </row>
    <row r="113" spans="1:18" x14ac:dyDescent="0.55000000000000004">
      <c r="A113" s="70" t="s">
        <v>162</v>
      </c>
      <c r="B113" s="71" t="s">
        <v>259</v>
      </c>
      <c r="C113" s="65" t="s">
        <v>22</v>
      </c>
      <c r="D113" s="72" t="s">
        <v>23</v>
      </c>
      <c r="E113" s="73">
        <v>46238</v>
      </c>
      <c r="F113" s="73">
        <v>46238</v>
      </c>
      <c r="G113" s="74" t="s">
        <v>260</v>
      </c>
      <c r="H113" s="71"/>
      <c r="I113" s="69"/>
      <c r="J113" s="71"/>
      <c r="K113" s="71"/>
      <c r="L113" s="71"/>
      <c r="M113" s="71"/>
      <c r="N113" s="71"/>
      <c r="O113" s="71"/>
      <c r="P113" s="71"/>
      <c r="Q113" s="71"/>
      <c r="R113" t="str">
        <f t="shared" si="3"/>
        <v>E10 Deploy</v>
      </c>
    </row>
    <row r="114" spans="1:18" x14ac:dyDescent="0.55000000000000004">
      <c r="A114" s="63" t="s">
        <v>162</v>
      </c>
      <c r="B114" s="64" t="s">
        <v>261</v>
      </c>
      <c r="C114" s="75" t="s">
        <v>136</v>
      </c>
      <c r="D114" s="66" t="s">
        <v>23</v>
      </c>
      <c r="E114" s="67">
        <v>46238</v>
      </c>
      <c r="F114" s="67">
        <v>46238</v>
      </c>
      <c r="G114" s="68" t="s">
        <v>262</v>
      </c>
      <c r="H114" s="64"/>
      <c r="I114" s="76"/>
      <c r="J114" s="64"/>
      <c r="K114" s="64"/>
      <c r="L114" s="64"/>
      <c r="M114" s="64"/>
      <c r="N114" s="64"/>
      <c r="O114" s="64"/>
      <c r="P114" s="64"/>
      <c r="Q114" s="64"/>
      <c r="R114" t="str">
        <f t="shared" si="3"/>
        <v>E10 Deploy</v>
      </c>
    </row>
    <row r="115" spans="1:18" x14ac:dyDescent="0.55000000000000004">
      <c r="A115" s="70" t="s">
        <v>162</v>
      </c>
      <c r="B115" s="71" t="s">
        <v>263</v>
      </c>
      <c r="C115" s="77" t="s">
        <v>128</v>
      </c>
      <c r="D115" s="72" t="s">
        <v>85</v>
      </c>
      <c r="E115" s="73">
        <v>46239</v>
      </c>
      <c r="F115" s="73">
        <v>46239</v>
      </c>
      <c r="G115" s="74" t="s">
        <v>264</v>
      </c>
      <c r="H115" s="71"/>
      <c r="I115" s="78"/>
      <c r="J115" s="71"/>
      <c r="K115" s="71"/>
      <c r="L115" s="71"/>
      <c r="M115" s="71"/>
      <c r="N115" s="71"/>
      <c r="O115" s="71"/>
      <c r="P115" s="71"/>
      <c r="Q115" s="71"/>
      <c r="R115" t="str">
        <f t="shared" si="3"/>
        <v>E10 Deploy</v>
      </c>
    </row>
    <row r="116" spans="1:18" x14ac:dyDescent="0.55000000000000004">
      <c r="A116" s="81" t="s">
        <v>162</v>
      </c>
      <c r="B116" s="82" t="s">
        <v>265</v>
      </c>
      <c r="C116" s="83" t="s">
        <v>22</v>
      </c>
      <c r="D116" s="84" t="s">
        <v>85</v>
      </c>
      <c r="E116" s="85">
        <v>46238</v>
      </c>
      <c r="F116" s="85">
        <v>46238</v>
      </c>
      <c r="G116" s="86" t="s">
        <v>266</v>
      </c>
      <c r="H116" s="82"/>
      <c r="I116" s="87"/>
      <c r="J116" s="82"/>
      <c r="K116" s="82"/>
      <c r="L116" s="82"/>
      <c r="M116" s="82"/>
      <c r="N116" s="82"/>
      <c r="O116" s="82"/>
      <c r="P116" s="82"/>
      <c r="Q116" s="82"/>
      <c r="R116" t="str">
        <f t="shared" si="3"/>
        <v>E10 Deploy</v>
      </c>
    </row>
    <row r="117" spans="1:18" x14ac:dyDescent="0.55000000000000004">
      <c r="A117" s="91" t="s">
        <v>83</v>
      </c>
      <c r="B117" s="92" t="s">
        <v>267</v>
      </c>
      <c r="C117" s="93" t="s">
        <v>22</v>
      </c>
      <c r="D117" s="94" t="s">
        <v>85</v>
      </c>
      <c r="E117" s="95">
        <v>46238</v>
      </c>
      <c r="F117" s="95">
        <v>46238</v>
      </c>
      <c r="G117" s="96" t="s">
        <v>268</v>
      </c>
      <c r="H117" s="92"/>
      <c r="I117" s="97"/>
      <c r="J117" s="92"/>
      <c r="K117" s="92"/>
      <c r="L117" s="92"/>
      <c r="M117" s="92"/>
      <c r="N117" s="92"/>
      <c r="O117" s="92"/>
      <c r="P117" s="92"/>
      <c r="Q117" s="92"/>
      <c r="R117" t="str">
        <f t="shared" si="3"/>
        <v>E7 Mobile</v>
      </c>
    </row>
    <row r="118" spans="1:18" x14ac:dyDescent="0.55000000000000004">
      <c r="A118" s="98" t="s">
        <v>83</v>
      </c>
      <c r="B118" s="99" t="s">
        <v>269</v>
      </c>
      <c r="C118" s="93" t="s">
        <v>22</v>
      </c>
      <c r="D118" s="100" t="s">
        <v>160</v>
      </c>
      <c r="E118" s="101">
        <v>46238</v>
      </c>
      <c r="F118" s="101">
        <v>46238</v>
      </c>
      <c r="G118" s="102" t="s">
        <v>270</v>
      </c>
      <c r="H118" s="99"/>
      <c r="I118" s="97"/>
      <c r="J118" s="99"/>
      <c r="K118" s="99"/>
      <c r="L118" s="99"/>
      <c r="M118" s="99"/>
      <c r="N118" s="99"/>
      <c r="O118" s="99"/>
      <c r="P118" s="99"/>
      <c r="Q118" s="99"/>
      <c r="R118" t="str">
        <f t="shared" si="3"/>
        <v>E7 Mobile</v>
      </c>
    </row>
    <row r="119" spans="1:18" x14ac:dyDescent="0.55000000000000004">
      <c r="A119" s="91" t="s">
        <v>162</v>
      </c>
      <c r="B119" s="92" t="s">
        <v>271</v>
      </c>
      <c r="C119" s="103" t="s">
        <v>128</v>
      </c>
      <c r="D119" s="94" t="s">
        <v>85</v>
      </c>
      <c r="E119" s="95">
        <v>46239</v>
      </c>
      <c r="F119" s="95">
        <v>46239</v>
      </c>
      <c r="G119" s="96" t="s">
        <v>272</v>
      </c>
      <c r="H119" s="92"/>
      <c r="I119" s="104"/>
      <c r="J119" s="92"/>
      <c r="K119" s="92"/>
      <c r="L119" s="92"/>
      <c r="M119" s="92"/>
      <c r="N119" s="92"/>
      <c r="O119" s="92"/>
      <c r="P119" s="92"/>
      <c r="Q119" s="92"/>
      <c r="R119" t="str">
        <f t="shared" si="3"/>
        <v>E10 Deploy</v>
      </c>
    </row>
    <row r="120" spans="1:18" x14ac:dyDescent="0.55000000000000004">
      <c r="A120" s="98" t="s">
        <v>83</v>
      </c>
      <c r="B120" s="99" t="s">
        <v>273</v>
      </c>
      <c r="C120" s="103" t="s">
        <v>128</v>
      </c>
      <c r="D120" s="100" t="s">
        <v>160</v>
      </c>
      <c r="E120" s="101">
        <v>46244</v>
      </c>
      <c r="F120" s="101">
        <v>46248</v>
      </c>
      <c r="G120" s="102" t="s">
        <v>274</v>
      </c>
      <c r="H120" s="99"/>
      <c r="I120" s="99"/>
      <c r="J120" s="104"/>
      <c r="K120" s="99"/>
      <c r="L120" s="99"/>
      <c r="M120" s="99"/>
      <c r="N120" s="99"/>
      <c r="O120" s="99"/>
      <c r="P120" s="99"/>
      <c r="Q120" s="99"/>
      <c r="R120" t="str">
        <f t="shared" si="3"/>
        <v>E7 Mobile</v>
      </c>
    </row>
    <row r="121" spans="1:18" x14ac:dyDescent="0.55000000000000004">
      <c r="A121" s="108" t="s">
        <v>162</v>
      </c>
      <c r="B121" s="109" t="s">
        <v>275</v>
      </c>
      <c r="C121" s="110" t="s">
        <v>22</v>
      </c>
      <c r="D121" s="111" t="s">
        <v>85</v>
      </c>
      <c r="E121" s="112">
        <v>46238</v>
      </c>
      <c r="F121" s="112">
        <v>46238</v>
      </c>
      <c r="G121" s="113" t="s">
        <v>276</v>
      </c>
      <c r="H121" s="109"/>
      <c r="I121" s="114"/>
      <c r="J121" s="109"/>
      <c r="K121" s="109"/>
      <c r="L121" s="109"/>
      <c r="M121" s="109"/>
      <c r="N121" s="109"/>
      <c r="O121" s="109"/>
      <c r="P121" s="109"/>
      <c r="Q121" s="109"/>
      <c r="R121" t="str">
        <f t="shared" si="3"/>
        <v>E10 Deploy</v>
      </c>
    </row>
    <row r="122" spans="1:18" x14ac:dyDescent="0.55000000000000004">
      <c r="A122" s="115" t="s">
        <v>162</v>
      </c>
      <c r="B122" s="116" t="s">
        <v>277</v>
      </c>
      <c r="C122" s="110" t="s">
        <v>22</v>
      </c>
      <c r="D122" s="117" t="s">
        <v>85</v>
      </c>
      <c r="E122" s="118">
        <v>46238</v>
      </c>
      <c r="F122" s="118">
        <v>46238</v>
      </c>
      <c r="G122" s="119" t="s">
        <v>278</v>
      </c>
      <c r="H122" s="116"/>
      <c r="I122" s="114"/>
      <c r="J122" s="116"/>
      <c r="K122" s="116"/>
      <c r="L122" s="116"/>
      <c r="M122" s="116"/>
      <c r="N122" s="116"/>
      <c r="O122" s="116"/>
      <c r="P122" s="116"/>
      <c r="Q122" s="116"/>
      <c r="R122" t="str">
        <f t="shared" si="3"/>
        <v>E10 Deploy</v>
      </c>
    </row>
    <row r="123" spans="1:18" x14ac:dyDescent="0.55000000000000004">
      <c r="A123" s="108" t="s">
        <v>162</v>
      </c>
      <c r="B123" s="109" t="s">
        <v>279</v>
      </c>
      <c r="C123" s="120" t="s">
        <v>128</v>
      </c>
      <c r="D123" s="111" t="s">
        <v>85</v>
      </c>
      <c r="E123" s="112">
        <v>46239</v>
      </c>
      <c r="F123" s="112">
        <v>46239</v>
      </c>
      <c r="G123" s="113" t="s">
        <v>280</v>
      </c>
      <c r="H123" s="109"/>
      <c r="I123" s="121"/>
      <c r="J123" s="109"/>
      <c r="K123" s="109"/>
      <c r="L123" s="109"/>
      <c r="M123" s="109"/>
      <c r="N123" s="109"/>
      <c r="O123" s="109"/>
      <c r="P123" s="109"/>
      <c r="Q123" s="109"/>
      <c r="R123" t="str">
        <f t="shared" si="3"/>
        <v>E10 Deploy</v>
      </c>
    </row>
    <row r="124" spans="1:18" x14ac:dyDescent="0.55000000000000004">
      <c r="A124" s="115" t="s">
        <v>162</v>
      </c>
      <c r="B124" s="116" t="s">
        <v>281</v>
      </c>
      <c r="C124" s="120" t="s">
        <v>128</v>
      </c>
      <c r="D124" s="117" t="s">
        <v>85</v>
      </c>
      <c r="E124" s="118">
        <v>46239</v>
      </c>
      <c r="F124" s="118">
        <v>46240</v>
      </c>
      <c r="G124" s="119" t="s">
        <v>282</v>
      </c>
      <c r="H124" s="116"/>
      <c r="I124" s="121"/>
      <c r="J124" s="116"/>
      <c r="K124" s="116"/>
      <c r="L124" s="116"/>
      <c r="M124" s="116"/>
      <c r="N124" s="116"/>
      <c r="O124" s="116"/>
      <c r="P124" s="116"/>
      <c r="Q124" s="116"/>
      <c r="R124" t="str">
        <f t="shared" si="3"/>
        <v>E10 Deploy</v>
      </c>
    </row>
    <row r="125" spans="1:18" x14ac:dyDescent="0.55000000000000004">
      <c r="A125" s="126" t="s">
        <v>162</v>
      </c>
      <c r="B125" s="127" t="s">
        <v>283</v>
      </c>
      <c r="C125" s="128" t="s">
        <v>22</v>
      </c>
      <c r="D125" s="129" t="s">
        <v>85</v>
      </c>
      <c r="E125" s="130">
        <v>46238</v>
      </c>
      <c r="F125" s="130">
        <v>46238</v>
      </c>
      <c r="G125" s="131" t="s">
        <v>284</v>
      </c>
      <c r="H125" s="127"/>
      <c r="I125" s="132"/>
      <c r="J125" s="127"/>
      <c r="K125" s="127"/>
      <c r="L125" s="127"/>
      <c r="M125" s="127"/>
      <c r="N125" s="127"/>
      <c r="O125" s="127"/>
      <c r="P125" s="127"/>
      <c r="Q125" s="127"/>
      <c r="R125" t="str">
        <f t="shared" si="3"/>
        <v>E10 Deploy</v>
      </c>
    </row>
    <row r="126" spans="1:18" x14ac:dyDescent="0.55000000000000004">
      <c r="A126" s="133" t="s">
        <v>162</v>
      </c>
      <c r="B126" s="134" t="s">
        <v>285</v>
      </c>
      <c r="C126" s="135" t="s">
        <v>128</v>
      </c>
      <c r="D126" s="136" t="s">
        <v>85</v>
      </c>
      <c r="E126" s="137">
        <v>46239</v>
      </c>
      <c r="F126" s="137">
        <v>46239</v>
      </c>
      <c r="G126" s="138" t="s">
        <v>286</v>
      </c>
      <c r="H126" s="134"/>
      <c r="I126" s="139"/>
      <c r="J126" s="134"/>
      <c r="K126" s="134"/>
      <c r="L126" s="134"/>
      <c r="M126" s="134"/>
      <c r="N126" s="134"/>
      <c r="O126" s="134"/>
      <c r="P126" s="134"/>
      <c r="Q126" s="134"/>
      <c r="R126" t="str">
        <f t="shared" si="3"/>
        <v>E10 Deploy</v>
      </c>
    </row>
    <row r="128" spans="1:18" x14ac:dyDescent="0.55000000000000004">
      <c r="A128" s="25" t="s">
        <v>287</v>
      </c>
      <c r="B128" s="5" t="s">
        <v>22</v>
      </c>
      <c r="C128" s="17" t="s">
        <v>231</v>
      </c>
      <c r="D128" s="19" t="s">
        <v>128</v>
      </c>
      <c r="E128" s="23" t="s">
        <v>145</v>
      </c>
      <c r="F128" s="21" t="s">
        <v>136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workbookViewId="0">
      <pane ySplit="3" topLeftCell="A4" activePane="bottomLeft" state="frozen"/>
      <selection pane="bottomLeft"/>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159" t="s">
        <v>288</v>
      </c>
      <c r="B1" s="149"/>
      <c r="C1" s="149"/>
      <c r="D1" s="149"/>
      <c r="E1" s="149"/>
      <c r="F1" s="149"/>
      <c r="G1" s="149"/>
      <c r="H1" s="149"/>
      <c r="I1" s="149"/>
      <c r="J1" s="149"/>
      <c r="K1" s="149"/>
      <c r="L1" s="149"/>
      <c r="M1" s="149"/>
      <c r="N1" s="149"/>
      <c r="O1" s="149"/>
      <c r="P1" s="149"/>
      <c r="Q1" s="149"/>
      <c r="R1" s="149"/>
      <c r="S1" s="149"/>
    </row>
    <row r="2" spans="1:19" ht="18" customHeight="1" x14ac:dyDescent="0.55000000000000004">
      <c r="A2" s="166" t="s">
        <v>289</v>
      </c>
      <c r="B2" s="149"/>
      <c r="C2" s="149"/>
      <c r="D2" s="149"/>
      <c r="E2" s="149"/>
      <c r="F2" s="149"/>
      <c r="G2" s="149"/>
      <c r="H2" s="149"/>
      <c r="I2" s="149"/>
      <c r="J2" s="149"/>
      <c r="K2" s="149"/>
      <c r="L2" s="149"/>
      <c r="M2" s="149"/>
      <c r="N2" s="149"/>
      <c r="O2" s="149"/>
      <c r="P2" s="149"/>
      <c r="Q2" s="149"/>
      <c r="R2" s="149"/>
      <c r="S2" s="149"/>
    </row>
    <row r="4" spans="1:19" ht="20.05" customHeight="1" x14ac:dyDescent="0.55000000000000004">
      <c r="A4" s="154" t="s">
        <v>290</v>
      </c>
      <c r="B4" s="149"/>
      <c r="C4" s="149"/>
      <c r="D4" s="149"/>
      <c r="E4" s="149"/>
      <c r="F4" s="149"/>
      <c r="G4" s="149"/>
      <c r="H4" s="149"/>
      <c r="I4" s="149"/>
      <c r="J4" s="149"/>
      <c r="K4" s="149"/>
      <c r="L4" s="149"/>
      <c r="M4" s="149"/>
      <c r="N4" s="149"/>
      <c r="O4" s="149"/>
      <c r="P4" s="149"/>
      <c r="Q4" s="149"/>
      <c r="R4" s="149"/>
      <c r="S4" s="149"/>
    </row>
    <row r="5" spans="1:19" ht="52" customHeight="1" x14ac:dyDescent="0.55000000000000004">
      <c r="A5" s="37" t="s">
        <v>291</v>
      </c>
      <c r="B5" s="144" t="s">
        <v>292</v>
      </c>
      <c r="C5" s="145"/>
      <c r="D5" s="146"/>
      <c r="E5" s="147" t="s">
        <v>293</v>
      </c>
      <c r="F5" s="145"/>
      <c r="G5" s="146"/>
      <c r="H5" s="147" t="s">
        <v>294</v>
      </c>
      <c r="I5" s="145"/>
      <c r="J5" s="146"/>
      <c r="K5" s="144" t="s">
        <v>295</v>
      </c>
      <c r="L5" s="145"/>
      <c r="M5" s="146"/>
      <c r="N5" s="151" t="s">
        <v>296</v>
      </c>
      <c r="O5" s="145"/>
      <c r="P5" s="146"/>
      <c r="Q5" s="151" t="s">
        <v>297</v>
      </c>
      <c r="R5" s="145"/>
      <c r="S5" s="146"/>
    </row>
    <row r="6" spans="1:19" ht="15" customHeight="1" x14ac:dyDescent="0.55000000000000004">
      <c r="B6" s="148" t="s">
        <v>298</v>
      </c>
      <c r="C6" s="149"/>
      <c r="D6" s="149"/>
      <c r="E6" s="149"/>
      <c r="F6" s="149"/>
      <c r="G6" s="149"/>
      <c r="H6" s="149"/>
      <c r="I6" s="149"/>
      <c r="J6" s="149"/>
      <c r="K6" s="149"/>
      <c r="L6" s="149"/>
      <c r="M6" s="149"/>
      <c r="N6" s="149"/>
      <c r="O6" s="149"/>
      <c r="P6" s="149"/>
      <c r="Q6" s="149"/>
      <c r="R6" s="149"/>
      <c r="S6" s="149"/>
    </row>
    <row r="7" spans="1:19" ht="20.05" customHeight="1" x14ac:dyDescent="0.55000000000000004">
      <c r="A7" s="154" t="s">
        <v>299</v>
      </c>
      <c r="B7" s="149"/>
      <c r="C7" s="149"/>
      <c r="D7" s="149"/>
      <c r="E7" s="149"/>
      <c r="F7" s="149"/>
      <c r="G7" s="149"/>
      <c r="H7" s="149"/>
      <c r="I7" s="149"/>
      <c r="J7" s="149"/>
      <c r="K7" s="149"/>
      <c r="L7" s="149"/>
      <c r="M7" s="149"/>
      <c r="N7" s="149"/>
      <c r="O7" s="149"/>
      <c r="P7" s="149"/>
      <c r="Q7" s="149"/>
      <c r="R7" s="149"/>
      <c r="S7" s="149"/>
    </row>
    <row r="8" spans="1:19" ht="46" customHeight="1" x14ac:dyDescent="0.55000000000000004">
      <c r="A8" s="37" t="s">
        <v>300</v>
      </c>
      <c r="B8" s="157" t="s">
        <v>301</v>
      </c>
      <c r="C8" s="145"/>
      <c r="D8" s="145"/>
      <c r="E8" s="145"/>
      <c r="F8" s="145"/>
      <c r="G8" s="145"/>
      <c r="H8" s="145"/>
      <c r="I8" s="145"/>
      <c r="J8" s="146"/>
      <c r="K8" s="157" t="s">
        <v>302</v>
      </c>
      <c r="L8" s="145"/>
      <c r="M8" s="145"/>
      <c r="N8" s="145"/>
      <c r="O8" s="145"/>
      <c r="P8" s="145"/>
      <c r="Q8" s="145"/>
      <c r="R8" s="145"/>
      <c r="S8" s="146"/>
    </row>
    <row r="9" spans="1:19" ht="15" customHeight="1" x14ac:dyDescent="0.55000000000000004">
      <c r="B9" s="148" t="s">
        <v>298</v>
      </c>
      <c r="C9" s="149"/>
      <c r="D9" s="149"/>
      <c r="E9" s="149"/>
      <c r="F9" s="149"/>
      <c r="G9" s="149"/>
      <c r="H9" s="149"/>
      <c r="I9" s="149"/>
      <c r="J9" s="149"/>
      <c r="K9" s="149"/>
      <c r="L9" s="149"/>
      <c r="M9" s="149"/>
      <c r="N9" s="149"/>
      <c r="O9" s="149"/>
      <c r="P9" s="149"/>
      <c r="Q9" s="149"/>
      <c r="R9" s="149"/>
      <c r="S9" s="149"/>
    </row>
    <row r="10" spans="1:19" ht="20.05" customHeight="1" x14ac:dyDescent="0.55000000000000004">
      <c r="A10" s="154" t="s">
        <v>303</v>
      </c>
      <c r="B10" s="149"/>
      <c r="C10" s="149"/>
      <c r="D10" s="149"/>
      <c r="E10" s="149"/>
      <c r="F10" s="149"/>
      <c r="G10" s="149"/>
      <c r="H10" s="149"/>
      <c r="I10" s="149"/>
      <c r="J10" s="149"/>
      <c r="K10" s="149"/>
      <c r="L10" s="149"/>
      <c r="M10" s="149"/>
      <c r="N10" s="149"/>
      <c r="O10" s="149"/>
      <c r="P10" s="149"/>
      <c r="Q10" s="149"/>
      <c r="R10" s="149"/>
      <c r="S10" s="149"/>
    </row>
    <row r="11" spans="1:19" ht="54" customHeight="1" x14ac:dyDescent="0.55000000000000004">
      <c r="A11" s="37" t="s">
        <v>304</v>
      </c>
      <c r="B11" s="144" t="s">
        <v>305</v>
      </c>
      <c r="C11" s="145"/>
      <c r="D11" s="146"/>
      <c r="E11" s="144" t="s">
        <v>306</v>
      </c>
      <c r="F11" s="145"/>
      <c r="G11" s="146"/>
      <c r="H11" s="144" t="s">
        <v>307</v>
      </c>
      <c r="I11" s="145"/>
      <c r="J11" s="146"/>
      <c r="K11" s="147" t="s">
        <v>308</v>
      </c>
      <c r="L11" s="145"/>
      <c r="M11" s="146"/>
      <c r="N11" s="144" t="s">
        <v>309</v>
      </c>
      <c r="O11" s="145"/>
      <c r="P11" s="146"/>
      <c r="Q11" s="144" t="s">
        <v>310</v>
      </c>
      <c r="R11" s="145"/>
      <c r="S11" s="146"/>
    </row>
    <row r="12" spans="1:19" ht="15" customHeight="1" x14ac:dyDescent="0.55000000000000004">
      <c r="B12" s="148" t="s">
        <v>298</v>
      </c>
      <c r="C12" s="149"/>
      <c r="D12" s="149"/>
      <c r="E12" s="149"/>
      <c r="F12" s="149"/>
      <c r="G12" s="149"/>
      <c r="H12" s="149"/>
      <c r="I12" s="149"/>
      <c r="J12" s="149"/>
      <c r="K12" s="149"/>
      <c r="L12" s="149"/>
      <c r="M12" s="149"/>
      <c r="N12" s="149"/>
      <c r="O12" s="149"/>
      <c r="P12" s="149"/>
      <c r="Q12" s="149"/>
      <c r="R12" s="149"/>
      <c r="S12" s="149"/>
    </row>
    <row r="13" spans="1:19" ht="20.05" customHeight="1" x14ac:dyDescent="0.55000000000000004">
      <c r="A13" s="154" t="s">
        <v>311</v>
      </c>
      <c r="B13" s="149"/>
      <c r="C13" s="149"/>
      <c r="D13" s="149"/>
      <c r="E13" s="149"/>
      <c r="F13" s="149"/>
      <c r="G13" s="149"/>
      <c r="H13" s="149"/>
      <c r="I13" s="149"/>
      <c r="J13" s="149"/>
      <c r="K13" s="149"/>
      <c r="L13" s="149"/>
      <c r="M13" s="149"/>
      <c r="N13" s="149"/>
      <c r="O13" s="149"/>
      <c r="P13" s="149"/>
      <c r="Q13" s="149"/>
      <c r="R13" s="149"/>
      <c r="S13" s="149"/>
    </row>
    <row r="14" spans="1:19" ht="52" customHeight="1" x14ac:dyDescent="0.55000000000000004">
      <c r="A14" s="37" t="s">
        <v>312</v>
      </c>
      <c r="B14" s="152" t="s">
        <v>313</v>
      </c>
      <c r="C14" s="145"/>
      <c r="D14" s="145"/>
      <c r="E14" s="145"/>
      <c r="F14" s="145"/>
      <c r="G14" s="146"/>
      <c r="H14" s="152" t="s">
        <v>314</v>
      </c>
      <c r="I14" s="145"/>
      <c r="J14" s="145"/>
      <c r="K14" s="145"/>
      <c r="L14" s="145"/>
      <c r="M14" s="146"/>
      <c r="N14" s="152" t="s">
        <v>315</v>
      </c>
      <c r="O14" s="145"/>
      <c r="P14" s="146"/>
      <c r="Q14" s="147" t="s">
        <v>316</v>
      </c>
      <c r="R14" s="145"/>
      <c r="S14" s="146"/>
    </row>
    <row r="15" spans="1:19" ht="15" customHeight="1" x14ac:dyDescent="0.55000000000000004">
      <c r="B15" s="148" t="s">
        <v>317</v>
      </c>
      <c r="C15" s="149"/>
      <c r="D15" s="149"/>
      <c r="E15" s="149"/>
      <c r="F15" s="149"/>
      <c r="G15" s="149"/>
      <c r="H15" s="149"/>
      <c r="I15" s="149"/>
      <c r="J15" s="149"/>
      <c r="K15" s="149"/>
      <c r="L15" s="149"/>
      <c r="M15" s="149"/>
      <c r="N15" s="149"/>
      <c r="O15" s="149"/>
      <c r="P15" s="149"/>
      <c r="Q15" s="149"/>
      <c r="R15" s="149"/>
      <c r="S15" s="149"/>
    </row>
    <row r="16" spans="1:19" ht="20.05" customHeight="1" x14ac:dyDescent="0.55000000000000004">
      <c r="A16" s="154" t="s">
        <v>318</v>
      </c>
      <c r="B16" s="149"/>
      <c r="C16" s="149"/>
      <c r="D16" s="149"/>
      <c r="E16" s="149"/>
      <c r="F16" s="149"/>
      <c r="G16" s="149"/>
      <c r="H16" s="149"/>
      <c r="I16" s="149"/>
      <c r="J16" s="149"/>
      <c r="K16" s="149"/>
      <c r="L16" s="149"/>
      <c r="M16" s="149"/>
      <c r="N16" s="149"/>
      <c r="O16" s="149"/>
      <c r="P16" s="149"/>
      <c r="Q16" s="149"/>
      <c r="R16" s="149"/>
      <c r="S16" s="149"/>
    </row>
    <row r="17" spans="1:19" ht="54" customHeight="1" x14ac:dyDescent="0.55000000000000004">
      <c r="A17" s="37" t="s">
        <v>319</v>
      </c>
      <c r="B17" s="153" t="s">
        <v>320</v>
      </c>
      <c r="C17" s="145"/>
      <c r="D17" s="145"/>
      <c r="E17" s="145"/>
      <c r="F17" s="145"/>
      <c r="G17" s="146"/>
      <c r="H17" s="153" t="s">
        <v>321</v>
      </c>
      <c r="I17" s="145"/>
      <c r="J17" s="146"/>
      <c r="K17" s="153" t="s">
        <v>322</v>
      </c>
      <c r="L17" s="145"/>
      <c r="M17" s="146"/>
      <c r="N17" s="153" t="s">
        <v>323</v>
      </c>
      <c r="O17" s="145"/>
      <c r="P17" s="146"/>
      <c r="Q17" s="153" t="s">
        <v>324</v>
      </c>
      <c r="R17" s="145"/>
      <c r="S17" s="146"/>
    </row>
    <row r="18" spans="1:19" ht="15" customHeight="1" x14ac:dyDescent="0.55000000000000004">
      <c r="B18" s="148" t="s">
        <v>298</v>
      </c>
      <c r="C18" s="149"/>
      <c r="D18" s="149"/>
      <c r="E18" s="149"/>
      <c r="F18" s="149"/>
      <c r="G18" s="149"/>
      <c r="H18" s="149"/>
      <c r="I18" s="149"/>
      <c r="J18" s="149"/>
      <c r="K18" s="149"/>
      <c r="L18" s="149"/>
      <c r="M18" s="149"/>
      <c r="N18" s="149"/>
      <c r="O18" s="149"/>
      <c r="P18" s="149"/>
      <c r="Q18" s="149"/>
      <c r="R18" s="149"/>
      <c r="S18" s="149"/>
    </row>
    <row r="19" spans="1:19" ht="20.05" customHeight="1" x14ac:dyDescent="0.55000000000000004">
      <c r="A19" s="154" t="s">
        <v>325</v>
      </c>
      <c r="B19" s="149"/>
      <c r="C19" s="149"/>
      <c r="D19" s="149"/>
      <c r="E19" s="149"/>
      <c r="F19" s="149"/>
      <c r="G19" s="149"/>
      <c r="H19" s="149"/>
      <c r="I19" s="149"/>
      <c r="J19" s="149"/>
      <c r="K19" s="149"/>
      <c r="L19" s="149"/>
      <c r="M19" s="149"/>
      <c r="N19" s="149"/>
      <c r="O19" s="149"/>
      <c r="P19" s="149"/>
      <c r="Q19" s="149"/>
      <c r="R19" s="149"/>
      <c r="S19" s="149"/>
    </row>
    <row r="20" spans="1:19" ht="46" customHeight="1" x14ac:dyDescent="0.55000000000000004">
      <c r="A20" s="37" t="s">
        <v>326</v>
      </c>
      <c r="B20" s="155" t="s">
        <v>327</v>
      </c>
      <c r="C20" s="145"/>
      <c r="D20" s="145"/>
      <c r="E20" s="145"/>
      <c r="F20" s="145"/>
      <c r="G20" s="146"/>
      <c r="H20" s="155" t="s">
        <v>328</v>
      </c>
      <c r="I20" s="145"/>
      <c r="J20" s="145"/>
      <c r="K20" s="145"/>
      <c r="L20" s="145"/>
      <c r="M20" s="146"/>
      <c r="N20" s="155" t="s">
        <v>329</v>
      </c>
      <c r="O20" s="145"/>
      <c r="P20" s="145"/>
      <c r="Q20" s="145"/>
      <c r="R20" s="145"/>
      <c r="S20" s="146"/>
    </row>
    <row r="21" spans="1:19" ht="15" customHeight="1" x14ac:dyDescent="0.55000000000000004">
      <c r="B21" s="148" t="s">
        <v>298</v>
      </c>
      <c r="C21" s="149"/>
      <c r="D21" s="149"/>
      <c r="E21" s="149"/>
      <c r="F21" s="149"/>
      <c r="G21" s="149"/>
      <c r="H21" s="149"/>
      <c r="I21" s="149"/>
      <c r="J21" s="149"/>
      <c r="K21" s="149"/>
      <c r="L21" s="149"/>
      <c r="M21" s="149"/>
      <c r="N21" s="149"/>
      <c r="O21" s="149"/>
      <c r="P21" s="149"/>
      <c r="Q21" s="149"/>
      <c r="R21" s="149"/>
      <c r="S21" s="149"/>
    </row>
    <row r="22" spans="1:19" ht="20.05" customHeight="1" x14ac:dyDescent="0.55000000000000004">
      <c r="A22" s="154" t="s">
        <v>330</v>
      </c>
      <c r="B22" s="149"/>
      <c r="C22" s="149"/>
      <c r="D22" s="149"/>
      <c r="E22" s="149"/>
      <c r="F22" s="149"/>
      <c r="G22" s="149"/>
      <c r="H22" s="149"/>
      <c r="I22" s="149"/>
      <c r="J22" s="149"/>
      <c r="K22" s="149"/>
      <c r="L22" s="149"/>
      <c r="M22" s="149"/>
      <c r="N22" s="149"/>
      <c r="O22" s="149"/>
      <c r="P22" s="149"/>
      <c r="Q22" s="149"/>
      <c r="R22" s="149"/>
      <c r="S22" s="149"/>
    </row>
    <row r="23" spans="1:19" ht="52" customHeight="1" x14ac:dyDescent="0.55000000000000004">
      <c r="A23" s="37" t="s">
        <v>331</v>
      </c>
      <c r="B23" s="155" t="s">
        <v>332</v>
      </c>
      <c r="C23" s="145"/>
      <c r="D23" s="145"/>
      <c r="E23" s="145"/>
      <c r="F23" s="145"/>
      <c r="G23" s="146"/>
      <c r="H23" s="155" t="s">
        <v>333</v>
      </c>
      <c r="I23" s="145"/>
      <c r="J23" s="146"/>
      <c r="K23" s="155" t="s">
        <v>334</v>
      </c>
      <c r="L23" s="145"/>
      <c r="M23" s="146"/>
      <c r="N23" s="155" t="s">
        <v>335</v>
      </c>
      <c r="O23" s="145"/>
      <c r="P23" s="146"/>
      <c r="Q23" s="151" t="s">
        <v>336</v>
      </c>
      <c r="R23" s="145"/>
      <c r="S23" s="146"/>
    </row>
    <row r="26" spans="1:19" ht="20.05" customHeight="1" x14ac:dyDescent="0.55000000000000004">
      <c r="A26" s="160" t="s">
        <v>337</v>
      </c>
      <c r="B26" s="149"/>
      <c r="C26" s="149"/>
      <c r="D26" s="149"/>
      <c r="E26" s="149"/>
      <c r="F26" s="149"/>
      <c r="G26" s="149"/>
      <c r="H26" s="149"/>
      <c r="I26" s="149"/>
      <c r="J26" s="149"/>
      <c r="K26" s="149"/>
      <c r="L26" s="149"/>
      <c r="M26" s="149"/>
      <c r="N26" s="149"/>
      <c r="O26" s="149"/>
      <c r="P26" s="149"/>
      <c r="Q26" s="149"/>
      <c r="R26" s="149"/>
      <c r="S26" s="149"/>
    </row>
    <row r="27" spans="1:19" ht="52" customHeight="1" x14ac:dyDescent="0.55000000000000004">
      <c r="A27" s="37" t="s">
        <v>338</v>
      </c>
      <c r="B27" s="144" t="s">
        <v>339</v>
      </c>
      <c r="C27" s="145"/>
      <c r="D27" s="146"/>
      <c r="E27" s="144" t="s">
        <v>340</v>
      </c>
      <c r="F27" s="145"/>
      <c r="G27" s="146"/>
      <c r="H27" s="152" t="s">
        <v>341</v>
      </c>
      <c r="I27" s="145"/>
      <c r="J27" s="146"/>
      <c r="K27" s="153" t="s">
        <v>342</v>
      </c>
      <c r="L27" s="145"/>
      <c r="M27" s="146"/>
      <c r="N27" s="153" t="s">
        <v>343</v>
      </c>
      <c r="O27" s="145"/>
      <c r="P27" s="146"/>
      <c r="Q27" s="152" t="s">
        <v>344</v>
      </c>
      <c r="R27" s="145"/>
      <c r="S27" s="146"/>
    </row>
    <row r="30" spans="1:19" ht="20.05" customHeight="1" x14ac:dyDescent="0.55000000000000004">
      <c r="A30" s="154" t="s">
        <v>345</v>
      </c>
      <c r="B30" s="149"/>
      <c r="C30" s="149"/>
      <c r="D30" s="149"/>
      <c r="E30" s="149"/>
      <c r="F30" s="149"/>
      <c r="G30" s="149"/>
      <c r="H30" s="149"/>
      <c r="I30" s="149"/>
      <c r="J30" s="149"/>
      <c r="K30" s="149"/>
      <c r="L30" s="149"/>
      <c r="M30" s="149"/>
      <c r="N30" s="149"/>
      <c r="O30" s="149"/>
      <c r="P30" s="149"/>
      <c r="Q30" s="149"/>
      <c r="R30" s="149"/>
      <c r="S30" s="149"/>
    </row>
    <row r="31" spans="1:19" ht="16" customHeight="1" x14ac:dyDescent="0.55000000000000004">
      <c r="A31" s="150" t="s">
        <v>346</v>
      </c>
      <c r="B31" s="149"/>
      <c r="C31" s="149"/>
      <c r="D31" s="149"/>
      <c r="E31" s="149"/>
      <c r="F31" s="149"/>
      <c r="G31" s="149"/>
      <c r="H31" s="149"/>
      <c r="I31" s="149"/>
      <c r="J31" s="149"/>
      <c r="K31" s="149"/>
      <c r="L31" s="149"/>
      <c r="M31" s="149"/>
      <c r="N31" s="149"/>
      <c r="O31" s="149"/>
      <c r="P31" s="149"/>
      <c r="Q31" s="149"/>
      <c r="R31" s="149"/>
      <c r="S31" s="149"/>
    </row>
    <row r="32" spans="1:19" ht="16" customHeight="1" x14ac:dyDescent="0.55000000000000004">
      <c r="A32" s="150" t="s">
        <v>347</v>
      </c>
      <c r="B32" s="149"/>
      <c r="C32" s="149"/>
      <c r="D32" s="149"/>
      <c r="E32" s="149"/>
      <c r="F32" s="149"/>
      <c r="G32" s="149"/>
      <c r="H32" s="149"/>
      <c r="I32" s="149"/>
      <c r="J32" s="149"/>
      <c r="K32" s="149"/>
      <c r="L32" s="149"/>
      <c r="M32" s="149"/>
      <c r="N32" s="149"/>
      <c r="O32" s="149"/>
      <c r="P32" s="149"/>
      <c r="Q32" s="149"/>
      <c r="R32" s="149"/>
      <c r="S32" s="149"/>
    </row>
    <row r="33" spans="1:19" ht="16" customHeight="1" x14ac:dyDescent="0.55000000000000004">
      <c r="A33" s="150" t="s">
        <v>348</v>
      </c>
      <c r="B33" s="149"/>
      <c r="C33" s="149"/>
      <c r="D33" s="149"/>
      <c r="E33" s="149"/>
      <c r="F33" s="149"/>
      <c r="G33" s="149"/>
      <c r="H33" s="149"/>
      <c r="I33" s="149"/>
      <c r="J33" s="149"/>
      <c r="K33" s="149"/>
      <c r="L33" s="149"/>
      <c r="M33" s="149"/>
      <c r="N33" s="149"/>
      <c r="O33" s="149"/>
      <c r="P33" s="149"/>
      <c r="Q33" s="149"/>
      <c r="R33" s="149"/>
      <c r="S33" s="149"/>
    </row>
    <row r="34" spans="1:19" ht="16" customHeight="1" x14ac:dyDescent="0.55000000000000004">
      <c r="A34" s="150" t="s">
        <v>349</v>
      </c>
      <c r="B34" s="149"/>
      <c r="C34" s="149"/>
      <c r="D34" s="149"/>
      <c r="E34" s="149"/>
      <c r="F34" s="149"/>
      <c r="G34" s="149"/>
      <c r="H34" s="149"/>
      <c r="I34" s="149"/>
      <c r="J34" s="149"/>
      <c r="K34" s="149"/>
      <c r="L34" s="149"/>
      <c r="M34" s="149"/>
      <c r="N34" s="149"/>
      <c r="O34" s="149"/>
      <c r="P34" s="149"/>
      <c r="Q34" s="149"/>
      <c r="R34" s="149"/>
      <c r="S34" s="149"/>
    </row>
    <row r="35" spans="1:19" ht="16" customHeight="1" x14ac:dyDescent="0.55000000000000004">
      <c r="A35" s="150" t="s">
        <v>350</v>
      </c>
      <c r="B35" s="149"/>
      <c r="C35" s="149"/>
      <c r="D35" s="149"/>
      <c r="E35" s="149"/>
      <c r="F35" s="149"/>
      <c r="G35" s="149"/>
      <c r="H35" s="149"/>
      <c r="I35" s="149"/>
      <c r="J35" s="149"/>
      <c r="K35" s="149"/>
      <c r="L35" s="149"/>
      <c r="M35" s="149"/>
      <c r="N35" s="149"/>
      <c r="O35" s="149"/>
      <c r="P35" s="149"/>
      <c r="Q35" s="149"/>
      <c r="R35" s="149"/>
      <c r="S35" s="149"/>
    </row>
    <row r="36" spans="1:19" ht="16" customHeight="1" x14ac:dyDescent="0.55000000000000004">
      <c r="A36" s="150" t="s">
        <v>351</v>
      </c>
      <c r="B36" s="149"/>
      <c r="C36" s="149"/>
      <c r="D36" s="149"/>
      <c r="E36" s="149"/>
      <c r="F36" s="149"/>
      <c r="G36" s="149"/>
      <c r="H36" s="149"/>
      <c r="I36" s="149"/>
      <c r="J36" s="149"/>
      <c r="K36" s="149"/>
      <c r="L36" s="149"/>
      <c r="M36" s="149"/>
      <c r="N36" s="149"/>
      <c r="O36" s="149"/>
      <c r="P36" s="149"/>
      <c r="Q36" s="149"/>
      <c r="R36" s="149"/>
      <c r="S36" s="149"/>
    </row>
    <row r="37" spans="1:19" ht="16" customHeight="1" x14ac:dyDescent="0.55000000000000004">
      <c r="A37" s="161" t="s">
        <v>352</v>
      </c>
      <c r="B37" s="149"/>
      <c r="C37" s="149"/>
      <c r="D37" s="149"/>
      <c r="E37" s="149"/>
      <c r="F37" s="149"/>
      <c r="G37" s="149"/>
      <c r="H37" s="149"/>
      <c r="I37" s="149"/>
      <c r="J37" s="149"/>
      <c r="K37" s="149"/>
      <c r="L37" s="149"/>
      <c r="M37" s="149"/>
      <c r="N37" s="149"/>
      <c r="O37" s="149"/>
      <c r="P37" s="149"/>
      <c r="Q37" s="149"/>
      <c r="R37" s="149"/>
      <c r="S37" s="149"/>
    </row>
    <row r="39" spans="1:19" ht="18" customHeight="1" x14ac:dyDescent="0.55000000000000004">
      <c r="A39" s="38" t="s">
        <v>287</v>
      </c>
      <c r="B39" s="164" t="s">
        <v>353</v>
      </c>
      <c r="C39" s="149"/>
      <c r="D39" s="149"/>
      <c r="E39" s="162" t="s">
        <v>354</v>
      </c>
      <c r="F39" s="149"/>
      <c r="G39" s="149"/>
      <c r="H39" s="165" t="s">
        <v>355</v>
      </c>
      <c r="I39" s="149"/>
      <c r="J39" s="149"/>
      <c r="K39" s="158" t="s">
        <v>356</v>
      </c>
      <c r="L39" s="149"/>
      <c r="M39" s="149"/>
      <c r="N39" s="156" t="s">
        <v>45</v>
      </c>
      <c r="O39" s="149"/>
      <c r="P39" s="149"/>
      <c r="Q39" s="163" t="s">
        <v>357</v>
      </c>
      <c r="R39" s="149"/>
      <c r="S39" s="149"/>
    </row>
  </sheetData>
  <mergeCells count="67">
    <mergeCell ref="A1:S1"/>
    <mergeCell ref="H14:M14"/>
    <mergeCell ref="N27:P27"/>
    <mergeCell ref="A26:S26"/>
    <mergeCell ref="A16:S16"/>
    <mergeCell ref="H20:M20"/>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K27:M27"/>
    <mergeCell ref="Q27:S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17:P17"/>
    <mergeCell ref="N23:P23"/>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167" t="s">
        <v>358</v>
      </c>
      <c r="B1" s="141"/>
      <c r="C1" s="141"/>
      <c r="D1" s="141"/>
      <c r="E1" s="141"/>
      <c r="F1" s="142"/>
    </row>
    <row r="3" spans="1:6" x14ac:dyDescent="0.55000000000000004">
      <c r="A3" s="1" t="s">
        <v>2</v>
      </c>
      <c r="B3" s="1" t="s">
        <v>359</v>
      </c>
      <c r="C3" s="1" t="s">
        <v>22</v>
      </c>
      <c r="D3" s="1" t="s">
        <v>360</v>
      </c>
      <c r="E3" s="1" t="s">
        <v>145</v>
      </c>
      <c r="F3" s="1" t="s">
        <v>361</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5</v>
      </c>
      <c r="C5" s="26">
        <f>COUNTIFS('Delivery Board'!$R$5:$R$500,$A5,'Delivery Board'!$C$5:$C$500,"Done")</f>
        <v>5</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5</v>
      </c>
      <c r="C7" s="26">
        <f>COUNTIFS('Delivery Board'!$R$5:$R$500,$A7,'Delivery Board'!$C$5:$C$500,"Done")</f>
        <v>5</v>
      </c>
      <c r="D7" s="26">
        <f>COUNTIFS('Delivery Board'!$R$5:$R$500,$A7,'Delivery Board'!$C$5:$C$500,"Planned")+COUNTIFS('Delivery Board'!$R$5:$R$500,$A7,'Delivery Board'!$C$5:$C$500,"In progress")+COUNTIFS('Delivery Board'!$R$5:$R$500,$A7,'Delivery Board'!$C$5:$C$500,"Milestone")</f>
        <v>0</v>
      </c>
      <c r="E7" s="26">
        <f>COUNTIFS('Delivery Board'!$R$5:$R$500,$A7,'Delivery Board'!$C$5:$C$500,"Blocked")</f>
        <v>0</v>
      </c>
      <c r="F7" s="27">
        <f t="shared" si="1"/>
        <v>1</v>
      </c>
    </row>
    <row r="8" spans="1:6" x14ac:dyDescent="0.55000000000000004">
      <c r="A8" s="25" t="s">
        <v>62</v>
      </c>
      <c r="B8" s="26">
        <f t="shared" si="0"/>
        <v>7</v>
      </c>
      <c r="C8" s="26">
        <f>COUNTIFS('Delivery Board'!$R$5:$R$500,$A8,'Delivery Board'!$C$5:$C$500,"Done")</f>
        <v>7</v>
      </c>
      <c r="D8" s="26">
        <f>COUNTIFS('Delivery Board'!$R$5:$R$500,$A8,'Delivery Board'!$C$5:$C$500,"Planned")+COUNTIFS('Delivery Board'!$R$5:$R$500,$A8,'Delivery Board'!$C$5:$C$500,"In progress")+COUNTIFS('Delivery Board'!$R$5:$R$500,$A8,'Delivery Board'!$C$5:$C$500,"Milestone")</f>
        <v>0</v>
      </c>
      <c r="E8" s="26">
        <f>COUNTIFS('Delivery Board'!$R$5:$R$500,$A8,'Delivery Board'!$C$5:$C$500,"Blocked")</f>
        <v>0</v>
      </c>
      <c r="F8" s="27">
        <f t="shared" si="1"/>
        <v>1</v>
      </c>
    </row>
    <row r="9" spans="1:6" x14ac:dyDescent="0.55000000000000004">
      <c r="A9" s="25" t="s">
        <v>73</v>
      </c>
      <c r="B9" s="26">
        <f t="shared" si="0"/>
        <v>4</v>
      </c>
      <c r="C9" s="26">
        <f>COUNTIFS('Delivery Board'!$R$5:$R$500,$A9,'Delivery Board'!$C$5:$C$500,"Done")</f>
        <v>4</v>
      </c>
      <c r="D9" s="26">
        <f>COUNTIFS('Delivery Board'!$R$5:$R$500,$A9,'Delivery Board'!$C$5:$C$500,"Planned")+COUNTIFS('Delivery Board'!$R$5:$R$500,$A9,'Delivery Board'!$C$5:$C$500,"In progress")+COUNTIFS('Delivery Board'!$R$5:$R$500,$A9,'Delivery Board'!$C$5:$C$500,"Milestone")</f>
        <v>0</v>
      </c>
      <c r="E9" s="26">
        <f>COUNTIFS('Delivery Board'!$R$5:$R$500,$A9,'Delivery Board'!$C$5:$C$500,"Blocked")</f>
        <v>0</v>
      </c>
      <c r="F9" s="27">
        <f t="shared" si="1"/>
        <v>1</v>
      </c>
    </row>
    <row r="10" spans="1:6" x14ac:dyDescent="0.55000000000000004">
      <c r="A10" s="25" t="s">
        <v>83</v>
      </c>
      <c r="B10" s="26">
        <f t="shared" si="0"/>
        <v>10</v>
      </c>
      <c r="C10" s="26">
        <f>COUNTIFS('Delivery Board'!$R$5:$R$500,$A10,'Delivery Board'!$C$5:$C$500,"Done")</f>
        <v>9</v>
      </c>
      <c r="D10" s="26">
        <f>COUNTIFS('Delivery Board'!$R$5:$R$500,$A10,'Delivery Board'!$C$5:$C$500,"Planned")+COUNTIFS('Delivery Board'!$R$5:$R$500,$A10,'Delivery Board'!$C$5:$C$500,"In progress")+COUNTIFS('Delivery Board'!$R$5:$R$500,$A10,'Delivery Board'!$C$5:$C$500,"Milestone")</f>
        <v>1</v>
      </c>
      <c r="E10" s="26">
        <f>COUNTIFS('Delivery Board'!$R$5:$R$500,$A10,'Delivery Board'!$C$5:$C$500,"Blocked")</f>
        <v>0</v>
      </c>
      <c r="F10" s="27">
        <f t="shared" si="1"/>
        <v>0.9</v>
      </c>
    </row>
    <row r="11" spans="1:6" x14ac:dyDescent="0.55000000000000004">
      <c r="A11" s="25" t="s">
        <v>99</v>
      </c>
      <c r="B11" s="26">
        <f t="shared" si="0"/>
        <v>26</v>
      </c>
      <c r="C11" s="26">
        <f>COUNTIFS('Delivery Board'!$R$5:$R$500,$A11,'Delivery Board'!$C$5:$C$500,"Done")</f>
        <v>22</v>
      </c>
      <c r="D11" s="26">
        <f>COUNTIFS('Delivery Board'!$R$5:$R$500,$A11,'Delivery Board'!$C$5:$C$500,"Planned")+COUNTIFS('Delivery Board'!$R$5:$R$500,$A11,'Delivery Board'!$C$5:$C$500,"In progress")+COUNTIFS('Delivery Board'!$R$5:$R$500,$A11,'Delivery Board'!$C$5:$C$500,"Milestone")</f>
        <v>4</v>
      </c>
      <c r="E11" s="26">
        <f>COUNTIFS('Delivery Board'!$R$5:$R$500,$A11,'Delivery Board'!$C$5:$C$500,"Blocked")</f>
        <v>0</v>
      </c>
      <c r="F11" s="27">
        <f t="shared" si="1"/>
        <v>0.84615384615384615</v>
      </c>
    </row>
    <row r="12" spans="1:6" x14ac:dyDescent="0.55000000000000004">
      <c r="A12" s="25" t="s">
        <v>130</v>
      </c>
      <c r="B12" s="26">
        <f t="shared" si="0"/>
        <v>19</v>
      </c>
      <c r="C12" s="26">
        <f>COUNTIFS('Delivery Board'!$R$5:$R$500,$A12,'Delivery Board'!$C$5:$C$500,"Done")</f>
        <v>4</v>
      </c>
      <c r="D12" s="26">
        <f>COUNTIFS('Delivery Board'!$R$5:$R$500,$A12,'Delivery Board'!$C$5:$C$500,"Planned")+COUNTIFS('Delivery Board'!$R$5:$R$500,$A12,'Delivery Board'!$C$5:$C$500,"In progress")+COUNTIFS('Delivery Board'!$R$5:$R$500,$A12,'Delivery Board'!$C$5:$C$500,"Milestone")</f>
        <v>13</v>
      </c>
      <c r="E12" s="26">
        <f>COUNTIFS('Delivery Board'!$R$5:$R$500,$A12,'Delivery Board'!$C$5:$C$500,"Blocked")</f>
        <v>2</v>
      </c>
      <c r="F12" s="27">
        <f t="shared" si="1"/>
        <v>0.21052631578947367</v>
      </c>
    </row>
    <row r="13" spans="1:6" x14ac:dyDescent="0.55000000000000004">
      <c r="A13" s="25" t="s">
        <v>162</v>
      </c>
      <c r="B13" s="26">
        <f t="shared" si="0"/>
        <v>30</v>
      </c>
      <c r="C13" s="26">
        <f>COUNTIFS('Delivery Board'!$R$5:$R$500,$A13,'Delivery Board'!$C$5:$C$500,"Done")</f>
        <v>12</v>
      </c>
      <c r="D13" s="26">
        <f>COUNTIFS('Delivery Board'!$R$5:$R$500,$A13,'Delivery Board'!$C$5:$C$500,"Planned")+COUNTIFS('Delivery Board'!$R$5:$R$500,$A13,'Delivery Board'!$C$5:$C$500,"In progress")+COUNTIFS('Delivery Board'!$R$5:$R$500,$A13,'Delivery Board'!$C$5:$C$500,"Milestone")</f>
        <v>18</v>
      </c>
      <c r="E13" s="26">
        <f>COUNTIFS('Delivery Board'!$R$5:$R$500,$A13,'Delivery Board'!$C$5:$C$500,"Blocked")</f>
        <v>0</v>
      </c>
      <c r="F13" s="27">
        <f t="shared" si="1"/>
        <v>0.4</v>
      </c>
    </row>
    <row r="14" spans="1:6" x14ac:dyDescent="0.55000000000000004">
      <c r="A14" s="25" t="s">
        <v>191</v>
      </c>
      <c r="B14" s="26">
        <f t="shared" si="0"/>
        <v>9</v>
      </c>
      <c r="C14" s="26">
        <f>COUNTIFS('Delivery Board'!$R$5:$R$500,$A14,'Delivery Board'!$C$5:$C$500,"Done")</f>
        <v>5</v>
      </c>
      <c r="D14" s="26">
        <f>COUNTIFS('Delivery Board'!$R$5:$R$500,$A14,'Delivery Board'!$C$5:$C$500,"Planned")+COUNTIFS('Delivery Board'!$R$5:$R$500,$A14,'Delivery Board'!$C$5:$C$500,"In progress")+COUNTIFS('Delivery Board'!$R$5:$R$500,$A14,'Delivery Board'!$C$5:$C$500,"Milestone")</f>
        <v>4</v>
      </c>
      <c r="E14" s="26">
        <f>COUNTIFS('Delivery Board'!$R$5:$R$500,$A14,'Delivery Board'!$C$5:$C$500,"Blocked")</f>
        <v>0</v>
      </c>
      <c r="F14" s="27">
        <f t="shared" si="1"/>
        <v>0.55555555555555558</v>
      </c>
    </row>
    <row r="16" spans="1:6" x14ac:dyDescent="0.55000000000000004">
      <c r="A16" s="28" t="s">
        <v>362</v>
      </c>
      <c r="B16" s="29">
        <f>SUM(B4:B14)</f>
        <v>122</v>
      </c>
      <c r="C16" s="29">
        <f>SUM(C4:C14)</f>
        <v>80</v>
      </c>
      <c r="D16">
        <f>SUM(D4:D14)</f>
        <v>40</v>
      </c>
      <c r="E16">
        <f>SUM(E4:E14)</f>
        <v>2</v>
      </c>
      <c r="F16" s="30">
        <f>IF(B16=0,0,C16/B16)</f>
        <v>0.65573770491803274</v>
      </c>
    </row>
    <row r="18" spans="1:2" x14ac:dyDescent="0.55000000000000004">
      <c r="A18" s="43" t="s">
        <v>363</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364</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3"/>
  <sheetViews>
    <sheetView workbookViewId="0">
      <pane ySplit="3" topLeftCell="A4" activePane="bottomLeft" state="frozen"/>
      <selection pane="bottomLeft"/>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167" t="s">
        <v>365</v>
      </c>
      <c r="B1" s="141"/>
      <c r="C1" s="141"/>
      <c r="D1" s="141"/>
      <c r="E1" s="142"/>
    </row>
    <row r="3" spans="1:5" x14ac:dyDescent="0.55000000000000004">
      <c r="A3" s="31" t="s">
        <v>366</v>
      </c>
      <c r="B3" s="31" t="s">
        <v>367</v>
      </c>
      <c r="C3" s="31" t="s">
        <v>368</v>
      </c>
      <c r="D3" s="31" t="s">
        <v>4</v>
      </c>
      <c r="E3" s="31" t="s">
        <v>369</v>
      </c>
    </row>
    <row r="4" spans="1:5" ht="28" customHeight="1" x14ac:dyDescent="0.55000000000000004">
      <c r="A4" s="32" t="s">
        <v>370</v>
      </c>
      <c r="B4" s="12" t="s">
        <v>371</v>
      </c>
      <c r="C4" s="23" t="s">
        <v>372</v>
      </c>
      <c r="D4" s="12" t="s">
        <v>373</v>
      </c>
      <c r="E4" s="33" t="s">
        <v>374</v>
      </c>
    </row>
    <row r="5" spans="1:5" ht="28" customHeight="1" x14ac:dyDescent="0.55000000000000004">
      <c r="A5" s="34" t="s">
        <v>375</v>
      </c>
      <c r="B5" s="6" t="s">
        <v>371</v>
      </c>
      <c r="C5" s="21" t="s">
        <v>376</v>
      </c>
      <c r="D5" s="6" t="s">
        <v>373</v>
      </c>
      <c r="E5" s="35" t="s">
        <v>377</v>
      </c>
    </row>
    <row r="6" spans="1:5" ht="28" customHeight="1" x14ac:dyDescent="0.55000000000000004">
      <c r="A6" s="32" t="s">
        <v>378</v>
      </c>
      <c r="B6" s="12" t="s">
        <v>379</v>
      </c>
      <c r="C6" s="23" t="s">
        <v>372</v>
      </c>
      <c r="D6" s="12" t="s">
        <v>128</v>
      </c>
      <c r="E6" s="33" t="s">
        <v>380</v>
      </c>
    </row>
    <row r="7" spans="1:5" ht="28" customHeight="1" x14ac:dyDescent="0.55000000000000004">
      <c r="A7" s="34" t="s">
        <v>381</v>
      </c>
      <c r="B7" s="6" t="s">
        <v>371</v>
      </c>
      <c r="C7" s="21" t="s">
        <v>376</v>
      </c>
      <c r="D7" s="6" t="s">
        <v>128</v>
      </c>
      <c r="E7" s="35" t="s">
        <v>382</v>
      </c>
    </row>
    <row r="8" spans="1:5" ht="28" customHeight="1" x14ac:dyDescent="0.55000000000000004">
      <c r="A8" s="32" t="s">
        <v>383</v>
      </c>
      <c r="B8" s="12" t="s">
        <v>379</v>
      </c>
      <c r="C8" s="19" t="s">
        <v>384</v>
      </c>
      <c r="D8" s="12" t="s">
        <v>385</v>
      </c>
      <c r="E8" s="33" t="s">
        <v>386</v>
      </c>
    </row>
    <row r="9" spans="1:5" ht="28" customHeight="1" x14ac:dyDescent="0.55000000000000004">
      <c r="A9" s="34" t="s">
        <v>387</v>
      </c>
      <c r="B9" s="6" t="s">
        <v>371</v>
      </c>
      <c r="C9" s="21" t="s">
        <v>376</v>
      </c>
      <c r="D9" s="6" t="s">
        <v>388</v>
      </c>
      <c r="E9" s="35" t="s">
        <v>389</v>
      </c>
    </row>
    <row r="10" spans="1:5" ht="28" customHeight="1" x14ac:dyDescent="0.55000000000000004">
      <c r="A10" s="32" t="s">
        <v>390</v>
      </c>
      <c r="B10" s="12" t="s">
        <v>391</v>
      </c>
      <c r="C10" s="19" t="s">
        <v>384</v>
      </c>
      <c r="D10" s="12" t="s">
        <v>373</v>
      </c>
      <c r="E10" s="33" t="s">
        <v>392</v>
      </c>
    </row>
    <row r="11" spans="1:5" ht="28" customHeight="1" x14ac:dyDescent="0.55000000000000004">
      <c r="A11" s="34" t="s">
        <v>393</v>
      </c>
      <c r="B11" s="6" t="s">
        <v>379</v>
      </c>
      <c r="C11" s="21" t="s">
        <v>376</v>
      </c>
      <c r="D11" s="6" t="s">
        <v>128</v>
      </c>
      <c r="E11" s="35" t="s">
        <v>394</v>
      </c>
    </row>
    <row r="12" spans="1:5" ht="28" customHeight="1" x14ac:dyDescent="0.55000000000000004">
      <c r="A12" s="32" t="s">
        <v>395</v>
      </c>
      <c r="B12" s="12" t="s">
        <v>379</v>
      </c>
      <c r="C12" s="36" t="s">
        <v>396</v>
      </c>
      <c r="D12" s="12" t="s">
        <v>397</v>
      </c>
      <c r="E12" s="33" t="s">
        <v>398</v>
      </c>
    </row>
    <row r="13" spans="1:5" ht="28" customHeight="1" x14ac:dyDescent="0.55000000000000004">
      <c r="A13" s="34" t="s">
        <v>399</v>
      </c>
      <c r="B13" s="6" t="s">
        <v>379</v>
      </c>
      <c r="C13" s="19" t="s">
        <v>384</v>
      </c>
      <c r="D13" s="6" t="s">
        <v>397</v>
      </c>
      <c r="E13" s="35" t="s">
        <v>400</v>
      </c>
    </row>
    <row r="14" spans="1:5" ht="28" customHeight="1" x14ac:dyDescent="0.55000000000000004">
      <c r="A14" s="32" t="s">
        <v>401</v>
      </c>
      <c r="B14" s="12" t="s">
        <v>371</v>
      </c>
      <c r="C14" s="19" t="s">
        <v>384</v>
      </c>
      <c r="D14" s="12" t="s">
        <v>128</v>
      </c>
      <c r="E14" s="33" t="s">
        <v>402</v>
      </c>
    </row>
    <row r="15" spans="1:5" ht="28" customHeight="1" x14ac:dyDescent="0.55000000000000004">
      <c r="A15" s="34" t="s">
        <v>403</v>
      </c>
      <c r="B15" s="6" t="s">
        <v>371</v>
      </c>
      <c r="C15" s="19" t="s">
        <v>384</v>
      </c>
      <c r="D15" s="6" t="s">
        <v>373</v>
      </c>
      <c r="E15" s="35" t="s">
        <v>404</v>
      </c>
    </row>
    <row r="16" spans="1:5" ht="30" customHeight="1" x14ac:dyDescent="0.55000000000000004">
      <c r="A16" s="32" t="s">
        <v>405</v>
      </c>
      <c r="B16" s="12" t="s">
        <v>371</v>
      </c>
      <c r="C16" s="21" t="s">
        <v>376</v>
      </c>
      <c r="D16" s="12" t="s">
        <v>406</v>
      </c>
      <c r="E16" s="33" t="s">
        <v>407</v>
      </c>
    </row>
    <row r="17" spans="1:5" ht="30" customHeight="1" x14ac:dyDescent="0.55000000000000004">
      <c r="A17" s="34" t="s">
        <v>408</v>
      </c>
      <c r="B17" s="6" t="s">
        <v>371</v>
      </c>
      <c r="C17" s="23" t="s">
        <v>372</v>
      </c>
      <c r="D17" s="6" t="s">
        <v>373</v>
      </c>
      <c r="E17" s="35" t="s">
        <v>409</v>
      </c>
    </row>
    <row r="18" spans="1:5" ht="30" customHeight="1" x14ac:dyDescent="0.55000000000000004">
      <c r="A18" s="32" t="s">
        <v>410</v>
      </c>
      <c r="B18" s="12" t="s">
        <v>379</v>
      </c>
      <c r="C18" s="19" t="s">
        <v>384</v>
      </c>
      <c r="D18" s="12" t="s">
        <v>385</v>
      </c>
      <c r="E18" s="33" t="s">
        <v>411</v>
      </c>
    </row>
    <row r="19" spans="1:5" ht="30" customHeight="1" x14ac:dyDescent="0.55000000000000004">
      <c r="A19" s="34" t="s">
        <v>412</v>
      </c>
      <c r="B19" s="6" t="s">
        <v>371</v>
      </c>
      <c r="C19" s="19" t="s">
        <v>384</v>
      </c>
      <c r="D19" s="6" t="s">
        <v>373</v>
      </c>
      <c r="E19" s="35" t="s">
        <v>413</v>
      </c>
    </row>
    <row r="20" spans="1:5" ht="32.049999999999997" customHeight="1" x14ac:dyDescent="0.55000000000000004">
      <c r="A20" s="32" t="s">
        <v>414</v>
      </c>
      <c r="B20" s="12" t="s">
        <v>415</v>
      </c>
      <c r="C20" s="23" t="s">
        <v>372</v>
      </c>
      <c r="D20" s="12" t="s">
        <v>416</v>
      </c>
      <c r="E20" s="33" t="s">
        <v>417</v>
      </c>
    </row>
    <row r="21" spans="1:5" ht="32.049999999999997" customHeight="1" x14ac:dyDescent="0.55000000000000004">
      <c r="A21" s="34" t="s">
        <v>418</v>
      </c>
      <c r="B21" s="6" t="s">
        <v>371</v>
      </c>
      <c r="C21" s="21" t="s">
        <v>376</v>
      </c>
      <c r="D21" s="6" t="s">
        <v>406</v>
      </c>
      <c r="E21" s="35" t="s">
        <v>419</v>
      </c>
    </row>
    <row r="22" spans="1:5" ht="32.049999999999997" customHeight="1" x14ac:dyDescent="0.55000000000000004">
      <c r="A22" s="32" t="s">
        <v>420</v>
      </c>
      <c r="B22" s="12" t="s">
        <v>421</v>
      </c>
      <c r="C22" s="19" t="s">
        <v>384</v>
      </c>
      <c r="D22" s="12" t="s">
        <v>373</v>
      </c>
      <c r="E22" s="33" t="s">
        <v>422</v>
      </c>
    </row>
    <row r="23" spans="1:5" ht="32.049999999999997" customHeight="1" x14ac:dyDescent="0.55000000000000004">
      <c r="A23" s="34" t="s">
        <v>423</v>
      </c>
      <c r="B23" s="6" t="s">
        <v>421</v>
      </c>
      <c r="C23" s="19" t="s">
        <v>384</v>
      </c>
      <c r="D23" s="6" t="s">
        <v>373</v>
      </c>
      <c r="E23" s="35" t="s">
        <v>424</v>
      </c>
    </row>
    <row r="24" spans="1:5" ht="32.049999999999997" customHeight="1" x14ac:dyDescent="0.55000000000000004">
      <c r="A24" s="32" t="s">
        <v>425</v>
      </c>
      <c r="B24" s="12" t="s">
        <v>421</v>
      </c>
      <c r="C24" s="19" t="s">
        <v>384</v>
      </c>
      <c r="D24" s="12" t="s">
        <v>373</v>
      </c>
      <c r="E24" s="33" t="s">
        <v>426</v>
      </c>
    </row>
    <row r="25" spans="1:5" ht="32.049999999999997" customHeight="1" x14ac:dyDescent="0.55000000000000004">
      <c r="A25" s="58" t="s">
        <v>427</v>
      </c>
      <c r="B25" s="55" t="s">
        <v>385</v>
      </c>
      <c r="C25" s="59" t="s">
        <v>384</v>
      </c>
      <c r="D25" s="55" t="s">
        <v>373</v>
      </c>
      <c r="E25" s="60" t="s">
        <v>428</v>
      </c>
    </row>
    <row r="26" spans="1:5" ht="32.049999999999997" customHeight="1" x14ac:dyDescent="0.55000000000000004">
      <c r="A26" s="61" t="s">
        <v>429</v>
      </c>
      <c r="B26" s="49" t="s">
        <v>421</v>
      </c>
      <c r="C26" s="59" t="s">
        <v>396</v>
      </c>
      <c r="D26" s="49" t="s">
        <v>416</v>
      </c>
      <c r="E26" s="62" t="s">
        <v>430</v>
      </c>
    </row>
    <row r="27" spans="1:5" ht="32.049999999999997" customHeight="1" x14ac:dyDescent="0.55000000000000004">
      <c r="A27" s="58" t="s">
        <v>431</v>
      </c>
      <c r="B27" s="55" t="s">
        <v>385</v>
      </c>
      <c r="C27" s="59" t="s">
        <v>396</v>
      </c>
      <c r="D27" s="55" t="s">
        <v>373</v>
      </c>
      <c r="E27" s="60" t="s">
        <v>432</v>
      </c>
    </row>
    <row r="28" spans="1:5" ht="46" customHeight="1" x14ac:dyDescent="0.55000000000000004">
      <c r="A28" s="79" t="s">
        <v>433</v>
      </c>
      <c r="B28" s="66" t="s">
        <v>385</v>
      </c>
      <c r="C28" s="75" t="s">
        <v>376</v>
      </c>
      <c r="D28" s="107" t="s">
        <v>416</v>
      </c>
      <c r="E28" s="107" t="s">
        <v>434</v>
      </c>
    </row>
    <row r="29" spans="1:5" ht="46" customHeight="1" x14ac:dyDescent="0.55000000000000004">
      <c r="A29" s="80" t="s">
        <v>435</v>
      </c>
      <c r="B29" s="72" t="s">
        <v>371</v>
      </c>
      <c r="C29" s="77" t="s">
        <v>384</v>
      </c>
      <c r="D29" s="106" t="s">
        <v>416</v>
      </c>
      <c r="E29" s="106" t="s">
        <v>436</v>
      </c>
    </row>
    <row r="30" spans="1:5" ht="32.049999999999997" customHeight="1" x14ac:dyDescent="0.55000000000000004">
      <c r="A30" s="88" t="s">
        <v>437</v>
      </c>
      <c r="B30" s="84" t="s">
        <v>371</v>
      </c>
      <c r="C30" s="89" t="s">
        <v>384</v>
      </c>
      <c r="D30" s="84" t="s">
        <v>373</v>
      </c>
      <c r="E30" s="90" t="s">
        <v>438</v>
      </c>
    </row>
    <row r="31" spans="1:5" ht="32.049999999999997" customHeight="1" x14ac:dyDescent="0.55000000000000004">
      <c r="A31" s="105" t="s">
        <v>439</v>
      </c>
      <c r="B31" s="94" t="s">
        <v>421</v>
      </c>
      <c r="C31" s="103" t="s">
        <v>384</v>
      </c>
      <c r="D31" s="94" t="s">
        <v>440</v>
      </c>
      <c r="E31" s="106" t="s">
        <v>441</v>
      </c>
    </row>
    <row r="32" spans="1:5" ht="32.049999999999997" customHeight="1" x14ac:dyDescent="0.55000000000000004">
      <c r="A32" s="122" t="s">
        <v>442</v>
      </c>
      <c r="B32" s="117" t="s">
        <v>385</v>
      </c>
      <c r="C32" s="120" t="s">
        <v>384</v>
      </c>
      <c r="D32" s="117" t="s">
        <v>416</v>
      </c>
      <c r="E32" s="123" t="s">
        <v>443</v>
      </c>
    </row>
    <row r="33" spans="1:5" ht="32.049999999999997" customHeight="1" x14ac:dyDescent="0.55000000000000004">
      <c r="A33" s="124" t="s">
        <v>444</v>
      </c>
      <c r="B33" s="111" t="s">
        <v>371</v>
      </c>
      <c r="C33" s="120" t="s">
        <v>384</v>
      </c>
      <c r="D33" s="111" t="s">
        <v>406</v>
      </c>
      <c r="E33" s="125" t="s">
        <v>445</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Delivery Board</vt:lpstr>
      <vt:lpstr>Architecture</vt:lpstr>
      <vt:lpstr>Epic Summary</vt:lpstr>
      <vt:lpstr>Risks &amp;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Richard Usang</cp:lastModifiedBy>
  <dcterms:created xsi:type="dcterms:W3CDTF">2026-08-03T22:52:33Z</dcterms:created>
  <dcterms:modified xsi:type="dcterms:W3CDTF">2026-08-04T22:17:31Z</dcterms:modified>
</cp:coreProperties>
</file>