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9051C695-8FA4-4E3C-A9C7-6C5453967C2E}" xr6:coauthVersionLast="47" xr6:coauthVersionMax="47" xr10:uidLastSave="{00000000-0000-0000-0000-000000000000}"/>
  <bookViews>
    <workbookView xWindow="14895" yWindow="-16320" windowWidth="29040" windowHeight="15720"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0" i="1" l="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2" i="1"/>
  <c r="R33" i="1" s="1"/>
  <c r="R34" i="1" s="1"/>
  <c r="R35" i="1" s="1"/>
  <c r="R36" i="1" s="1"/>
  <c r="R37" i="1" s="1"/>
  <c r="R31" i="1"/>
  <c r="R27" i="1"/>
  <c r="R28" i="1" s="1"/>
  <c r="R29" i="1" s="1"/>
  <c r="R30" i="1" s="1"/>
  <c r="R22" i="1"/>
  <c r="R23" i="1" s="1"/>
  <c r="R24" i="1" s="1"/>
  <c r="R25" i="1" s="1"/>
  <c r="R26" i="1" s="1"/>
  <c r="R18" i="1"/>
  <c r="R19" i="1" s="1"/>
  <c r="R20" i="1" s="1"/>
  <c r="R21" i="1" s="1"/>
  <c r="R17" i="1"/>
  <c r="R14" i="1"/>
  <c r="R15" i="1" s="1"/>
  <c r="R16" i="1" s="1"/>
  <c r="R9" i="1"/>
  <c r="R10" i="1" s="1"/>
  <c r="R11" i="1" s="1"/>
  <c r="R12" i="1" s="1"/>
  <c r="R13" i="1" s="1"/>
  <c r="R5" i="1"/>
  <c r="R6" i="1" l="1"/>
  <c r="R7" i="1" l="1"/>
  <c r="R8" i="1" s="1"/>
  <c r="C14" i="3"/>
  <c r="D12" i="3"/>
  <c r="D13" i="3"/>
  <c r="C9" i="3"/>
  <c r="D4" i="3"/>
  <c r="C12" i="3"/>
  <c r="E12" i="3"/>
  <c r="E10" i="3"/>
  <c r="C7" i="3"/>
  <c r="D11" i="3"/>
  <c r="E8" i="3"/>
  <c r="D5" i="3"/>
  <c r="E9" i="3"/>
  <c r="D6" i="3"/>
  <c r="D9" i="3"/>
  <c r="E5" i="3"/>
  <c r="C8" i="3"/>
  <c r="C11" i="3"/>
  <c r="E13" i="3"/>
  <c r="D10" i="3"/>
  <c r="C4" i="3"/>
  <c r="E6" i="3"/>
  <c r="D8" i="3"/>
  <c r="C5" i="3"/>
  <c r="E7" i="3"/>
  <c r="E14" i="3"/>
  <c r="D7" i="3"/>
  <c r="C6" i="3"/>
  <c r="C13" i="3"/>
  <c r="E4" i="3"/>
  <c r="C10" i="3"/>
  <c r="E11" i="3"/>
  <c r="D14" i="3"/>
  <c r="B6" i="3" l="1"/>
  <c r="F6" i="3" s="1"/>
  <c r="B9" i="3"/>
  <c r="F9" i="3" s="1"/>
  <c r="B11" i="3"/>
  <c r="F11" i="3" s="1"/>
  <c r="B5" i="3"/>
  <c r="F5" i="3" s="1"/>
  <c r="B10" i="3"/>
  <c r="F10" i="3" s="1"/>
  <c r="E16" i="3"/>
  <c r="B12" i="3"/>
  <c r="F12" i="3" s="1"/>
  <c r="B13" i="3"/>
  <c r="F13" i="3" s="1"/>
  <c r="C16" i="3"/>
  <c r="B4" i="3"/>
  <c r="D16" i="3"/>
  <c r="B8" i="3"/>
  <c r="F8" i="3" s="1"/>
  <c r="B7" i="3"/>
  <c r="F7" i="3" s="1"/>
  <c r="B14" i="3"/>
  <c r="F14" i="3" s="1"/>
  <c r="F4" i="3" l="1"/>
  <c r="B16" i="3"/>
  <c r="B18" i="3" l="1"/>
  <c r="F16" i="3"/>
</calcChain>
</file>

<file path=xl/sharedStrings.xml><?xml version="1.0" encoding="utf-8"?>
<sst xmlns="http://schemas.openxmlformats.org/spreadsheetml/2006/main" count="1653" uniqueCount="822">
  <si>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</si>
  <si>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</si>
  <si>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</si>
  <si>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</si>
  <si>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</si>
  <si>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</si>
  <si>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</si>
  <si>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</si>
  <si>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</si>
  <si>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</si>
  <si>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</si>
  <si>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</si>
  <si>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</si>
  <si>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</si>
  <si>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</si>
  <si>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</si>
  <si>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</si>
  <si>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</si>
  <si>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</si>
  <si>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</si>
  <si>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</si>
  <si>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</si>
  <si>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</si>
  <si>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</si>
  <si>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</si>
  <si>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</si>
  <si>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</si>
  <si>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</si>
  <si>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</si>
  <si>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</si>
  <si>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</si>
  <si>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</si>
  <si>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</si>
  <si>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</si>
  <si>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</si>
  <si>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</si>
  <si>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</si>
  <si>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</si>
  <si>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</si>
  <si>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</si>
  <si>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</si>
  <si>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</si>
  <si>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</si>
  <si>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</si>
  <si>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</si>
  <si>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</si>
  <si>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</si>
  <si>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</si>
  <si>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</si>
  <si>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</si>
  <si>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</si>
  <si>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</si>
  <si>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</si>
  <si>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</si>
  <si>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</si>
  <si>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</si>
  <si>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</si>
  <si>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</si>
  <si>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</si>
  <si>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</si>
  <si>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</si>
  <si>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</si>
  <si>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</si>
  <si>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</si>
  <si>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</si>
  <si>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</si>
  <si>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</si>
  <si>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</si>
  <si>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</si>
  <si>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</si>
  <si>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</si>
  <si>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</si>
  <si>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</si>
  <si>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</si>
  <si>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</si>
  <si>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</si>
  <si>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</si>
  <si>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</si>
  <si>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</si>
  <si>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</si>
  <si>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</si>
  <si>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</si>
  <si>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</si>
  <si>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</si>
  <si>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</si>
  <si>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</si>
  <si>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</si>
  <si>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</si>
  <si>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</si>
  <si>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</si>
  <si>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</si>
  <si>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</si>
  <si>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</si>
  <si>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</si>
  <si>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</si>
  <si>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</si>
  <si>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</si>
  <si>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</si>
  <si>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</si>
  <si>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</si>
  <si>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</si>
  <si>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</si>
  <si>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</si>
  <si>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</si>
  <si>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</si>
  <si>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</si>
  <si>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</si>
  <si>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</si>
  <si>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</si>
  <si>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</si>
  <si>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</si>
  <si>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</si>
  <si>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</si>
  <si>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</si>
  <si>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</si>
  <si>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</si>
  <si>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</si>
  <si>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</si>
  <si>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</si>
  <si>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</si>
  <si>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</si>
  <si>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</si>
  <si>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</si>
  <si>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</si>
  <si>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</si>
  <si>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</si>
  <si>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</si>
  <si>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</si>
  <si>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</si>
  <si>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</si>
  <si>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</si>
  <si>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</si>
  <si>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</si>
  <si>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</si>
  <si>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</si>
  <si>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</si>
  <si>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</si>
  <si>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</si>
  <si>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</si>
  <si>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</si>
  <si>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</si>
  <si>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</si>
  <si>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</si>
  <si>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</si>
  <si>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</si>
  <si>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</si>
  <si>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</si>
  <si>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</si>
  <si>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</si>
  <si>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</si>
  <si>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</si>
  <si>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</si>
  <si>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</si>
  <si>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</si>
  <si>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</si>
  <si>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</si>
  <si>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</si>
  <si>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</si>
  <si>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</si>
  <si>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</si>
  <si>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</si>
  <si>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</si>
  <si>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</si>
  <si>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</si>
  <si>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</si>
  <si>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</si>
  <si>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</si>
  <si>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</si>
  <si>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</si>
  <si>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</si>
  <si>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</si>
  <si>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</si>
  <si>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</si>
  <si>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</si>
  <si>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</si>
  <si>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</si>
  <si>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</si>
  <si>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</si>
  <si>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</si>
  <si>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</si>
  <si>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</si>
  <si>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</si>
  <si>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</si>
  <si>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</si>
  <si>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</si>
  <si>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</si>
  <si>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</si>
  <si>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</si>
  <si>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</si>
  <si>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</si>
  <si>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</si>
  <si>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</si>
  <si>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</si>
  <si>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</si>
  <si>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</si>
  <si>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</si>
  <si>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</si>
  <si>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</si>
  <si>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</si>
  <si>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</si>
  <si>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</si>
  <si>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</si>
  <si>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</si>
  <si>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</si>
  <si>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</si>
  <si>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</si>
  <si>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</si>
  <si>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</si>
  <si>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</si>
  <si>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</si>
  <si>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</si>
  <si>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</si>
  <si>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</si>
  <si>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</si>
  <si>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</si>
  <si>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</si>
  <si>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</si>
  <si>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</si>
  <si>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</si>
  <si>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</si>
  <si>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</si>
  <si>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</si>
  <si>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</si>
  <si>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</si>
  <si>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</si>
  <si>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</si>
  <si>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</si>
  <si>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</si>
  <si>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</si>
  <si>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</si>
  <si>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</si>
  <si>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</si>
  <si>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</si>
  <si>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</si>
  <si>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</si>
  <si>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</si>
  <si>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</si>
  <si>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</si>
  <si>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</si>
  <si>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</si>
  <si>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</si>
  <si>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</si>
  <si>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</si>
  <si>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</si>
  <si>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</si>
  <si>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</si>
  <si>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</si>
  <si>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</si>
  <si>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</si>
  <si>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</si>
  <si>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</si>
  <si>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</si>
  <si>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</si>
  <si>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</si>
  <si>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</si>
  <si>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</si>
  <si>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</si>
  <si>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</si>
  <si>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</si>
  <si>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</si>
  <si>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</si>
  <si>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</si>
  <si>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</si>
  <si>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</si>
  <si>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</si>
  <si>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</si>
  <si>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</si>
  <si>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</si>
  <si>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</si>
  <si>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</si>
  <si>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</si>
  <si>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</si>
  <si>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</si>
  <si>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</si>
  <si>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</si>
  <si>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</si>
  <si>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</si>
  <si>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</si>
  <si>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</si>
  <si>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</si>
  <si>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</si>
  <si>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</si>
  <si>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</si>
  <si>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</si>
  <si>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</si>
  <si>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</si>
  <si>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</si>
  <si>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</si>
  <si>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</si>
  <si>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</si>
  <si>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</si>
  <si>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</si>
  <si>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</si>
  <si>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</si>
  <si>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</si>
  <si>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</si>
  <si>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</si>
  <si>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</si>
  <si>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</si>
  <si>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</si>
  <si>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</si>
  <si>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</si>
  <si>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</si>
  <si>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</si>
  <si>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</si>
  <si>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</si>
  <si>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</si>
  <si>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</si>
  <si>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</si>
  <si>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</si>
  <si>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</si>
  <si>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</si>
  <si>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</si>
  <si>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</si>
  <si>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</si>
  <si>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</si>
  <si>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</si>
  <si>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</si>
  <si>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</si>
  <si>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</si>
  <si>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</si>
  <si>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</si>
  <si>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</si>
  <si>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</si>
  <si>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</si>
  <si>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</si>
  <si>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</si>
  <si>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</si>
  <si>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</si>
  <si>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</si>
  <si>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</si>
  <si>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</si>
  <si>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</si>
  <si>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</si>
  <si>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</si>
  <si>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</si>
  <si>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</si>
  <si>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</si>
  <si>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</si>
  <si>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</si>
  <si>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</si>
  <si>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</si>
  <si>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</si>
  <si>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</si>
  <si>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</si>
  <si>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</si>
  <si>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</si>
  <si>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</si>
  <si>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</si>
  <si>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</si>
  <si>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</si>
  <si>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</si>
  <si>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</si>
  <si>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</si>
  <si>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</si>
  <si>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</si>
  <si>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</si>
  <si>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</si>
  <si>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</si>
  <si>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</si>
  <si>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</si>
  <si>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</si>
  <si>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</si>
  <si>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</si>
  <si>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</si>
  <si>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</si>
  <si>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</si>
  <si>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</si>
  <si>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</si>
  <si>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</si>
  <si>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</si>
  <si>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</si>
  <si>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</si>
  <si>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</si>
  <si>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</si>
  <si>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</si>
  <si>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</si>
  <si>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</si>
  <si>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</si>
  <si>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</si>
  <si>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</si>
  <si>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</si>
  <si>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</si>
  <si>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</si>
  <si>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</si>
  <si>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</si>
  <si>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</si>
  <si>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</si>
  <si>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</si>
  <si>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</si>
  <si>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</si>
  <si>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</si>
  <si>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</si>
  <si>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</si>
  <si>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</si>
  <si>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</si>
  <si>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</si>
  <si>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</si>
  <si>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</si>
  <si>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</si>
  <si>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</si>
  <si>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</si>
  <si>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</si>
  <si>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</si>
  <si>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</si>
  <si>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</si>
  <si>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</si>
  <si>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</si>
  <si>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</si>
  <si>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</si>
  <si>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</si>
  <si>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</si>
  <si>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</si>
  <si>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</si>
  <si>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</si>
  <si>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</si>
  <si>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</si>
  <si>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</si>
  <si>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</si>
  <si>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</si>
  <si>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</si>
  <si>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</si>
  <si>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</si>
  <si>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</si>
  <si>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</si>
  <si>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</si>
  <si>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</si>
  <si>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</si>
  <si>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</si>
  <si>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</si>
  <si>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</si>
  <si>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</si>
  <si>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</si>
  <si>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</si>
  <si>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</si>
  <si>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</si>
  <si>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</si>
  <si>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</si>
  <si>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</si>
  <si>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</si>
  <si>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</si>
  <si>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</si>
  <si>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</si>
  <si>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</si>
  <si>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</si>
  <si>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</si>
  <si>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</si>
  <si>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</si>
  <si>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</si>
  <si>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</si>
  <si>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</si>
  <si>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</si>
  <si>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</si>
  <si>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</si>
  <si>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</si>
  <si>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</si>
  <si>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</si>
  <si>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</si>
  <si>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</si>
  <si>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</si>
  <si>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</si>
  <si>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</si>
  <si>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</si>
  <si>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</si>
  <si>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</si>
  <si>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</si>
  <si>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</si>
  <si>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</si>
  <si>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</si>
  <si>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</si>
  <si>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</si>
  <si>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</si>
  <si>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</si>
  <si>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</si>
  <si>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</si>
  <si>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</si>
  <si>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</si>
  <si>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</si>
  <si>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</si>
  <si>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</si>
  <si>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</si>
  <si>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</si>
  <si>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</si>
  <si>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</si>
  <si>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</si>
  <si>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</si>
  <si>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</si>
  <si>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</si>
  <si>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</si>
  <si>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</si>
  <si>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</si>
  <si>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</si>
  <si>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</si>
  <si>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</si>
  <si>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</si>
  <si>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</si>
  <si>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</si>
  <si>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</si>
  <si>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</si>
  <si>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</si>
  <si>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</si>
  <si>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</si>
  <si>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</si>
  <si>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</si>
  <si>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</si>
  <si>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</si>
  <si>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</si>
  <si>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</si>
  <si>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</si>
  <si>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</si>
  <si>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</si>
  <si>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</si>
  <si>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</si>
  <si>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</si>
  <si>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</si>
  <si>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</si>
  <si>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</si>
  <si>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</si>
  <si>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</si>
  <si>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</si>
  <si>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</si>
  <si>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</si>
  <si>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</si>
  <si>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</si>
  <si>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</si>
  <si>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</si>
  <si>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</si>
  <si>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</si>
  <si>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</si>
  <si>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</si>
  <si>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</si>
  <si>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</si>
  <si>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</si>
  <si>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</si>
  <si>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</si>
  <si>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</si>
  <si>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</si>
  <si>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</si>
  <si>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</si>
  <si>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</si>
  <si>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</si>
  <si>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</si>
  <si>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</si>
  <si>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</si>
  <si>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</si>
  <si>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</si>
  <si>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</si>
  <si>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</si>
  <si>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</si>
  <si>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</si>
  <si>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</si>
  <si>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</si>
  <si>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</si>
  <si>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</si>
  <si>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</si>
  <si>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</si>
  <si>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</si>
  <si>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</si>
  <si>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</si>
  <si>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</si>
  <si>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</si>
  <si>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</si>
  <si>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</si>
  <si>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</si>
  <si>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</si>
  <si>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</si>
  <si>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</si>
  <si>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</si>
  <si>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</si>
  <si>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</si>
  <si>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</si>
  <si>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</si>
  <si>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</si>
  <si>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</si>
  <si>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</si>
  <si>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</si>
  <si>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</si>
  <si>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</si>
  <si>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</si>
  <si>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</si>
  <si>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</si>
  <si>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</si>
  <si>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</si>
  <si>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</si>
  <si>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</si>
  <si>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</si>
  <si>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</si>
  <si>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</si>
  <si>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</si>
  <si>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</si>
  <si>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</si>
  <si>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</si>
  <si>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</si>
  <si>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</si>
  <si>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</si>
  <si>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</si>
  <si>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</si>
  <si>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</si>
  <si>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</si>
  <si>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</si>
  <si>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</si>
  <si>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</si>
  <si>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</si>
  <si>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</si>
  <si>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</si>
  <si>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</si>
  <si>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</si>
  <si>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</si>
  <si>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</si>
  <si>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</si>
  <si>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</si>
  <si>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</si>
  <si>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</si>
  <si>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</si>
  <si>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</si>
  <si>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</si>
  <si>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</si>
  <si>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</si>
  <si>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</si>
  <si>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</si>
  <si>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</si>
  <si>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</si>
  <si>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</si>
  <si>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</si>
  <si>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</si>
  <si>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</si>
  <si>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</si>
  <si>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</si>
  <si>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</si>
  <si>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</si>
  <si>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</si>
  <si>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</si>
  <si>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</si>
  <si>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</si>
  <si>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</si>
  <si>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</si>
  <si>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</si>
  <si>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</si>
  <si>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</si>
  <si>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</si>
  <si>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</si>
  <si>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</si>
  <si>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</si>
  <si>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</si>
  <si>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</si>
  <si>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</si>
  <si>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</si>
  <si>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</si>
  <si>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</si>
  <si>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</si>
  <si>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</si>
  <si>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</si>
  <si>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</si>
  <si>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</si>
  <si>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</si>
  <si>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</si>
  <si>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</si>
  <si>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</si>
  <si>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</si>
  <si>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</si>
  <si>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</si>
  <si>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</si>
  <si>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</si>
  <si>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</si>
  <si>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</si>
  <si>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</si>
  <si>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</si>
  <si>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</si>
  <si>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</si>
  <si>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</si>
  <si>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</si>
  <si>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</si>
  <si>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</si>
  <si>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</si>
  <si>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</si>
  <si>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</si>
  <si>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</si>
  <si>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</si>
  <si>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</si>
  <si>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</si>
  <si>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</si>
  <si>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</si>
  <si>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</si>
  <si>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</si>
  <si>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</si>
  <si>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</si>
  <si>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</si>
  <si>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</si>
  <si>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</si>
  <si>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</si>
  <si>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</si>
  <si>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</si>
  <si>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</si>
  <si>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</si>
  <si>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</si>
  <si>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</si>
  <si>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</si>
  <si>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</si>
  <si>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</si>
  <si>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</si>
  <si>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</si>
  <si>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</si>
  <si>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</si>
  <si>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</si>
  <si>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</si>
  <si>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</si>
  <si>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</si>
  <si>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</si>
  <si>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</si>
  <si>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</si>
  <si>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</si>
  <si>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</si>
  <si>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</si>
  <si>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</si>
  <si>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</si>
  <si>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</si>
  <si>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</si>
  <si>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</si>
  <si>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</si>
  <si>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</si>
  <si>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</si>
  <si>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</si>
  <si>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</si>
  <si>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</si>
  <si>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</si>
  <si>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</si>
  <si>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</si>
  <si>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</si>
  <si>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</si>
  <si>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</si>
  <si>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</si>
  <si>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</si>
  <si>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</si>
  <si>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</si>
  <si>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</si>
  <si>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</si>
  <si>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</si>
  <si>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</si>
  <si>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</si>
  <si>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</si>
  <si>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pre-registration</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</si>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</sst>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6"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4">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12"/>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7" t="s">
        <v>0</v>
      </c>
      <c r="B1" s="275"/>
      <c r="C1" s="275"/>
      <c r="D1" s="275"/>
      <c r="E1" s="275"/>
      <c r="F1" s="275"/>
      <c r="G1" s="275"/>
      <c r="H1" s="275"/>
      <c r="I1" s="275"/>
      <c r="J1" s="275"/>
      <c r="K1" s="275"/>
      <c r="L1" s="275"/>
      <c r="M1" s="275"/>
      <c r="N1" s="275"/>
      <c r="O1" s="275"/>
      <c r="P1" s="275"/>
      <c r="Q1" s="276"/>
    </row>
    <row r="2" spans="1:18" ht="18" customHeight="1" x14ac:dyDescent="0.55000000000000004">
      <c r="A2" s="274" t="s">
        <v>1</v>
      </c>
      <c r="B2" s="275"/>
      <c r="C2" s="275"/>
      <c r="D2" s="275"/>
      <c r="E2" s="275"/>
      <c r="F2" s="275"/>
      <c r="G2" s="275"/>
      <c r="H2" s="275"/>
      <c r="I2" s="275"/>
      <c r="J2" s="275"/>
      <c r="K2" s="275"/>
      <c r="L2" s="275"/>
      <c r="M2" s="275"/>
      <c r="N2" s="275"/>
      <c r="O2" s="275"/>
      <c r="P2" s="275"/>
      <c r="Q2" s="276"/>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x14ac:dyDescent="0.55000000000000004">
      <c r="A154" t="s">
        <v>62</v>
      </c>
      <c r="B154" t="s">
        <v>340</v>
      </c>
      <c r="C154" t="s">
        <v>138</v>
      </c>
      <c r="D154" t="s">
        <v>33</v>
      </c>
      <c r="E154" s="210">
        <v>46243</v>
      </c>
      <c r="F154" s="210">
        <v>46243</v>
      </c>
      <c r="G154" s="215" t="s">
        <v>341</v>
      </c>
      <c r="I154" t="s">
        <v>342</v>
      </c>
      <c r="R154" t="str">
        <f t="shared" si="2"/>
        <v>E5 ML Tennis</v>
      </c>
    </row>
    <row r="155" spans="1:18" ht="28.8" x14ac:dyDescent="0.55000000000000004">
      <c r="A155" t="s">
        <v>62</v>
      </c>
      <c r="B155" t="s">
        <v>343</v>
      </c>
      <c r="C155" s="273" t="s">
        <v>22</v>
      </c>
      <c r="D155" t="s">
        <v>33</v>
      </c>
      <c r="E155" s="210">
        <v>46243</v>
      </c>
      <c r="F155" s="210">
        <v>46243</v>
      </c>
      <c r="G155" s="215" t="s">
        <v>344</v>
      </c>
      <c r="I155" t="s">
        <v>342</v>
      </c>
      <c r="R155" t="str">
        <f t="shared" si="2"/>
        <v>E5 ML Tennis</v>
      </c>
    </row>
    <row r="156" spans="1:18" ht="57.6" x14ac:dyDescent="0.55000000000000004">
      <c r="A156" t="s">
        <v>62</v>
      </c>
      <c r="B156" t="s">
        <v>345</v>
      </c>
      <c r="C156" s="273" t="s">
        <v>22</v>
      </c>
      <c r="D156" t="s">
        <v>45</v>
      </c>
      <c r="E156" s="210">
        <v>46243</v>
      </c>
      <c r="F156" s="210">
        <v>46243</v>
      </c>
      <c r="G156" s="215" t="s">
        <v>346</v>
      </c>
      <c r="I156" t="s">
        <v>342</v>
      </c>
      <c r="R156" t="str">
        <f t="shared" si="2"/>
        <v>E5 ML Tennis</v>
      </c>
    </row>
    <row r="157" spans="1:18" ht="43.2" x14ac:dyDescent="0.55000000000000004">
      <c r="A157" t="s">
        <v>62</v>
      </c>
      <c r="B157" t="s">
        <v>347</v>
      </c>
      <c r="C157" s="273" t="s">
        <v>22</v>
      </c>
      <c r="D157" t="s">
        <v>33</v>
      </c>
      <c r="E157" s="210">
        <v>46243</v>
      </c>
      <c r="F157" s="210">
        <v>46243</v>
      </c>
      <c r="G157" s="215" t="s">
        <v>348</v>
      </c>
      <c r="I157" t="s">
        <v>342</v>
      </c>
      <c r="R157" t="str">
        <f t="shared" si="2"/>
        <v>E5 ML Tennis</v>
      </c>
    </row>
    <row r="158" spans="1:18" ht="43.2" x14ac:dyDescent="0.55000000000000004">
      <c r="A158" t="s">
        <v>130</v>
      </c>
      <c r="B158" t="s">
        <v>349</v>
      </c>
      <c r="C158" s="273" t="s">
        <v>22</v>
      </c>
      <c r="D158" t="s">
        <v>33</v>
      </c>
      <c r="E158" s="210">
        <v>46243</v>
      </c>
      <c r="F158" s="210">
        <v>46243</v>
      </c>
      <c r="G158" s="215" t="s">
        <v>350</v>
      </c>
      <c r="I158" t="s">
        <v>342</v>
      </c>
      <c r="R158" t="str">
        <f t="shared" si="2"/>
        <v>E9 Data Ops</v>
      </c>
    </row>
    <row r="159" spans="1:18" ht="28.8" x14ac:dyDescent="0.55000000000000004">
      <c r="A159" t="s">
        <v>99</v>
      </c>
      <c r="B159" t="s">
        <v>351</v>
      </c>
      <c r="C159" s="273" t="s">
        <v>22</v>
      </c>
      <c r="D159" t="s">
        <v>45</v>
      </c>
      <c r="E159" s="210">
        <v>46243</v>
      </c>
      <c r="F159" s="210">
        <v>46243</v>
      </c>
      <c r="G159" s="215" t="s">
        <v>352</v>
      </c>
      <c r="I159" t="s">
        <v>342</v>
      </c>
      <c r="R159" t="str">
        <f t="shared" si="2"/>
        <v>E8 Model Quality</v>
      </c>
    </row>
    <row r="160" spans="1:18" ht="28.8" x14ac:dyDescent="0.55000000000000004">
      <c r="A160" t="s">
        <v>162</v>
      </c>
      <c r="B160" t="s">
        <v>353</v>
      </c>
      <c r="C160" s="273" t="s">
        <v>22</v>
      </c>
      <c r="D160" t="s">
        <v>75</v>
      </c>
      <c r="E160" s="210">
        <v>46243</v>
      </c>
      <c r="F160" s="210">
        <v>46243</v>
      </c>
      <c r="G160" s="215" t="s">
        <v>354</v>
      </c>
      <c r="I160" t="s">
        <v>342</v>
      </c>
      <c r="R160" t="str">
        <f t="shared" si="2"/>
        <v>E10 Deploy</v>
      </c>
    </row>
    <row r="161" spans="1:18" ht="43.2" x14ac:dyDescent="0.55000000000000004">
      <c r="A161" t="s">
        <v>99</v>
      </c>
      <c r="B161" t="s">
        <v>355</v>
      </c>
      <c r="C161" s="273" t="s">
        <v>22</v>
      </c>
      <c r="D161" t="s">
        <v>45</v>
      </c>
      <c r="E161" s="210">
        <v>46243</v>
      </c>
      <c r="F161" s="210">
        <v>46243</v>
      </c>
      <c r="G161" s="215" t="s">
        <v>356</v>
      </c>
      <c r="I161" t="s">
        <v>342</v>
      </c>
      <c r="R161" t="str">
        <f t="shared" si="2"/>
        <v>E8 Model Quality</v>
      </c>
    </row>
    <row r="162" spans="1:18" ht="43.2" x14ac:dyDescent="0.55000000000000004">
      <c r="A162" t="s">
        <v>99</v>
      </c>
      <c r="B162" t="s">
        <v>357</v>
      </c>
      <c r="C162" s="273" t="s">
        <v>22</v>
      </c>
      <c r="D162" t="s">
        <v>45</v>
      </c>
      <c r="E162" s="210">
        <v>46243</v>
      </c>
      <c r="F162" s="210">
        <v>46243</v>
      </c>
      <c r="G162" s="215" t="s">
        <v>358</v>
      </c>
      <c r="I162" t="s">
        <v>342</v>
      </c>
      <c r="R162" t="str">
        <f t="shared" si="2"/>
        <v>E8 Model Quality</v>
      </c>
    </row>
    <row r="163" spans="1:18" ht="43.2" x14ac:dyDescent="0.55000000000000004">
      <c r="A163" t="s">
        <v>99</v>
      </c>
      <c r="B163" t="s">
        <v>359</v>
      </c>
      <c r="C163" s="273" t="s">
        <v>22</v>
      </c>
      <c r="D163" t="s">
        <v>45</v>
      </c>
      <c r="E163" s="210">
        <v>46243</v>
      </c>
      <c r="F163" s="210">
        <v>46243</v>
      </c>
      <c r="G163" s="215" t="s">
        <v>360</v>
      </c>
      <c r="I163" t="s">
        <v>342</v>
      </c>
      <c r="R163" t="str">
        <f t="shared" si="2"/>
        <v>E8 Model Quality</v>
      </c>
    </row>
    <row r="164" spans="1:18" ht="28.8"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x14ac:dyDescent="0.55000000000000004">
      <c r="A165" t="s">
        <v>130</v>
      </c>
      <c r="B165" t="s">
        <v>364</v>
      </c>
      <c r="C165" t="s">
        <v>128</v>
      </c>
      <c r="D165" t="s">
        <v>33</v>
      </c>
      <c r="E165" s="210">
        <v>46243</v>
      </c>
      <c r="F165" s="210">
        <v>46243</v>
      </c>
      <c r="G165" s="215" t="s">
        <v>365</v>
      </c>
      <c r="I165" t="s">
        <v>342</v>
      </c>
      <c r="R165" t="str">
        <f t="shared" si="2"/>
        <v>E9 Data Ops</v>
      </c>
    </row>
    <row r="166" spans="1:18" ht="28.8" x14ac:dyDescent="0.55000000000000004">
      <c r="A166" t="s">
        <v>130</v>
      </c>
      <c r="B166" t="s">
        <v>366</v>
      </c>
      <c r="C166" t="s">
        <v>128</v>
      </c>
      <c r="D166" t="s">
        <v>33</v>
      </c>
      <c r="E166" s="210">
        <v>46243</v>
      </c>
      <c r="F166" s="210">
        <v>46243</v>
      </c>
      <c r="G166" s="215" t="s">
        <v>367</v>
      </c>
      <c r="I166" t="s">
        <v>342</v>
      </c>
      <c r="R166" t="str">
        <f t="shared" si="2"/>
        <v>E9 Data Ops</v>
      </c>
    </row>
    <row r="167" spans="1:18" ht="28.8" x14ac:dyDescent="0.55000000000000004">
      <c r="A167" t="s">
        <v>130</v>
      </c>
      <c r="B167" t="s">
        <v>368</v>
      </c>
      <c r="C167" t="s">
        <v>128</v>
      </c>
      <c r="D167" t="s">
        <v>33</v>
      </c>
      <c r="E167" s="210">
        <v>46243</v>
      </c>
      <c r="G167" s="215" t="s">
        <v>369</v>
      </c>
      <c r="R167" t="str">
        <f t="shared" si="2"/>
        <v>E9 Data Ops</v>
      </c>
    </row>
    <row r="168" spans="1:18" ht="28.8" x14ac:dyDescent="0.55000000000000004">
      <c r="A168" t="s">
        <v>99</v>
      </c>
      <c r="B168" t="s">
        <v>370</v>
      </c>
      <c r="C168" t="s">
        <v>128</v>
      </c>
      <c r="D168" t="s">
        <v>45</v>
      </c>
      <c r="E168" s="210">
        <v>46243</v>
      </c>
      <c r="G168" s="215" t="s">
        <v>371</v>
      </c>
      <c r="R168" t="str">
        <f t="shared" si="2"/>
        <v>E8 Model Quality</v>
      </c>
    </row>
    <row r="169" spans="1:18" ht="43.2" x14ac:dyDescent="0.55000000000000004">
      <c r="A169" t="s">
        <v>99</v>
      </c>
      <c r="B169" t="s">
        <v>372</v>
      </c>
      <c r="C169" t="s">
        <v>128</v>
      </c>
      <c r="D169" t="s">
        <v>45</v>
      </c>
      <c r="E169" s="210">
        <v>46243</v>
      </c>
      <c r="G169" s="215" t="s">
        <v>373</v>
      </c>
      <c r="R169" t="str">
        <f t="shared" si="2"/>
        <v>E8 Model Quality</v>
      </c>
    </row>
    <row r="170" spans="1:18" ht="28.8" x14ac:dyDescent="0.55000000000000004">
      <c r="A170" t="s">
        <v>99</v>
      </c>
      <c r="B170" t="s">
        <v>374</v>
      </c>
      <c r="C170" t="s">
        <v>128</v>
      </c>
      <c r="D170" t="s">
        <v>45</v>
      </c>
      <c r="E170" s="210">
        <v>46243</v>
      </c>
      <c r="G170" s="215" t="s">
        <v>375</v>
      </c>
      <c r="R170" t="str">
        <f t="shared" si="2"/>
        <v>E8 Model Quality</v>
      </c>
    </row>
    <row r="171" spans="1:18" ht="28.8" x14ac:dyDescent="0.55000000000000004">
      <c r="A171" t="s">
        <v>99</v>
      </c>
      <c r="B171" t="s">
        <v>376</v>
      </c>
      <c r="C171" t="s">
        <v>128</v>
      </c>
      <c r="D171" t="s">
        <v>45</v>
      </c>
      <c r="E171" s="210">
        <v>46243</v>
      </c>
      <c r="G171" s="215" t="s">
        <v>377</v>
      </c>
      <c r="R171" t="str">
        <f t="shared" si="2"/>
        <v>E8 Model Quality</v>
      </c>
    </row>
    <row r="172" spans="1:18" ht="28.8" x14ac:dyDescent="0.55000000000000004">
      <c r="A172" t="s">
        <v>99</v>
      </c>
      <c r="B172" t="s">
        <v>378</v>
      </c>
      <c r="C172" t="s">
        <v>128</v>
      </c>
      <c r="D172" t="s">
        <v>45</v>
      </c>
      <c r="E172" s="210">
        <v>46243</v>
      </c>
      <c r="G172" s="215" t="s">
        <v>379</v>
      </c>
      <c r="R172" t="str">
        <f t="shared" si="2"/>
        <v>E8 Model Quality</v>
      </c>
    </row>
    <row r="173" spans="1:18" ht="28.8" x14ac:dyDescent="0.55000000000000004">
      <c r="A173" t="s">
        <v>73</v>
      </c>
      <c r="B173" t="s">
        <v>380</v>
      </c>
      <c r="C173" t="s">
        <v>128</v>
      </c>
      <c r="D173" t="s">
        <v>75</v>
      </c>
      <c r="E173" s="210">
        <v>46243</v>
      </c>
      <c r="G173" s="215" t="s">
        <v>381</v>
      </c>
      <c r="R173" t="str">
        <f t="shared" si="2"/>
        <v>E6 Picks</v>
      </c>
    </row>
    <row r="174" spans="1:18" ht="57.6" x14ac:dyDescent="0.55000000000000004">
      <c r="A174" t="s">
        <v>130</v>
      </c>
      <c r="B174" t="s">
        <v>382</v>
      </c>
      <c r="C174" s="273" t="s">
        <v>22</v>
      </c>
      <c r="D174" t="s">
        <v>33</v>
      </c>
      <c r="E174" s="210">
        <v>46243</v>
      </c>
      <c r="G174" s="215" t="s">
        <v>383</v>
      </c>
      <c r="R174" t="str">
        <f t="shared" si="2"/>
        <v>E9 Data Ops</v>
      </c>
    </row>
    <row r="175" spans="1:18" ht="28.8"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x14ac:dyDescent="0.55000000000000004">
      <c r="A177" t="s">
        <v>191</v>
      </c>
      <c r="B177" t="s">
        <v>388</v>
      </c>
      <c r="C177" t="s">
        <v>128</v>
      </c>
      <c r="D177" t="s">
        <v>362</v>
      </c>
      <c r="E177" s="210">
        <v>46243</v>
      </c>
      <c r="G177" s="215" t="s">
        <v>389</v>
      </c>
      <c r="R177" t="str">
        <f t="shared" si="2"/>
        <v>E11 Ops Resilience</v>
      </c>
    </row>
    <row r="178" spans="1:18" ht="28.8"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10"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x14ac:dyDescent="0.55000000000000004">
      <c r="A208" t="s">
        <v>73</v>
      </c>
      <c r="B208" t="s">
        <v>451</v>
      </c>
      <c r="C208" s="273" t="s">
        <v>22</v>
      </c>
      <c r="D208" t="s">
        <v>75</v>
      </c>
      <c r="E208" s="210">
        <v>46245</v>
      </c>
      <c r="F208" s="210">
        <v>46245</v>
      </c>
      <c r="G208" s="215" t="s">
        <v>452</v>
      </c>
      <c r="J208" t="s">
        <v>400</v>
      </c>
      <c r="R208" t="str">
        <f t="shared" si="3"/>
        <v>E6 Picks</v>
      </c>
    </row>
    <row r="209" spans="1:18" ht="57.6"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x14ac:dyDescent="0.55000000000000004">
      <c r="A210" t="s">
        <v>99</v>
      </c>
      <c r="B210" t="s">
        <v>455</v>
      </c>
      <c r="C210" s="273" t="s">
        <v>22</v>
      </c>
      <c r="D210" t="s">
        <v>75</v>
      </c>
      <c r="E210" s="210">
        <v>46245</v>
      </c>
      <c r="F210" s="210">
        <v>46245</v>
      </c>
      <c r="G210" s="215" t="s">
        <v>456</v>
      </c>
      <c r="J210" t="s">
        <v>400</v>
      </c>
      <c r="R210" t="str">
        <f t="shared" si="3"/>
        <v>E8 Model Quality</v>
      </c>
    </row>
    <row r="212" spans="1:18" x14ac:dyDescent="0.55000000000000004">
      <c r="A212" s="23" t="s">
        <v>457</v>
      </c>
      <c r="B212" s="5" t="s">
        <v>22</v>
      </c>
      <c r="C212" s="15" t="s">
        <v>458</v>
      </c>
      <c r="D212" s="17" t="s">
        <v>128</v>
      </c>
      <c r="E212" s="21" t="s">
        <v>145</v>
      </c>
      <c r="F212"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3" t="s">
        <v>459</v>
      </c>
      <c r="B1" s="282"/>
      <c r="C1" s="282"/>
      <c r="D1" s="282"/>
      <c r="E1" s="282"/>
      <c r="F1" s="282"/>
      <c r="G1" s="282"/>
      <c r="H1" s="282"/>
      <c r="I1" s="282"/>
      <c r="J1" s="282"/>
      <c r="K1" s="282"/>
      <c r="L1" s="282"/>
      <c r="M1" s="282"/>
      <c r="N1" s="282"/>
      <c r="O1" s="282"/>
      <c r="P1" s="282"/>
      <c r="Q1" s="282"/>
      <c r="R1" s="282"/>
      <c r="S1" s="282"/>
    </row>
    <row r="2" spans="1:19" ht="18" customHeight="1" x14ac:dyDescent="0.55000000000000004">
      <c r="A2" s="300" t="s">
        <v>460</v>
      </c>
      <c r="B2" s="282"/>
      <c r="C2" s="282"/>
      <c r="D2" s="282"/>
      <c r="E2" s="282"/>
      <c r="F2" s="282"/>
      <c r="G2" s="282"/>
      <c r="H2" s="282"/>
      <c r="I2" s="282"/>
      <c r="J2" s="282"/>
      <c r="K2" s="282"/>
      <c r="L2" s="282"/>
      <c r="M2" s="282"/>
      <c r="N2" s="282"/>
      <c r="O2" s="282"/>
      <c r="P2" s="282"/>
      <c r="Q2" s="282"/>
      <c r="R2" s="282"/>
      <c r="S2" s="282"/>
    </row>
    <row r="4" spans="1:19" ht="20.05" customHeight="1" x14ac:dyDescent="0.55000000000000004">
      <c r="A4" s="288" t="s">
        <v>461</v>
      </c>
      <c r="B4" s="282"/>
      <c r="C4" s="282"/>
      <c r="D4" s="282"/>
      <c r="E4" s="282"/>
      <c r="F4" s="282"/>
      <c r="G4" s="282"/>
      <c r="H4" s="282"/>
      <c r="I4" s="282"/>
      <c r="J4" s="282"/>
      <c r="K4" s="282"/>
      <c r="L4" s="282"/>
      <c r="M4" s="282"/>
      <c r="N4" s="282"/>
      <c r="O4" s="282"/>
      <c r="P4" s="282"/>
      <c r="Q4" s="282"/>
      <c r="R4" s="282"/>
      <c r="S4" s="282"/>
    </row>
    <row r="5" spans="1:19" ht="52" customHeight="1" x14ac:dyDescent="0.55000000000000004">
      <c r="A5" s="35" t="s">
        <v>462</v>
      </c>
      <c r="B5" s="278" t="s">
        <v>463</v>
      </c>
      <c r="C5" s="279"/>
      <c r="D5" s="280"/>
      <c r="E5" s="283" t="s">
        <v>464</v>
      </c>
      <c r="F5" s="279"/>
      <c r="G5" s="280"/>
      <c r="H5" s="283" t="s">
        <v>465</v>
      </c>
      <c r="I5" s="279"/>
      <c r="J5" s="280"/>
      <c r="K5" s="278" t="s">
        <v>466</v>
      </c>
      <c r="L5" s="279"/>
      <c r="M5" s="280"/>
      <c r="N5" s="285" t="s">
        <v>467</v>
      </c>
      <c r="O5" s="279"/>
      <c r="P5" s="280"/>
      <c r="Q5" s="285" t="s">
        <v>468</v>
      </c>
      <c r="R5" s="279"/>
      <c r="S5" s="280"/>
    </row>
    <row r="6" spans="1:19" ht="15" customHeight="1" x14ac:dyDescent="0.55000000000000004">
      <c r="B6" s="281" t="s">
        <v>469</v>
      </c>
      <c r="C6" s="282"/>
      <c r="D6" s="282"/>
      <c r="E6" s="282"/>
      <c r="F6" s="282"/>
      <c r="G6" s="282"/>
      <c r="H6" s="282"/>
      <c r="I6" s="282"/>
      <c r="J6" s="282"/>
      <c r="K6" s="282"/>
      <c r="L6" s="282"/>
      <c r="M6" s="282"/>
      <c r="N6" s="282"/>
      <c r="O6" s="282"/>
      <c r="P6" s="282"/>
      <c r="Q6" s="282"/>
      <c r="R6" s="282"/>
      <c r="S6" s="282"/>
    </row>
    <row r="7" spans="1:19" ht="20.05" customHeight="1" x14ac:dyDescent="0.55000000000000004">
      <c r="A7" s="288" t="s">
        <v>470</v>
      </c>
      <c r="B7" s="282"/>
      <c r="C7" s="282"/>
      <c r="D7" s="282"/>
      <c r="E7" s="282"/>
      <c r="F7" s="282"/>
      <c r="G7" s="282"/>
      <c r="H7" s="282"/>
      <c r="I7" s="282"/>
      <c r="J7" s="282"/>
      <c r="K7" s="282"/>
      <c r="L7" s="282"/>
      <c r="M7" s="282"/>
      <c r="N7" s="282"/>
      <c r="O7" s="282"/>
      <c r="P7" s="282"/>
      <c r="Q7" s="282"/>
      <c r="R7" s="282"/>
      <c r="S7" s="282"/>
    </row>
    <row r="8" spans="1:19" ht="46" customHeight="1" x14ac:dyDescent="0.55000000000000004">
      <c r="A8" s="35" t="s">
        <v>471</v>
      </c>
      <c r="B8" s="291" t="s">
        <v>472</v>
      </c>
      <c r="C8" s="279"/>
      <c r="D8" s="279"/>
      <c r="E8" s="279"/>
      <c r="F8" s="279"/>
      <c r="G8" s="279"/>
      <c r="H8" s="279"/>
      <c r="I8" s="279"/>
      <c r="J8" s="280"/>
      <c r="K8" s="291" t="s">
        <v>473</v>
      </c>
      <c r="L8" s="279"/>
      <c r="M8" s="279"/>
      <c r="N8" s="279"/>
      <c r="O8" s="279"/>
      <c r="P8" s="279"/>
      <c r="Q8" s="279"/>
      <c r="R8" s="279"/>
      <c r="S8" s="280"/>
    </row>
    <row r="9" spans="1:19" ht="15" customHeight="1" x14ac:dyDescent="0.55000000000000004">
      <c r="B9" s="281" t="s">
        <v>469</v>
      </c>
      <c r="C9" s="282"/>
      <c r="D9" s="282"/>
      <c r="E9" s="282"/>
      <c r="F9" s="282"/>
      <c r="G9" s="282"/>
      <c r="H9" s="282"/>
      <c r="I9" s="282"/>
      <c r="J9" s="282"/>
      <c r="K9" s="282"/>
      <c r="L9" s="282"/>
      <c r="M9" s="282"/>
      <c r="N9" s="282"/>
      <c r="O9" s="282"/>
      <c r="P9" s="282"/>
      <c r="Q9" s="282"/>
      <c r="R9" s="282"/>
      <c r="S9" s="282"/>
    </row>
    <row r="10" spans="1:19" ht="20.05" customHeight="1" x14ac:dyDescent="0.55000000000000004">
      <c r="A10" s="288" t="s">
        <v>474</v>
      </c>
      <c r="B10" s="282"/>
      <c r="C10" s="282"/>
      <c r="D10" s="282"/>
      <c r="E10" s="282"/>
      <c r="F10" s="282"/>
      <c r="G10" s="282"/>
      <c r="H10" s="282"/>
      <c r="I10" s="282"/>
      <c r="J10" s="282"/>
      <c r="K10" s="282"/>
      <c r="L10" s="282"/>
      <c r="M10" s="282"/>
      <c r="N10" s="282"/>
      <c r="O10" s="282"/>
      <c r="P10" s="282"/>
      <c r="Q10" s="282"/>
      <c r="R10" s="282"/>
      <c r="S10" s="282"/>
    </row>
    <row r="11" spans="1:19" ht="54" customHeight="1" x14ac:dyDescent="0.55000000000000004">
      <c r="A11" s="35" t="s">
        <v>475</v>
      </c>
      <c r="B11" s="278" t="s">
        <v>476</v>
      </c>
      <c r="C11" s="279"/>
      <c r="D11" s="280"/>
      <c r="E11" s="278" t="s">
        <v>477</v>
      </c>
      <c r="F11" s="279"/>
      <c r="G11" s="280"/>
      <c r="H11" s="278" t="s">
        <v>478</v>
      </c>
      <c r="I11" s="279"/>
      <c r="J11" s="280"/>
      <c r="K11" s="283" t="s">
        <v>479</v>
      </c>
      <c r="L11" s="279"/>
      <c r="M11" s="280"/>
      <c r="N11" s="278" t="s">
        <v>480</v>
      </c>
      <c r="O11" s="279"/>
      <c r="P11" s="280"/>
      <c r="Q11" s="278" t="s">
        <v>481</v>
      </c>
      <c r="R11" s="279"/>
      <c r="S11" s="280"/>
    </row>
    <row r="12" spans="1:19" ht="15" customHeight="1" x14ac:dyDescent="0.55000000000000004">
      <c r="B12" s="281" t="s">
        <v>469</v>
      </c>
      <c r="C12" s="282"/>
      <c r="D12" s="282"/>
      <c r="E12" s="282"/>
      <c r="F12" s="282"/>
      <c r="G12" s="282"/>
      <c r="H12" s="282"/>
      <c r="I12" s="282"/>
      <c r="J12" s="282"/>
      <c r="K12" s="282"/>
      <c r="L12" s="282"/>
      <c r="M12" s="282"/>
      <c r="N12" s="282"/>
      <c r="O12" s="282"/>
      <c r="P12" s="282"/>
      <c r="Q12" s="282"/>
      <c r="R12" s="282"/>
      <c r="S12" s="282"/>
    </row>
    <row r="13" spans="1:19" ht="20.05" customHeight="1" x14ac:dyDescent="0.55000000000000004">
      <c r="A13" s="288" t="s">
        <v>482</v>
      </c>
      <c r="B13" s="282"/>
      <c r="C13" s="282"/>
      <c r="D13" s="282"/>
      <c r="E13" s="282"/>
      <c r="F13" s="282"/>
      <c r="G13" s="282"/>
      <c r="H13" s="282"/>
      <c r="I13" s="282"/>
      <c r="J13" s="282"/>
      <c r="K13" s="282"/>
      <c r="L13" s="282"/>
      <c r="M13" s="282"/>
      <c r="N13" s="282"/>
      <c r="O13" s="282"/>
      <c r="P13" s="282"/>
      <c r="Q13" s="282"/>
      <c r="R13" s="282"/>
      <c r="S13" s="282"/>
    </row>
    <row r="14" spans="1:19" ht="52" customHeight="1" x14ac:dyDescent="0.55000000000000004">
      <c r="A14" s="35" t="s">
        <v>483</v>
      </c>
      <c r="B14" s="286" t="s">
        <v>484</v>
      </c>
      <c r="C14" s="279"/>
      <c r="D14" s="279"/>
      <c r="E14" s="279"/>
      <c r="F14" s="279"/>
      <c r="G14" s="280"/>
      <c r="H14" s="286" t="s">
        <v>485</v>
      </c>
      <c r="I14" s="279"/>
      <c r="J14" s="279"/>
      <c r="K14" s="279"/>
      <c r="L14" s="279"/>
      <c r="M14" s="280"/>
      <c r="N14" s="286" t="s">
        <v>486</v>
      </c>
      <c r="O14" s="279"/>
      <c r="P14" s="280"/>
      <c r="Q14" s="283" t="s">
        <v>487</v>
      </c>
      <c r="R14" s="279"/>
      <c r="S14" s="280"/>
    </row>
    <row r="15" spans="1:19" ht="15" customHeight="1" x14ac:dyDescent="0.55000000000000004">
      <c r="B15" s="281" t="s">
        <v>488</v>
      </c>
      <c r="C15" s="282"/>
      <c r="D15" s="282"/>
      <c r="E15" s="282"/>
      <c r="F15" s="282"/>
      <c r="G15" s="282"/>
      <c r="H15" s="282"/>
      <c r="I15" s="282"/>
      <c r="J15" s="282"/>
      <c r="K15" s="282"/>
      <c r="L15" s="282"/>
      <c r="M15" s="282"/>
      <c r="N15" s="282"/>
      <c r="O15" s="282"/>
      <c r="P15" s="282"/>
      <c r="Q15" s="282"/>
      <c r="R15" s="282"/>
      <c r="S15" s="282"/>
    </row>
    <row r="16" spans="1:19" ht="20.05" customHeight="1" x14ac:dyDescent="0.55000000000000004">
      <c r="A16" s="288" t="s">
        <v>489</v>
      </c>
      <c r="B16" s="282"/>
      <c r="C16" s="282"/>
      <c r="D16" s="282"/>
      <c r="E16" s="282"/>
      <c r="F16" s="282"/>
      <c r="G16" s="282"/>
      <c r="H16" s="282"/>
      <c r="I16" s="282"/>
      <c r="J16" s="282"/>
      <c r="K16" s="282"/>
      <c r="L16" s="282"/>
      <c r="M16" s="282"/>
      <c r="N16" s="282"/>
      <c r="O16" s="282"/>
      <c r="P16" s="282"/>
      <c r="Q16" s="282"/>
      <c r="R16" s="282"/>
      <c r="S16" s="282"/>
    </row>
    <row r="17" spans="1:19" ht="54" customHeight="1" x14ac:dyDescent="0.55000000000000004">
      <c r="A17" s="35" t="s">
        <v>490</v>
      </c>
      <c r="B17" s="287" t="s">
        <v>491</v>
      </c>
      <c r="C17" s="279"/>
      <c r="D17" s="279"/>
      <c r="E17" s="279"/>
      <c r="F17" s="279"/>
      <c r="G17" s="280"/>
      <c r="H17" s="287" t="s">
        <v>492</v>
      </c>
      <c r="I17" s="279"/>
      <c r="J17" s="280"/>
      <c r="K17" s="287" t="s">
        <v>493</v>
      </c>
      <c r="L17" s="279"/>
      <c r="M17" s="280"/>
      <c r="N17" s="287" t="s">
        <v>494</v>
      </c>
      <c r="O17" s="279"/>
      <c r="P17" s="280"/>
      <c r="Q17" s="287" t="s">
        <v>495</v>
      </c>
      <c r="R17" s="279"/>
      <c r="S17" s="280"/>
    </row>
    <row r="18" spans="1:19" ht="15" customHeight="1" x14ac:dyDescent="0.55000000000000004">
      <c r="B18" s="281" t="s">
        <v>469</v>
      </c>
      <c r="C18" s="282"/>
      <c r="D18" s="282"/>
      <c r="E18" s="282"/>
      <c r="F18" s="282"/>
      <c r="G18" s="282"/>
      <c r="H18" s="282"/>
      <c r="I18" s="282"/>
      <c r="J18" s="282"/>
      <c r="K18" s="282"/>
      <c r="L18" s="282"/>
      <c r="M18" s="282"/>
      <c r="N18" s="282"/>
      <c r="O18" s="282"/>
      <c r="P18" s="282"/>
      <c r="Q18" s="282"/>
      <c r="R18" s="282"/>
      <c r="S18" s="282"/>
    </row>
    <row r="19" spans="1:19" ht="20.05" customHeight="1" x14ac:dyDescent="0.55000000000000004">
      <c r="A19" s="288" t="s">
        <v>496</v>
      </c>
      <c r="B19" s="282"/>
      <c r="C19" s="282"/>
      <c r="D19" s="282"/>
      <c r="E19" s="282"/>
      <c r="F19" s="282"/>
      <c r="G19" s="282"/>
      <c r="H19" s="282"/>
      <c r="I19" s="282"/>
      <c r="J19" s="282"/>
      <c r="K19" s="282"/>
      <c r="L19" s="282"/>
      <c r="M19" s="282"/>
      <c r="N19" s="282"/>
      <c r="O19" s="282"/>
      <c r="P19" s="282"/>
      <c r="Q19" s="282"/>
      <c r="R19" s="282"/>
      <c r="S19" s="282"/>
    </row>
    <row r="20" spans="1:19" ht="46" customHeight="1" x14ac:dyDescent="0.55000000000000004">
      <c r="A20" s="35" t="s">
        <v>497</v>
      </c>
      <c r="B20" s="289" t="s">
        <v>498</v>
      </c>
      <c r="C20" s="279"/>
      <c r="D20" s="279"/>
      <c r="E20" s="279"/>
      <c r="F20" s="279"/>
      <c r="G20" s="280"/>
      <c r="H20" s="289" t="s">
        <v>499</v>
      </c>
      <c r="I20" s="279"/>
      <c r="J20" s="279"/>
      <c r="K20" s="279"/>
      <c r="L20" s="279"/>
      <c r="M20" s="280"/>
      <c r="N20" s="289" t="s">
        <v>500</v>
      </c>
      <c r="O20" s="279"/>
      <c r="P20" s="279"/>
      <c r="Q20" s="279"/>
      <c r="R20" s="279"/>
      <c r="S20" s="280"/>
    </row>
    <row r="21" spans="1:19" ht="15" customHeight="1" x14ac:dyDescent="0.55000000000000004">
      <c r="B21" s="281" t="s">
        <v>469</v>
      </c>
      <c r="C21" s="282"/>
      <c r="D21" s="282"/>
      <c r="E21" s="282"/>
      <c r="F21" s="282"/>
      <c r="G21" s="282"/>
      <c r="H21" s="282"/>
      <c r="I21" s="282"/>
      <c r="J21" s="282"/>
      <c r="K21" s="282"/>
      <c r="L21" s="282"/>
      <c r="M21" s="282"/>
      <c r="N21" s="282"/>
      <c r="O21" s="282"/>
      <c r="P21" s="282"/>
      <c r="Q21" s="282"/>
      <c r="R21" s="282"/>
      <c r="S21" s="282"/>
    </row>
    <row r="22" spans="1:19" ht="20.05" customHeight="1" x14ac:dyDescent="0.55000000000000004">
      <c r="A22" s="288" t="s">
        <v>501</v>
      </c>
      <c r="B22" s="282"/>
      <c r="C22" s="282"/>
      <c r="D22" s="282"/>
      <c r="E22" s="282"/>
      <c r="F22" s="282"/>
      <c r="G22" s="282"/>
      <c r="H22" s="282"/>
      <c r="I22" s="282"/>
      <c r="J22" s="282"/>
      <c r="K22" s="282"/>
      <c r="L22" s="282"/>
      <c r="M22" s="282"/>
      <c r="N22" s="282"/>
      <c r="O22" s="282"/>
      <c r="P22" s="282"/>
      <c r="Q22" s="282"/>
      <c r="R22" s="282"/>
      <c r="S22" s="282"/>
    </row>
    <row r="23" spans="1:19" ht="52" customHeight="1" x14ac:dyDescent="0.55000000000000004">
      <c r="A23" s="35" t="s">
        <v>502</v>
      </c>
      <c r="B23" s="289" t="s">
        <v>503</v>
      </c>
      <c r="C23" s="279"/>
      <c r="D23" s="279"/>
      <c r="E23" s="279"/>
      <c r="F23" s="279"/>
      <c r="G23" s="280"/>
      <c r="H23" s="289" t="s">
        <v>504</v>
      </c>
      <c r="I23" s="279"/>
      <c r="J23" s="280"/>
      <c r="K23" s="289" t="s">
        <v>505</v>
      </c>
      <c r="L23" s="279"/>
      <c r="M23" s="280"/>
      <c r="N23" s="289" t="s">
        <v>506</v>
      </c>
      <c r="O23" s="279"/>
      <c r="P23" s="280"/>
      <c r="Q23" s="285" t="s">
        <v>507</v>
      </c>
      <c r="R23" s="279"/>
      <c r="S23" s="280"/>
    </row>
    <row r="26" spans="1:19" ht="20.05" customHeight="1" x14ac:dyDescent="0.55000000000000004">
      <c r="A26" s="294" t="s">
        <v>508</v>
      </c>
      <c r="B26" s="282"/>
      <c r="C26" s="282"/>
      <c r="D26" s="282"/>
      <c r="E26" s="282"/>
      <c r="F26" s="282"/>
      <c r="G26" s="282"/>
      <c r="H26" s="282"/>
      <c r="I26" s="282"/>
      <c r="J26" s="282"/>
      <c r="K26" s="282"/>
      <c r="L26" s="282"/>
      <c r="M26" s="282"/>
      <c r="N26" s="282"/>
      <c r="O26" s="282"/>
      <c r="P26" s="282"/>
      <c r="Q26" s="282"/>
      <c r="R26" s="282"/>
      <c r="S26" s="282"/>
    </row>
    <row r="27" spans="1:19" ht="52" customHeight="1" x14ac:dyDescent="0.55000000000000004">
      <c r="A27" s="35" t="s">
        <v>509</v>
      </c>
      <c r="B27" s="278" t="s">
        <v>510</v>
      </c>
      <c r="C27" s="279"/>
      <c r="D27" s="280"/>
      <c r="E27" s="278" t="s">
        <v>511</v>
      </c>
      <c r="F27" s="279"/>
      <c r="G27" s="280"/>
      <c r="H27" s="286" t="s">
        <v>512</v>
      </c>
      <c r="I27" s="279"/>
      <c r="J27" s="280"/>
      <c r="K27" s="287" t="s">
        <v>513</v>
      </c>
      <c r="L27" s="279"/>
      <c r="M27" s="280"/>
      <c r="N27" s="287" t="s">
        <v>514</v>
      </c>
      <c r="O27" s="279"/>
      <c r="P27" s="280"/>
      <c r="Q27" s="286" t="s">
        <v>515</v>
      </c>
      <c r="R27" s="279"/>
      <c r="S27" s="280"/>
    </row>
    <row r="30" spans="1:19" ht="20.05" customHeight="1" x14ac:dyDescent="0.55000000000000004">
      <c r="A30" s="288" t="s">
        <v>516</v>
      </c>
      <c r="B30" s="282"/>
      <c r="C30" s="282"/>
      <c r="D30" s="282"/>
      <c r="E30" s="282"/>
      <c r="F30" s="282"/>
      <c r="G30" s="282"/>
      <c r="H30" s="282"/>
      <c r="I30" s="282"/>
      <c r="J30" s="282"/>
      <c r="K30" s="282"/>
      <c r="L30" s="282"/>
      <c r="M30" s="282"/>
      <c r="N30" s="282"/>
      <c r="O30" s="282"/>
      <c r="P30" s="282"/>
      <c r="Q30" s="282"/>
      <c r="R30" s="282"/>
      <c r="S30" s="282"/>
    </row>
    <row r="31" spans="1:19" ht="16" customHeight="1" x14ac:dyDescent="0.55000000000000004">
      <c r="A31" s="284" t="s">
        <v>517</v>
      </c>
      <c r="B31" s="282"/>
      <c r="C31" s="282"/>
      <c r="D31" s="282"/>
      <c r="E31" s="282"/>
      <c r="F31" s="282"/>
      <c r="G31" s="282"/>
      <c r="H31" s="282"/>
      <c r="I31" s="282"/>
      <c r="J31" s="282"/>
      <c r="K31" s="282"/>
      <c r="L31" s="282"/>
      <c r="M31" s="282"/>
      <c r="N31" s="282"/>
      <c r="O31" s="282"/>
      <c r="P31" s="282"/>
      <c r="Q31" s="282"/>
      <c r="R31" s="282"/>
      <c r="S31" s="282"/>
    </row>
    <row r="32" spans="1:19" ht="16" customHeight="1" x14ac:dyDescent="0.55000000000000004">
      <c r="A32" s="284" t="s">
        <v>518</v>
      </c>
      <c r="B32" s="282"/>
      <c r="C32" s="282"/>
      <c r="D32" s="282"/>
      <c r="E32" s="282"/>
      <c r="F32" s="282"/>
      <c r="G32" s="282"/>
      <c r="H32" s="282"/>
      <c r="I32" s="282"/>
      <c r="J32" s="282"/>
      <c r="K32" s="282"/>
      <c r="L32" s="282"/>
      <c r="M32" s="282"/>
      <c r="N32" s="282"/>
      <c r="O32" s="282"/>
      <c r="P32" s="282"/>
      <c r="Q32" s="282"/>
      <c r="R32" s="282"/>
      <c r="S32" s="282"/>
    </row>
    <row r="33" spans="1:19" ht="16" customHeight="1" x14ac:dyDescent="0.55000000000000004">
      <c r="A33" s="284" t="s">
        <v>519</v>
      </c>
      <c r="B33" s="282"/>
      <c r="C33" s="282"/>
      <c r="D33" s="282"/>
      <c r="E33" s="282"/>
      <c r="F33" s="282"/>
      <c r="G33" s="282"/>
      <c r="H33" s="282"/>
      <c r="I33" s="282"/>
      <c r="J33" s="282"/>
      <c r="K33" s="282"/>
      <c r="L33" s="282"/>
      <c r="M33" s="282"/>
      <c r="N33" s="282"/>
      <c r="O33" s="282"/>
      <c r="P33" s="282"/>
      <c r="Q33" s="282"/>
      <c r="R33" s="282"/>
      <c r="S33" s="282"/>
    </row>
    <row r="34" spans="1:19" ht="16" customHeight="1" x14ac:dyDescent="0.55000000000000004">
      <c r="A34" s="284" t="s">
        <v>520</v>
      </c>
      <c r="B34" s="282"/>
      <c r="C34" s="282"/>
      <c r="D34" s="282"/>
      <c r="E34" s="282"/>
      <c r="F34" s="282"/>
      <c r="G34" s="282"/>
      <c r="H34" s="282"/>
      <c r="I34" s="282"/>
      <c r="J34" s="282"/>
      <c r="K34" s="282"/>
      <c r="L34" s="282"/>
      <c r="M34" s="282"/>
      <c r="N34" s="282"/>
      <c r="O34" s="282"/>
      <c r="P34" s="282"/>
      <c r="Q34" s="282"/>
      <c r="R34" s="282"/>
      <c r="S34" s="282"/>
    </row>
    <row r="35" spans="1:19" ht="16" customHeight="1" x14ac:dyDescent="0.55000000000000004">
      <c r="A35" s="284" t="s">
        <v>521</v>
      </c>
      <c r="B35" s="282"/>
      <c r="C35" s="282"/>
      <c r="D35" s="282"/>
      <c r="E35" s="282"/>
      <c r="F35" s="282"/>
      <c r="G35" s="282"/>
      <c r="H35" s="282"/>
      <c r="I35" s="282"/>
      <c r="J35" s="282"/>
      <c r="K35" s="282"/>
      <c r="L35" s="282"/>
      <c r="M35" s="282"/>
      <c r="N35" s="282"/>
      <c r="O35" s="282"/>
      <c r="P35" s="282"/>
      <c r="Q35" s="282"/>
      <c r="R35" s="282"/>
      <c r="S35" s="282"/>
    </row>
    <row r="36" spans="1:19" ht="16" customHeight="1" x14ac:dyDescent="0.55000000000000004">
      <c r="A36" s="284" t="s">
        <v>522</v>
      </c>
      <c r="B36" s="282"/>
      <c r="C36" s="282"/>
      <c r="D36" s="282"/>
      <c r="E36" s="282"/>
      <c r="F36" s="282"/>
      <c r="G36" s="282"/>
      <c r="H36" s="282"/>
      <c r="I36" s="282"/>
      <c r="J36" s="282"/>
      <c r="K36" s="282"/>
      <c r="L36" s="282"/>
      <c r="M36" s="282"/>
      <c r="N36" s="282"/>
      <c r="O36" s="282"/>
      <c r="P36" s="282"/>
      <c r="Q36" s="282"/>
      <c r="R36" s="282"/>
      <c r="S36" s="282"/>
    </row>
    <row r="37" spans="1:19" ht="16" customHeight="1" x14ac:dyDescent="0.55000000000000004">
      <c r="A37" s="295" t="s">
        <v>523</v>
      </c>
      <c r="B37" s="282"/>
      <c r="C37" s="282"/>
      <c r="D37" s="282"/>
      <c r="E37" s="282"/>
      <c r="F37" s="282"/>
      <c r="G37" s="282"/>
      <c r="H37" s="282"/>
      <c r="I37" s="282"/>
      <c r="J37" s="282"/>
      <c r="K37" s="282"/>
      <c r="L37" s="282"/>
      <c r="M37" s="282"/>
      <c r="N37" s="282"/>
      <c r="O37" s="282"/>
      <c r="P37" s="282"/>
      <c r="Q37" s="282"/>
      <c r="R37" s="282"/>
      <c r="S37" s="282"/>
    </row>
    <row r="39" spans="1:19" ht="18" customHeight="1" x14ac:dyDescent="0.55000000000000004">
      <c r="A39" s="36" t="s">
        <v>457</v>
      </c>
      <c r="B39" s="298" t="s">
        <v>524</v>
      </c>
      <c r="C39" s="282"/>
      <c r="D39" s="282"/>
      <c r="E39" s="296" t="s">
        <v>525</v>
      </c>
      <c r="F39" s="282"/>
      <c r="G39" s="282"/>
      <c r="H39" s="299" t="s">
        <v>526</v>
      </c>
      <c r="I39" s="282"/>
      <c r="J39" s="282"/>
      <c r="K39" s="292" t="s">
        <v>527</v>
      </c>
      <c r="L39" s="282"/>
      <c r="M39" s="282"/>
      <c r="N39" s="290" t="s">
        <v>45</v>
      </c>
      <c r="O39" s="282"/>
      <c r="P39" s="282"/>
      <c r="Q39" s="297" t="s">
        <v>528</v>
      </c>
      <c r="R39" s="282"/>
      <c r="S39" s="282"/>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1" t="s">
        <v>529</v>
      </c>
      <c r="B1" s="275"/>
      <c r="C1" s="275"/>
      <c r="D1" s="275"/>
      <c r="E1" s="275"/>
      <c r="F1" s="276"/>
    </row>
    <row r="3" spans="1:6" x14ac:dyDescent="0.55000000000000004">
      <c r="A3" s="1" t="s">
        <v>2</v>
      </c>
      <c r="B3" s="1" t="s">
        <v>530</v>
      </c>
      <c r="C3" s="1" t="s">
        <v>22</v>
      </c>
      <c r="D3" s="1" t="s">
        <v>531</v>
      </c>
      <c r="E3" s="1" t="s">
        <v>145</v>
      </c>
      <c r="F3" s="1" t="s">
        <v>532</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8</v>
      </c>
      <c r="C9" s="24">
        <f>COUNTIFS('Delivery Board'!$R$5:$R$500,$A9,'Delivery Board'!$C$5:$C$500,"Done")</f>
        <v>7</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0.875</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43</v>
      </c>
      <c r="C11" s="24">
        <f>COUNTIFS('Delivery Board'!$R$5:$R$500,$A11,'Delivery Board'!$C$5:$C$500,"Done")</f>
        <v>35</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0.81395348837209303</v>
      </c>
    </row>
    <row r="12" spans="1:6" x14ac:dyDescent="0.55000000000000004">
      <c r="A12" s="23" t="s">
        <v>130</v>
      </c>
      <c r="B12" s="24">
        <f t="shared" si="0"/>
        <v>39</v>
      </c>
      <c r="C12" s="24">
        <f>COUNTIFS('Delivery Board'!$R$5:$R$500,$A12,'Delivery Board'!$C$5:$C$500,"Done")</f>
        <v>24</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0.61538461538461542</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19</v>
      </c>
      <c r="C14" s="24">
        <f>COUNTIFS('Delivery Board'!$R$5:$R$500,$A14,'Delivery Board'!$C$5:$C$500,"Done")</f>
        <v>13</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0.68421052631578949</v>
      </c>
    </row>
    <row r="16" spans="1:6" x14ac:dyDescent="0.55000000000000004">
      <c r="A16" s="26" t="s">
        <v>533</v>
      </c>
      <c r="B16" s="27">
        <f>SUM(B4:B14)</f>
        <v>206</v>
      </c>
      <c r="C16" s="27">
        <f>SUM(C4:C14)</f>
        <v>160</v>
      </c>
      <c r="D16">
        <f>SUM(D4:D14)</f>
        <v>45</v>
      </c>
      <c r="E16">
        <f>SUM(E4:E14)</f>
        <v>1</v>
      </c>
      <c r="F16" s="28">
        <f>IF(B16=0,0,C16/B16)</f>
        <v>0.77669902912621358</v>
      </c>
    </row>
    <row r="18" spans="1:2" x14ac:dyDescent="0.55000000000000004">
      <c r="A18" s="41" t="s">
        <v>534</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535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5"/>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1" t="s">
        <v>536</v>
      </c>
      <c r="B1" s="275"/>
      <c r="C1" s="275"/>
      <c r="D1" s="275"/>
      <c r="E1" s="276"/>
    </row>
    <row r="3" spans="1:5" x14ac:dyDescent="0.55000000000000004">
      <c r="A3" s="29" t="s">
        <v>537</v>
      </c>
      <c r="B3" s="29" t="s">
        <v>538</v>
      </c>
      <c r="C3" s="29" t="s">
        <v>539</v>
      </c>
      <c r="D3" s="29" t="s">
        <v>4</v>
      </c>
      <c r="E3" s="29" t="s">
        <v>540</v>
      </c>
    </row>
    <row r="4" spans="1:5" ht="28" customHeight="1" x14ac:dyDescent="0.55000000000000004">
      <c r="A4" s="30" t="s">
        <v>541</v>
      </c>
      <c r="B4" s="11" t="s">
        <v>542</v>
      </c>
      <c r="C4" s="21" t="s">
        <v>543</v>
      </c>
      <c r="D4" s="11" t="s">
        <v>544</v>
      </c>
      <c r="E4" s="31" t="s">
        <v>545</v>
      </c>
    </row>
    <row r="5" spans="1:5" ht="28" customHeight="1" x14ac:dyDescent="0.55000000000000004">
      <c r="A5" s="32" t="s">
        <v>546</v>
      </c>
      <c r="B5" s="6" t="s">
        <v>542</v>
      </c>
      <c r="C5" s="19" t="s">
        <v>547</v>
      </c>
      <c r="D5" s="6" t="s">
        <v>544</v>
      </c>
      <c r="E5" s="33" t="s">
        <v>548</v>
      </c>
    </row>
    <row r="6" spans="1:5" ht="28" customHeight="1" x14ac:dyDescent="0.55000000000000004">
      <c r="A6" s="30" t="s">
        <v>549</v>
      </c>
      <c r="B6" s="11" t="s">
        <v>550</v>
      </c>
      <c r="C6" s="21" t="s">
        <v>543</v>
      </c>
      <c r="D6" s="11" t="s">
        <v>128</v>
      </c>
      <c r="E6" s="31" t="s">
        <v>551</v>
      </c>
    </row>
    <row r="7" spans="1:5" ht="28" customHeight="1" x14ac:dyDescent="0.55000000000000004">
      <c r="A7" s="32" t="s">
        <v>552</v>
      </c>
      <c r="B7" s="6" t="s">
        <v>542</v>
      </c>
      <c r="C7" s="19" t="s">
        <v>547</v>
      </c>
      <c r="D7" s="6" t="s">
        <v>128</v>
      </c>
      <c r="E7" s="33" t="s">
        <v>553</v>
      </c>
    </row>
    <row r="8" spans="1:5" ht="28" customHeight="1" x14ac:dyDescent="0.55000000000000004">
      <c r="A8" s="30" t="s">
        <v>554</v>
      </c>
      <c r="B8" s="11" t="s">
        <v>550</v>
      </c>
      <c r="C8" s="17" t="s">
        <v>555</v>
      </c>
      <c r="D8" s="11" t="s">
        <v>556</v>
      </c>
      <c r="E8" s="31" t="s">
        <v>557</v>
      </c>
    </row>
    <row r="9" spans="1:5" ht="28" customHeight="1" x14ac:dyDescent="0.55000000000000004">
      <c r="A9" s="32" t="s">
        <v>558</v>
      </c>
      <c r="B9" s="6" t="s">
        <v>542</v>
      </c>
      <c r="C9" s="19" t="s">
        <v>547</v>
      </c>
      <c r="D9" s="6" t="s">
        <v>559</v>
      </c>
      <c r="E9" s="33" t="s">
        <v>560</v>
      </c>
    </row>
    <row r="10" spans="1:5" ht="28" customHeight="1" x14ac:dyDescent="0.55000000000000004">
      <c r="A10" s="30" t="s">
        <v>561</v>
      </c>
      <c r="B10" s="11" t="s">
        <v>562</v>
      </c>
      <c r="C10" s="17" t="s">
        <v>555</v>
      </c>
      <c r="D10" s="11" t="s">
        <v>544</v>
      </c>
      <c r="E10" s="31" t="s">
        <v>563</v>
      </c>
    </row>
    <row r="11" spans="1:5" ht="28" customHeight="1" x14ac:dyDescent="0.55000000000000004">
      <c r="A11" s="32" t="s">
        <v>564</v>
      </c>
      <c r="B11" s="6" t="s">
        <v>550</v>
      </c>
      <c r="C11" s="19" t="s">
        <v>547</v>
      </c>
      <c r="D11" s="6" t="s">
        <v>128</v>
      </c>
      <c r="E11" s="33" t="s">
        <v>565</v>
      </c>
    </row>
    <row r="12" spans="1:5" ht="28" customHeight="1" x14ac:dyDescent="0.55000000000000004">
      <c r="A12" s="30" t="s">
        <v>566</v>
      </c>
      <c r="B12" s="11" t="s">
        <v>550</v>
      </c>
      <c r="C12" s="34" t="s">
        <v>567</v>
      </c>
      <c r="D12" s="11" t="s">
        <v>568</v>
      </c>
      <c r="E12" s="31" t="s">
        <v>569</v>
      </c>
    </row>
    <row r="13" spans="1:5" ht="28" customHeight="1" x14ac:dyDescent="0.55000000000000004">
      <c r="A13" s="32" t="s">
        <v>570</v>
      </c>
      <c r="B13" s="6" t="s">
        <v>550</v>
      </c>
      <c r="C13" s="17" t="s">
        <v>555</v>
      </c>
      <c r="D13" s="6" t="s">
        <v>568</v>
      </c>
      <c r="E13" s="33" t="s">
        <v>571</v>
      </c>
    </row>
    <row r="14" spans="1:5" ht="28" customHeight="1" x14ac:dyDescent="0.55000000000000004">
      <c r="A14" s="30" t="s">
        <v>572</v>
      </c>
      <c r="B14" s="11" t="s">
        <v>542</v>
      </c>
      <c r="C14" s="17" t="s">
        <v>555</v>
      </c>
      <c r="D14" s="11" t="s">
        <v>128</v>
      </c>
      <c r="E14" s="31" t="s">
        <v>573</v>
      </c>
    </row>
    <row r="15" spans="1:5" ht="28" customHeight="1" x14ac:dyDescent="0.55000000000000004">
      <c r="A15" s="32" t="s">
        <v>574</v>
      </c>
      <c r="B15" s="6" t="s">
        <v>542</v>
      </c>
      <c r="C15" s="17" t="s">
        <v>555</v>
      </c>
      <c r="D15" s="6" t="s">
        <v>544</v>
      </c>
      <c r="E15" s="33" t="s">
        <v>575</v>
      </c>
    </row>
    <row r="16" spans="1:5" ht="30" customHeight="1" x14ac:dyDescent="0.55000000000000004">
      <c r="A16" s="30" t="s">
        <v>576</v>
      </c>
      <c r="B16" s="11" t="s">
        <v>542</v>
      </c>
      <c r="C16" s="19" t="s">
        <v>547</v>
      </c>
      <c r="D16" s="11" t="s">
        <v>577</v>
      </c>
      <c r="E16" s="31" t="s">
        <v>578</v>
      </c>
    </row>
    <row r="17" spans="1:5" ht="30" customHeight="1" x14ac:dyDescent="0.55000000000000004">
      <c r="A17" s="32" t="s">
        <v>579</v>
      </c>
      <c r="B17" s="6" t="s">
        <v>542</v>
      </c>
      <c r="C17" s="21" t="s">
        <v>543</v>
      </c>
      <c r="D17" s="6" t="s">
        <v>544</v>
      </c>
      <c r="E17" s="33" t="s">
        <v>580</v>
      </c>
    </row>
    <row r="18" spans="1:5" ht="30" customHeight="1" x14ac:dyDescent="0.55000000000000004">
      <c r="A18" s="30" t="s">
        <v>581</v>
      </c>
      <c r="B18" s="11" t="s">
        <v>550</v>
      </c>
      <c r="C18" s="17" t="s">
        <v>555</v>
      </c>
      <c r="D18" s="11" t="s">
        <v>556</v>
      </c>
      <c r="E18" s="31" t="s">
        <v>582</v>
      </c>
    </row>
    <row r="19" spans="1:5" ht="30" customHeight="1" x14ac:dyDescent="0.55000000000000004">
      <c r="A19" s="32" t="s">
        <v>583</v>
      </c>
      <c r="B19" s="6" t="s">
        <v>542</v>
      </c>
      <c r="C19" s="17" t="s">
        <v>555</v>
      </c>
      <c r="D19" s="6" t="s">
        <v>544</v>
      </c>
      <c r="E19" s="33" t="s">
        <v>584</v>
      </c>
    </row>
    <row r="20" spans="1:5" ht="32.049999999999997" customHeight="1" x14ac:dyDescent="0.55000000000000004">
      <c r="A20" s="30" t="s">
        <v>585</v>
      </c>
      <c r="B20" s="11" t="s">
        <v>586</v>
      </c>
      <c r="C20" s="21" t="s">
        <v>543</v>
      </c>
      <c r="D20" s="11" t="s">
        <v>587</v>
      </c>
      <c r="E20" s="31" t="s">
        <v>588</v>
      </c>
    </row>
    <row r="21" spans="1:5" ht="32.049999999999997" customHeight="1" x14ac:dyDescent="0.55000000000000004">
      <c r="A21" s="32" t="s">
        <v>589</v>
      </c>
      <c r="B21" s="6" t="s">
        <v>542</v>
      </c>
      <c r="C21" s="19" t="s">
        <v>547</v>
      </c>
      <c r="D21" s="6" t="s">
        <v>577</v>
      </c>
      <c r="E21" s="33" t="s">
        <v>590</v>
      </c>
    </row>
    <row r="22" spans="1:5" ht="32.049999999999997" customHeight="1" x14ac:dyDescent="0.55000000000000004">
      <c r="A22" s="30" t="s">
        <v>591</v>
      </c>
      <c r="B22" s="11" t="s">
        <v>592</v>
      </c>
      <c r="C22" s="17" t="s">
        <v>555</v>
      </c>
      <c r="D22" s="11" t="s">
        <v>544</v>
      </c>
      <c r="E22" s="31" t="s">
        <v>593</v>
      </c>
    </row>
    <row r="23" spans="1:5" ht="32.049999999999997" customHeight="1" x14ac:dyDescent="0.55000000000000004">
      <c r="A23" s="32" t="s">
        <v>594</v>
      </c>
      <c r="B23" s="6" t="s">
        <v>592</v>
      </c>
      <c r="C23" s="17" t="s">
        <v>555</v>
      </c>
      <c r="D23" s="6" t="s">
        <v>544</v>
      </c>
      <c r="E23" s="33" t="s">
        <v>595</v>
      </c>
    </row>
    <row r="24" spans="1:5" ht="32.049999999999997" customHeight="1" x14ac:dyDescent="0.55000000000000004">
      <c r="A24" s="30" t="s">
        <v>596</v>
      </c>
      <c r="B24" s="11" t="s">
        <v>592</v>
      </c>
      <c r="C24" s="17" t="s">
        <v>555</v>
      </c>
      <c r="D24" s="11" t="s">
        <v>544</v>
      </c>
      <c r="E24" s="31" t="s">
        <v>597</v>
      </c>
    </row>
    <row r="25" spans="1:5" ht="32.049999999999997" customHeight="1" x14ac:dyDescent="0.55000000000000004">
      <c r="A25" s="53" t="s">
        <v>598</v>
      </c>
      <c r="B25" s="51" t="s">
        <v>556</v>
      </c>
      <c r="C25" s="54" t="s">
        <v>555</v>
      </c>
      <c r="D25" s="51" t="s">
        <v>544</v>
      </c>
      <c r="E25" s="55" t="s">
        <v>599</v>
      </c>
    </row>
    <row r="26" spans="1:5" ht="32.049999999999997" customHeight="1" x14ac:dyDescent="0.55000000000000004">
      <c r="A26" s="56" t="s">
        <v>600</v>
      </c>
      <c r="B26" s="46" t="s">
        <v>592</v>
      </c>
      <c r="C26" s="54" t="s">
        <v>567</v>
      </c>
      <c r="D26" s="46" t="s">
        <v>587</v>
      </c>
      <c r="E26" s="57" t="s">
        <v>601</v>
      </c>
    </row>
    <row r="27" spans="1:5" ht="32.049999999999997" customHeight="1" x14ac:dyDescent="0.55000000000000004">
      <c r="A27" s="53" t="s">
        <v>602</v>
      </c>
      <c r="B27" s="51" t="s">
        <v>556</v>
      </c>
      <c r="C27" s="54" t="s">
        <v>567</v>
      </c>
      <c r="D27" s="51" t="s">
        <v>544</v>
      </c>
      <c r="E27" s="55" t="s">
        <v>603</v>
      </c>
    </row>
    <row r="28" spans="1:5" ht="46" customHeight="1" x14ac:dyDescent="0.55000000000000004">
      <c r="A28" s="71" t="s">
        <v>604</v>
      </c>
      <c r="B28" s="60" t="s">
        <v>556</v>
      </c>
      <c r="C28" s="67" t="s">
        <v>547</v>
      </c>
      <c r="D28" s="94" t="s">
        <v>587</v>
      </c>
      <c r="E28" s="94" t="s">
        <v>605</v>
      </c>
    </row>
    <row r="29" spans="1:5" ht="46" customHeight="1" x14ac:dyDescent="0.55000000000000004">
      <c r="A29" s="72" t="s">
        <v>606</v>
      </c>
      <c r="B29" s="65" t="s">
        <v>542</v>
      </c>
      <c r="C29" s="69" t="s">
        <v>555</v>
      </c>
      <c r="D29" s="93" t="s">
        <v>587</v>
      </c>
      <c r="E29" s="93" t="s">
        <v>607</v>
      </c>
    </row>
    <row r="30" spans="1:5" ht="32.049999999999997" customHeight="1" x14ac:dyDescent="0.55000000000000004">
      <c r="A30" s="78" t="s">
        <v>608</v>
      </c>
      <c r="B30" s="75" t="s">
        <v>542</v>
      </c>
      <c r="C30" s="79" t="s">
        <v>555</v>
      </c>
      <c r="D30" s="75" t="s">
        <v>544</v>
      </c>
      <c r="E30" s="80" t="s">
        <v>609</v>
      </c>
    </row>
    <row r="31" spans="1:5" ht="32.049999999999997" customHeight="1" x14ac:dyDescent="0.55000000000000004">
      <c r="A31" s="92" t="s">
        <v>610</v>
      </c>
      <c r="B31" s="83" t="s">
        <v>592</v>
      </c>
      <c r="C31" s="90" t="s">
        <v>555</v>
      </c>
      <c r="D31" s="83" t="s">
        <v>611</v>
      </c>
      <c r="E31" s="93" t="s">
        <v>612</v>
      </c>
    </row>
    <row r="32" spans="1:5" ht="32.049999999999997" customHeight="1" x14ac:dyDescent="0.55000000000000004">
      <c r="A32" s="106" t="s">
        <v>613</v>
      </c>
      <c r="B32" s="102" t="s">
        <v>556</v>
      </c>
      <c r="C32" s="104" t="s">
        <v>555</v>
      </c>
      <c r="D32" s="102" t="s">
        <v>587</v>
      </c>
      <c r="E32" s="107" t="s">
        <v>614</v>
      </c>
    </row>
    <row r="33" spans="1:5" ht="32.049999999999997" customHeight="1" x14ac:dyDescent="0.55000000000000004">
      <c r="A33" s="108" t="s">
        <v>615</v>
      </c>
      <c r="B33" s="97" t="s">
        <v>542</v>
      </c>
      <c r="C33" s="104" t="s">
        <v>555</v>
      </c>
      <c r="D33" s="97" t="s">
        <v>577</v>
      </c>
      <c r="E33" s="109" t="s">
        <v>616</v>
      </c>
    </row>
    <row r="34" spans="1:5" ht="32.049999999999997" customHeight="1" x14ac:dyDescent="0.55000000000000004">
      <c r="A34" s="134" t="s">
        <v>617</v>
      </c>
      <c r="B34" s="129" t="s">
        <v>592</v>
      </c>
      <c r="C34" s="123" t="s">
        <v>547</v>
      </c>
      <c r="D34" s="129" t="s">
        <v>544</v>
      </c>
      <c r="E34" s="135" t="s">
        <v>618</v>
      </c>
    </row>
    <row r="35" spans="1:5" ht="32.049999999999997" customHeight="1" x14ac:dyDescent="0.55000000000000004">
      <c r="A35" s="136" t="s">
        <v>619</v>
      </c>
      <c r="B35" s="124" t="s">
        <v>542</v>
      </c>
      <c r="C35" s="132" t="s">
        <v>555</v>
      </c>
      <c r="D35" s="124" t="s">
        <v>544</v>
      </c>
      <c r="E35" s="137" t="s">
        <v>620</v>
      </c>
    </row>
    <row r="36" spans="1:5" ht="74.05" customHeight="1" x14ac:dyDescent="0.55000000000000004">
      <c r="A36" s="147" t="s">
        <v>554</v>
      </c>
      <c r="B36" s="145" t="s">
        <v>542</v>
      </c>
      <c r="C36" s="148" t="s">
        <v>543</v>
      </c>
      <c r="D36" s="153" t="s">
        <v>621</v>
      </c>
      <c r="E36" s="153" t="s">
        <v>622</v>
      </c>
    </row>
    <row r="37" spans="1:5" ht="32.049999999999997" customHeight="1" x14ac:dyDescent="0.55000000000000004">
      <c r="A37" s="150" t="s">
        <v>623</v>
      </c>
      <c r="B37" s="140" t="s">
        <v>592</v>
      </c>
      <c r="C37" s="151" t="s">
        <v>555</v>
      </c>
      <c r="D37" s="140" t="s">
        <v>544</v>
      </c>
      <c r="E37" s="152" t="s">
        <v>624</v>
      </c>
    </row>
    <row r="38" spans="1:5" ht="32.049999999999997" customHeight="1" x14ac:dyDescent="0.55000000000000004">
      <c r="A38" s="147" t="s">
        <v>625</v>
      </c>
      <c r="B38" s="145" t="s">
        <v>592</v>
      </c>
      <c r="C38" s="151" t="s">
        <v>567</v>
      </c>
      <c r="D38" s="145" t="s">
        <v>544</v>
      </c>
      <c r="E38" s="149" t="s">
        <v>626</v>
      </c>
    </row>
    <row r="39" spans="1:5" ht="32.049999999999997" customHeight="1" x14ac:dyDescent="0.55000000000000004">
      <c r="A39" s="160" t="s">
        <v>627</v>
      </c>
      <c r="B39" s="157" t="s">
        <v>542</v>
      </c>
      <c r="C39" s="161" t="s">
        <v>547</v>
      </c>
      <c r="D39" s="157" t="s">
        <v>544</v>
      </c>
      <c r="E39" s="162" t="s">
        <v>628</v>
      </c>
    </row>
    <row r="40" spans="1:5" ht="32.049999999999997" customHeight="1" x14ac:dyDescent="0.55000000000000004">
      <c r="A40" s="168" t="s">
        <v>629</v>
      </c>
      <c r="B40" s="165" t="s">
        <v>592</v>
      </c>
      <c r="C40" s="169" t="s">
        <v>547</v>
      </c>
      <c r="D40" s="165" t="s">
        <v>544</v>
      </c>
      <c r="E40" s="170" t="s">
        <v>630</v>
      </c>
    </row>
    <row r="41" spans="1:5" ht="32.049999999999997" customHeight="1" x14ac:dyDescent="0.55000000000000004">
      <c r="A41" s="171" t="s">
        <v>140</v>
      </c>
      <c r="B41" s="172" t="s">
        <v>556</v>
      </c>
      <c r="C41" s="173" t="s">
        <v>555</v>
      </c>
      <c r="D41" s="172" t="s">
        <v>587</v>
      </c>
      <c r="E41" s="174" t="s">
        <v>631</v>
      </c>
    </row>
    <row r="42" spans="1:5" ht="32.049999999999997" customHeight="1" x14ac:dyDescent="0.55000000000000004">
      <c r="A42" s="188" t="s">
        <v>632</v>
      </c>
      <c r="B42" s="183" t="s">
        <v>592</v>
      </c>
      <c r="C42" s="177" t="s">
        <v>547</v>
      </c>
      <c r="D42" s="183" t="s">
        <v>544</v>
      </c>
      <c r="E42" s="189" t="s">
        <v>633</v>
      </c>
    </row>
    <row r="43" spans="1:5" ht="32.049999999999997" customHeight="1" x14ac:dyDescent="0.55000000000000004">
      <c r="A43" s="190" t="s">
        <v>634</v>
      </c>
      <c r="B43" s="178" t="s">
        <v>542</v>
      </c>
      <c r="C43" s="186" t="s">
        <v>555</v>
      </c>
      <c r="D43" s="178" t="s">
        <v>577</v>
      </c>
      <c r="E43" s="191" t="s">
        <v>635</v>
      </c>
    </row>
    <row r="44" spans="1:5" ht="32.049999999999997" customHeight="1" x14ac:dyDescent="0.55000000000000004">
      <c r="A44" s="188" t="s">
        <v>636</v>
      </c>
      <c r="B44" s="183" t="s">
        <v>592</v>
      </c>
      <c r="C44" s="186" t="s">
        <v>555</v>
      </c>
      <c r="D44" s="183" t="s">
        <v>587</v>
      </c>
      <c r="E44" s="189" t="s">
        <v>637</v>
      </c>
    </row>
    <row r="45" spans="1:5" ht="32.049999999999997" customHeight="1" x14ac:dyDescent="0.55000000000000004">
      <c r="A45" s="190" t="s">
        <v>638</v>
      </c>
      <c r="B45" s="178" t="s">
        <v>556</v>
      </c>
      <c r="C45" s="186" t="s">
        <v>567</v>
      </c>
      <c r="D45" s="178" t="s">
        <v>544</v>
      </c>
      <c r="E45" s="191" t="s">
        <v>639</v>
      </c>
    </row>
    <row r="46" spans="1:5" ht="32.049999999999997" customHeight="1" x14ac:dyDescent="0.55000000000000004">
      <c r="A46" s="206" t="s">
        <v>640</v>
      </c>
      <c r="B46" s="194" t="s">
        <v>556</v>
      </c>
      <c r="C46" s="199" t="s">
        <v>547</v>
      </c>
      <c r="D46" s="194" t="s">
        <v>544</v>
      </c>
      <c r="E46" s="207" t="s">
        <v>641</v>
      </c>
    </row>
    <row r="47" spans="1:5" ht="32.049999999999997" customHeight="1" x14ac:dyDescent="0.55000000000000004">
      <c r="A47" s="208" t="s">
        <v>642</v>
      </c>
      <c r="B47" s="200" t="s">
        <v>542</v>
      </c>
      <c r="C47" s="203" t="s">
        <v>555</v>
      </c>
      <c r="D47" s="200" t="s">
        <v>544</v>
      </c>
      <c r="E47" s="209" t="s">
        <v>643</v>
      </c>
    </row>
    <row r="48" spans="1:5" ht="32.049999999999997" customHeight="1" x14ac:dyDescent="0.55000000000000004">
      <c r="A48" s="206" t="s">
        <v>644</v>
      </c>
      <c r="B48" s="194" t="s">
        <v>556</v>
      </c>
      <c r="C48" s="203" t="s">
        <v>555</v>
      </c>
      <c r="D48" s="194" t="s">
        <v>544</v>
      </c>
      <c r="E48" s="207" t="s">
        <v>645</v>
      </c>
    </row>
    <row r="49" spans="1:5" x14ac:dyDescent="0.55000000000000004">
      <c r="A49" t="s">
        <v>646</v>
      </c>
      <c r="B49" t="s">
        <v>542</v>
      </c>
      <c r="C49" t="s">
        <v>555</v>
      </c>
      <c r="D49" t="s">
        <v>544</v>
      </c>
      <c r="E49" t="s">
        <v>647</v>
      </c>
    </row>
    <row r="50" spans="1:5" x14ac:dyDescent="0.55000000000000004">
      <c r="A50" t="s">
        <v>648</v>
      </c>
      <c r="B50" t="s">
        <v>542</v>
      </c>
      <c r="C50" t="s">
        <v>555</v>
      </c>
      <c r="D50" t="s">
        <v>544</v>
      </c>
      <c r="E50" t="s">
        <v>649</v>
      </c>
    </row>
    <row r="51" spans="1:5" x14ac:dyDescent="0.55000000000000004">
      <c r="A51" t="s">
        <v>650</v>
      </c>
      <c r="B51" t="s">
        <v>542</v>
      </c>
      <c r="C51" t="s">
        <v>555</v>
      </c>
      <c r="D51" t="s">
        <v>544</v>
      </c>
      <c r="E51" t="s">
        <v>651</v>
      </c>
    </row>
    <row r="52" spans="1:5" x14ac:dyDescent="0.55000000000000004">
      <c r="A52" t="s">
        <v>652</v>
      </c>
      <c r="B52" t="s">
        <v>556</v>
      </c>
      <c r="C52" t="s">
        <v>653</v>
      </c>
      <c r="D52" t="s">
        <v>587</v>
      </c>
      <c r="E52" t="s">
        <v>654</v>
      </c>
    </row>
    <row r="53" spans="1:5" x14ac:dyDescent="0.55000000000000004">
      <c r="A53" t="s">
        <v>655</v>
      </c>
      <c r="B53" t="s">
        <v>556</v>
      </c>
      <c r="C53" t="s">
        <v>653</v>
      </c>
      <c r="D53" t="s">
        <v>587</v>
      </c>
      <c r="E53" t="s">
        <v>656</v>
      </c>
    </row>
    <row r="54" spans="1:5" ht="57.6" customHeight="1" x14ac:dyDescent="0.55000000000000004">
      <c r="A54" s="215" t="s">
        <v>657</v>
      </c>
      <c r="B54" s="215" t="s">
        <v>556</v>
      </c>
      <c r="C54" s="215" t="s">
        <v>653</v>
      </c>
      <c r="D54" s="215" t="s">
        <v>587</v>
      </c>
      <c r="E54" s="215" t="s">
        <v>658</v>
      </c>
    </row>
    <row r="55" spans="1:5" ht="72" customHeight="1" x14ac:dyDescent="0.55000000000000004">
      <c r="A55" s="215" t="s">
        <v>659</v>
      </c>
      <c r="B55" s="215" t="s">
        <v>542</v>
      </c>
      <c r="C55" s="215" t="s">
        <v>547</v>
      </c>
      <c r="D55" s="215" t="s">
        <v>587</v>
      </c>
      <c r="E55" s="215" t="s">
        <v>660</v>
      </c>
    </row>
    <row r="56" spans="1:5" ht="43.2" customHeight="1" x14ac:dyDescent="0.55000000000000004">
      <c r="A56" s="215" t="s">
        <v>661</v>
      </c>
      <c r="B56" s="215" t="s">
        <v>542</v>
      </c>
      <c r="C56" s="215" t="s">
        <v>555</v>
      </c>
      <c r="D56" s="215" t="s">
        <v>544</v>
      </c>
      <c r="E56" s="215" t="s">
        <v>662</v>
      </c>
    </row>
    <row r="57" spans="1:5" ht="43.2" customHeight="1" x14ac:dyDescent="0.55000000000000004">
      <c r="A57" s="215" t="s">
        <v>663</v>
      </c>
      <c r="B57" s="215" t="s">
        <v>542</v>
      </c>
      <c r="C57" s="215" t="s">
        <v>555</v>
      </c>
      <c r="D57" s="215" t="s">
        <v>587</v>
      </c>
      <c r="E57" s="215" t="s">
        <v>664</v>
      </c>
    </row>
    <row r="58" spans="1:5" ht="72" customHeight="1" x14ac:dyDescent="0.55000000000000004">
      <c r="A58" s="215" t="s">
        <v>665</v>
      </c>
      <c r="B58" s="215" t="s">
        <v>542</v>
      </c>
      <c r="C58" s="215" t="s">
        <v>555</v>
      </c>
      <c r="D58" s="215" t="s">
        <v>587</v>
      </c>
      <c r="E58" s="215" t="s">
        <v>666</v>
      </c>
    </row>
    <row r="59" spans="1:5" ht="100.8" customHeight="1" x14ac:dyDescent="0.55000000000000004">
      <c r="A59" s="215" t="s">
        <v>667</v>
      </c>
      <c r="B59" s="215" t="s">
        <v>542</v>
      </c>
      <c r="C59" s="215" t="s">
        <v>547</v>
      </c>
      <c r="D59" s="215" t="s">
        <v>544</v>
      </c>
      <c r="E59" s="215" t="s">
        <v>668</v>
      </c>
    </row>
    <row r="60" spans="1:5" ht="72" customHeight="1" x14ac:dyDescent="0.55000000000000004">
      <c r="A60" s="215" t="s">
        <v>669</v>
      </c>
      <c r="B60" s="215" t="s">
        <v>542</v>
      </c>
      <c r="C60" s="215" t="s">
        <v>547</v>
      </c>
      <c r="D60" s="215" t="s">
        <v>587</v>
      </c>
      <c r="E60" s="215" t="s">
        <v>670</v>
      </c>
    </row>
    <row r="61" spans="1:5" ht="72" customHeight="1" x14ac:dyDescent="0.55000000000000004">
      <c r="A61" s="215" t="s">
        <v>671</v>
      </c>
      <c r="B61" s="215" t="s">
        <v>542</v>
      </c>
      <c r="C61" s="215" t="s">
        <v>555</v>
      </c>
      <c r="D61" s="215" t="s">
        <v>544</v>
      </c>
      <c r="E61" s="215" t="s">
        <v>672</v>
      </c>
    </row>
    <row r="62" spans="1:5" ht="72" customHeight="1" x14ac:dyDescent="0.55000000000000004">
      <c r="A62" s="215" t="s">
        <v>673</v>
      </c>
      <c r="B62" s="215" t="s">
        <v>542</v>
      </c>
      <c r="C62" s="215" t="s">
        <v>555</v>
      </c>
      <c r="D62" s="215" t="s">
        <v>544</v>
      </c>
      <c r="E62" s="215" t="s">
        <v>674</v>
      </c>
    </row>
    <row r="63" spans="1:5" ht="57.6" customHeight="1" x14ac:dyDescent="0.55000000000000004">
      <c r="A63" s="215" t="s">
        <v>675</v>
      </c>
      <c r="B63" s="215" t="s">
        <v>542</v>
      </c>
      <c r="C63" s="215" t="s">
        <v>567</v>
      </c>
      <c r="D63" s="215" t="s">
        <v>544</v>
      </c>
      <c r="E63" s="215" t="s">
        <v>676</v>
      </c>
    </row>
    <row r="64" spans="1:5" ht="28.8" customHeight="1" x14ac:dyDescent="0.55000000000000004">
      <c r="A64" s="215" t="s">
        <v>677</v>
      </c>
      <c r="B64" s="215" t="s">
        <v>542</v>
      </c>
      <c r="C64" s="215" t="s">
        <v>567</v>
      </c>
      <c r="D64" s="215" t="s">
        <v>544</v>
      </c>
      <c r="E64" s="215" t="s">
        <v>678</v>
      </c>
    </row>
    <row r="65" spans="1:5" ht="129.6" customHeight="1" x14ac:dyDescent="0.55000000000000004">
      <c r="A65" s="215" t="s">
        <v>679</v>
      </c>
      <c r="B65" s="215" t="s">
        <v>542</v>
      </c>
      <c r="C65" s="215" t="s">
        <v>555</v>
      </c>
      <c r="D65" s="215" t="s">
        <v>544</v>
      </c>
      <c r="E65" s="215" t="s">
        <v>680</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6"/>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681</v>
      </c>
    </row>
    <row r="2" spans="1:5" ht="46" customHeight="1" x14ac:dyDescent="0.55000000000000004">
      <c r="A2" s="302" t="s">
        <v>682</v>
      </c>
      <c r="B2" s="282"/>
      <c r="C2" s="282"/>
      <c r="D2" s="282"/>
      <c r="E2" s="282"/>
    </row>
    <row r="4" spans="1:5" x14ac:dyDescent="0.55000000000000004">
      <c r="A4" s="220" t="s">
        <v>683</v>
      </c>
      <c r="B4" s="220" t="s">
        <v>537</v>
      </c>
      <c r="C4" s="220" t="s">
        <v>4</v>
      </c>
      <c r="D4" s="220" t="s">
        <v>684</v>
      </c>
      <c r="E4" s="220" t="s">
        <v>685</v>
      </c>
    </row>
    <row r="5" spans="1:5" ht="44.05" customHeight="1" x14ac:dyDescent="0.55000000000000004">
      <c r="A5" s="221" t="s">
        <v>686</v>
      </c>
      <c r="B5" s="215" t="s">
        <v>687</v>
      </c>
      <c r="C5" s="228" t="s">
        <v>22</v>
      </c>
      <c r="D5" s="215" t="s">
        <v>688</v>
      </c>
      <c r="E5" s="215" t="s">
        <v>689</v>
      </c>
    </row>
    <row r="6" spans="1:5" ht="44.05" customHeight="1" x14ac:dyDescent="0.55000000000000004">
      <c r="A6" s="221" t="s">
        <v>686</v>
      </c>
      <c r="B6" s="215" t="s">
        <v>690</v>
      </c>
      <c r="C6" s="228" t="s">
        <v>22</v>
      </c>
      <c r="D6" s="215" t="s">
        <v>688</v>
      </c>
      <c r="E6" s="215" t="s">
        <v>691</v>
      </c>
    </row>
    <row r="7" spans="1:5" ht="44.05" customHeight="1" x14ac:dyDescent="0.55000000000000004">
      <c r="A7" s="231" t="s">
        <v>692</v>
      </c>
      <c r="B7" s="215" t="s">
        <v>693</v>
      </c>
      <c r="C7" s="232" t="s">
        <v>22</v>
      </c>
      <c r="D7" s="215" t="s">
        <v>686</v>
      </c>
      <c r="E7" s="215" t="s">
        <v>694</v>
      </c>
    </row>
    <row r="8" spans="1:5" ht="44.05" customHeight="1" x14ac:dyDescent="0.55000000000000004">
      <c r="A8" s="223" t="s">
        <v>692</v>
      </c>
      <c r="B8" s="215" t="s">
        <v>695</v>
      </c>
      <c r="C8" s="234" t="s">
        <v>22</v>
      </c>
      <c r="D8" s="215" t="s">
        <v>696</v>
      </c>
      <c r="E8" s="215" t="s">
        <v>697</v>
      </c>
    </row>
    <row r="9" spans="1:5" ht="44.05" customHeight="1" x14ac:dyDescent="0.55000000000000004">
      <c r="A9" s="223" t="s">
        <v>692</v>
      </c>
      <c r="B9" s="215" t="s">
        <v>698</v>
      </c>
      <c r="C9" s="233" t="s">
        <v>22</v>
      </c>
      <c r="D9" s="215" t="s">
        <v>686</v>
      </c>
      <c r="E9" s="215" t="s">
        <v>699</v>
      </c>
    </row>
    <row r="10" spans="1:5" ht="44.05" customHeight="1" x14ac:dyDescent="0.55000000000000004">
      <c r="A10" s="224" t="s">
        <v>700</v>
      </c>
      <c r="B10" s="215" t="s">
        <v>701</v>
      </c>
      <c r="C10" s="222" t="s">
        <v>128</v>
      </c>
      <c r="D10" s="215" t="s">
        <v>702</v>
      </c>
      <c r="E10" s="215" t="s">
        <v>703</v>
      </c>
    </row>
    <row r="11" spans="1:5" ht="44.05" customHeight="1" x14ac:dyDescent="0.55000000000000004">
      <c r="A11" s="224" t="s">
        <v>700</v>
      </c>
      <c r="B11" s="215" t="s">
        <v>704</v>
      </c>
      <c r="C11" s="222" t="s">
        <v>128</v>
      </c>
      <c r="D11" s="215" t="s">
        <v>705</v>
      </c>
      <c r="E11" s="215" t="s">
        <v>706</v>
      </c>
    </row>
    <row r="12" spans="1:5" ht="44.05" customHeight="1" x14ac:dyDescent="0.55000000000000004">
      <c r="A12" s="235" t="s">
        <v>700</v>
      </c>
      <c r="B12" s="215" t="s">
        <v>707</v>
      </c>
      <c r="C12" s="236" t="s">
        <v>22</v>
      </c>
      <c r="D12" s="215" t="s">
        <v>708</v>
      </c>
      <c r="E12" s="215" t="s">
        <v>709</v>
      </c>
    </row>
    <row r="13" spans="1:5" ht="44.05" customHeight="1" x14ac:dyDescent="0.55000000000000004">
      <c r="A13" s="235" t="s">
        <v>700</v>
      </c>
      <c r="B13" s="215" t="s">
        <v>710</v>
      </c>
      <c r="C13" s="236" t="s">
        <v>22</v>
      </c>
      <c r="D13" s="215" t="s">
        <v>705</v>
      </c>
      <c r="E13" s="215" t="s">
        <v>711</v>
      </c>
    </row>
    <row r="14" spans="1:5" ht="44.05" customHeight="1" x14ac:dyDescent="0.55000000000000004">
      <c r="A14" s="235" t="s">
        <v>700</v>
      </c>
      <c r="B14" s="215" t="s">
        <v>712</v>
      </c>
      <c r="C14" s="236" t="s">
        <v>22</v>
      </c>
      <c r="D14" s="215" t="s">
        <v>705</v>
      </c>
      <c r="E14" s="215" t="s">
        <v>713</v>
      </c>
    </row>
    <row r="15" spans="1:5" ht="44.05" customHeight="1" x14ac:dyDescent="0.55000000000000004">
      <c r="A15" s="225" t="s">
        <v>714</v>
      </c>
      <c r="B15" s="215" t="s">
        <v>715</v>
      </c>
      <c r="C15" s="222" t="s">
        <v>128</v>
      </c>
      <c r="D15" s="215" t="s">
        <v>716</v>
      </c>
      <c r="E15" s="215" t="s">
        <v>717</v>
      </c>
    </row>
    <row r="16" spans="1:5" ht="44.05" customHeight="1" x14ac:dyDescent="0.55000000000000004">
      <c r="A16" s="225" t="s">
        <v>714</v>
      </c>
      <c r="B16" s="215" t="s">
        <v>718</v>
      </c>
      <c r="C16" s="223" t="s">
        <v>138</v>
      </c>
      <c r="D16" s="215" t="s">
        <v>716</v>
      </c>
      <c r="E16" s="215" t="s">
        <v>719</v>
      </c>
    </row>
    <row r="17" spans="1:5" ht="44.05" customHeight="1" x14ac:dyDescent="0.55000000000000004">
      <c r="A17" s="226" t="s">
        <v>720</v>
      </c>
      <c r="B17" s="215" t="s">
        <v>721</v>
      </c>
      <c r="C17" s="225" t="s">
        <v>722</v>
      </c>
      <c r="D17" s="215" t="s">
        <v>688</v>
      </c>
      <c r="E17" s="215" t="s">
        <v>723</v>
      </c>
    </row>
    <row r="18" spans="1:5" ht="44.05" customHeight="1" x14ac:dyDescent="0.55000000000000004">
      <c r="A18" s="226" t="s">
        <v>720</v>
      </c>
      <c r="B18" s="215" t="s">
        <v>724</v>
      </c>
      <c r="C18" s="225" t="s">
        <v>722</v>
      </c>
      <c r="D18" s="215" t="s">
        <v>688</v>
      </c>
      <c r="E18" s="215" t="s">
        <v>725</v>
      </c>
    </row>
    <row r="19" spans="1:5" ht="44.05" customHeight="1" x14ac:dyDescent="0.55000000000000004">
      <c r="A19" s="226" t="s">
        <v>720</v>
      </c>
      <c r="B19" s="215" t="s">
        <v>726</v>
      </c>
      <c r="C19" s="225" t="s">
        <v>722</v>
      </c>
      <c r="D19" s="215" t="s">
        <v>688</v>
      </c>
      <c r="E19" s="215" t="s">
        <v>727</v>
      </c>
    </row>
    <row r="21" spans="1:5" ht="58" customHeight="1" x14ac:dyDescent="0.55000000000000004">
      <c r="A21" s="229" t="s">
        <v>686</v>
      </c>
      <c r="B21" s="215" t="s">
        <v>728</v>
      </c>
      <c r="C21" s="228" t="s">
        <v>22</v>
      </c>
      <c r="D21" s="215" t="s">
        <v>729</v>
      </c>
      <c r="E21" s="215" t="s">
        <v>730</v>
      </c>
    </row>
    <row r="22" spans="1:5" ht="58" customHeight="1" x14ac:dyDescent="0.55000000000000004">
      <c r="A22" s="230" t="s">
        <v>692</v>
      </c>
      <c r="B22" s="215" t="s">
        <v>731</v>
      </c>
      <c r="C22" s="234" t="s">
        <v>22</v>
      </c>
      <c r="D22" s="215" t="s">
        <v>732</v>
      </c>
      <c r="E22" s="215" t="s">
        <v>733</v>
      </c>
    </row>
    <row r="23" spans="1:5" ht="58" customHeight="1" x14ac:dyDescent="0.55000000000000004">
      <c r="A23" s="231" t="s">
        <v>692</v>
      </c>
      <c r="B23" s="215" t="s">
        <v>734</v>
      </c>
      <c r="C23" s="234" t="s">
        <v>22</v>
      </c>
      <c r="D23" s="215" t="s">
        <v>735</v>
      </c>
      <c r="E23" s="215" t="s">
        <v>736</v>
      </c>
    </row>
    <row r="24" spans="1:5" ht="58" customHeight="1" x14ac:dyDescent="0.55000000000000004">
      <c r="A24" s="231" t="s">
        <v>692</v>
      </c>
      <c r="B24" s="215" t="s">
        <v>737</v>
      </c>
      <c r="C24" s="233" t="s">
        <v>22</v>
      </c>
      <c r="D24" s="215" t="s">
        <v>732</v>
      </c>
      <c r="E24" s="215" t="s">
        <v>738</v>
      </c>
    </row>
    <row r="25" spans="1:5" ht="58" customHeight="1" x14ac:dyDescent="0.55000000000000004">
      <c r="A25" s="235" t="s">
        <v>700</v>
      </c>
      <c r="B25" s="215" t="s">
        <v>739</v>
      </c>
      <c r="C25" s="237" t="s">
        <v>22</v>
      </c>
      <c r="D25" s="215" t="s">
        <v>740</v>
      </c>
      <c r="E25" s="215" t="s">
        <v>741</v>
      </c>
    </row>
    <row r="26" spans="1:5" ht="43.2" customHeight="1" x14ac:dyDescent="0.55000000000000004">
      <c r="A26" s="227" t="s">
        <v>457</v>
      </c>
      <c r="B26" s="215" t="s">
        <v>742</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743</v>
      </c>
    </row>
    <row r="2" spans="1:9" x14ac:dyDescent="0.55000000000000004">
      <c r="A2" s="212" t="s">
        <v>744</v>
      </c>
    </row>
    <row r="4" spans="1:9" x14ac:dyDescent="0.55000000000000004">
      <c r="A4" s="213" t="s">
        <v>745</v>
      </c>
      <c r="B4" s="213" t="s">
        <v>746</v>
      </c>
      <c r="C4" s="213" t="s">
        <v>747</v>
      </c>
      <c r="D4" s="213" t="s">
        <v>748</v>
      </c>
      <c r="E4" s="213" t="s">
        <v>749</v>
      </c>
      <c r="F4" s="213" t="s">
        <v>750</v>
      </c>
      <c r="G4" s="213" t="s">
        <v>751</v>
      </c>
      <c r="H4" s="213" t="s">
        <v>4</v>
      </c>
      <c r="I4" s="213" t="s">
        <v>752</v>
      </c>
    </row>
    <row r="5" spans="1:9" ht="62.05" customHeight="1" x14ac:dyDescent="0.55000000000000004">
      <c r="A5" s="214" t="s">
        <v>753</v>
      </c>
      <c r="B5" s="215" t="s">
        <v>754</v>
      </c>
      <c r="C5" s="215" t="s">
        <v>755</v>
      </c>
      <c r="D5" s="215" t="s">
        <v>756</v>
      </c>
      <c r="E5" s="215" t="s">
        <v>757</v>
      </c>
      <c r="F5" s="215" t="s">
        <v>758</v>
      </c>
      <c r="G5" s="215" t="s">
        <v>759</v>
      </c>
      <c r="H5" s="216" t="s">
        <v>760</v>
      </c>
      <c r="I5" s="215" t="s">
        <v>761</v>
      </c>
    </row>
    <row r="6" spans="1:9" ht="62.05" customHeight="1" x14ac:dyDescent="0.55000000000000004">
      <c r="A6" s="214" t="s">
        <v>762</v>
      </c>
      <c r="B6" s="215" t="s">
        <v>763</v>
      </c>
      <c r="C6" s="215" t="s">
        <v>764</v>
      </c>
      <c r="D6" s="215" t="s">
        <v>765</v>
      </c>
      <c r="E6" s="215" t="s">
        <v>766</v>
      </c>
      <c r="F6" s="215" t="s">
        <v>767</v>
      </c>
      <c r="G6" s="215" t="s">
        <v>768</v>
      </c>
      <c r="H6" s="217" t="s">
        <v>760</v>
      </c>
      <c r="I6" s="215" t="s">
        <v>769</v>
      </c>
    </row>
    <row r="7" spans="1:9" ht="62.05" customHeight="1" x14ac:dyDescent="0.55000000000000004">
      <c r="A7" s="214" t="s">
        <v>770</v>
      </c>
      <c r="B7" s="215" t="s">
        <v>771</v>
      </c>
      <c r="C7" s="215" t="s">
        <v>772</v>
      </c>
      <c r="D7" s="215" t="s">
        <v>773</v>
      </c>
      <c r="E7" s="215" t="s">
        <v>774</v>
      </c>
      <c r="F7" s="215" t="s">
        <v>775</v>
      </c>
      <c r="G7" s="215" t="s">
        <v>776</v>
      </c>
      <c r="H7" s="217" t="s">
        <v>760</v>
      </c>
      <c r="I7" s="215" t="s">
        <v>777</v>
      </c>
    </row>
    <row r="8" spans="1:9" ht="62.05" customHeight="1" x14ac:dyDescent="0.55000000000000004">
      <c r="A8" s="214" t="s">
        <v>778</v>
      </c>
      <c r="B8" s="215" t="s">
        <v>779</v>
      </c>
      <c r="C8" s="215" t="s">
        <v>780</v>
      </c>
      <c r="D8" s="215" t="s">
        <v>781</v>
      </c>
      <c r="E8" s="215" t="s">
        <v>653</v>
      </c>
      <c r="F8" s="215" t="s">
        <v>653</v>
      </c>
      <c r="G8" s="215" t="s">
        <v>653</v>
      </c>
      <c r="H8" s="216" t="s">
        <v>782</v>
      </c>
      <c r="I8" s="215" t="s">
        <v>783</v>
      </c>
    </row>
    <row r="9" spans="1:9" ht="62.05" customHeight="1" x14ac:dyDescent="0.55000000000000004">
      <c r="A9" s="214" t="s">
        <v>784</v>
      </c>
      <c r="B9" s="215" t="s">
        <v>785</v>
      </c>
      <c r="C9" s="215" t="s">
        <v>786</v>
      </c>
      <c r="D9" s="215" t="s">
        <v>781</v>
      </c>
      <c r="E9" s="215" t="s">
        <v>774</v>
      </c>
      <c r="F9" s="215" t="s">
        <v>787</v>
      </c>
      <c r="G9" s="215" t="s">
        <v>788</v>
      </c>
      <c r="H9" s="218" t="s">
        <v>789</v>
      </c>
      <c r="I9" s="215" t="s">
        <v>790</v>
      </c>
    </row>
    <row r="10" spans="1:9" ht="62.05" customHeight="1" x14ac:dyDescent="0.55000000000000004">
      <c r="A10" s="214" t="s">
        <v>791</v>
      </c>
      <c r="B10" s="215" t="s">
        <v>792</v>
      </c>
      <c r="C10" s="215" t="s">
        <v>793</v>
      </c>
      <c r="D10" s="215" t="s">
        <v>794</v>
      </c>
      <c r="E10" s="215" t="s">
        <v>795</v>
      </c>
      <c r="F10" s="215" t="s">
        <v>796</v>
      </c>
      <c r="G10" s="215" t="s">
        <v>797</v>
      </c>
      <c r="H10" s="218" t="s">
        <v>798</v>
      </c>
      <c r="I10" s="215" t="s">
        <v>799</v>
      </c>
    </row>
    <row r="11" spans="1:9" ht="62.05" customHeight="1" x14ac:dyDescent="0.55000000000000004">
      <c r="A11" s="214" t="s">
        <v>800</v>
      </c>
      <c r="B11" s="215" t="s">
        <v>801</v>
      </c>
      <c r="C11" s="215" t="s">
        <v>802</v>
      </c>
      <c r="D11" s="215" t="s">
        <v>803</v>
      </c>
      <c r="E11" s="215" t="s">
        <v>653</v>
      </c>
      <c r="F11" s="215" t="s">
        <v>653</v>
      </c>
      <c r="G11" s="215" t="s">
        <v>804</v>
      </c>
      <c r="H11" s="218" t="s">
        <v>805</v>
      </c>
      <c r="I11" s="215" t="s">
        <v>806</v>
      </c>
    </row>
    <row r="12" spans="1:9" ht="62.05" customHeight="1" x14ac:dyDescent="0.55000000000000004">
      <c r="A12" s="214" t="s">
        <v>807</v>
      </c>
      <c r="B12" s="215" t="s">
        <v>808</v>
      </c>
      <c r="C12" s="215" t="s">
        <v>809</v>
      </c>
      <c r="D12" s="215" t="s">
        <v>810</v>
      </c>
      <c r="E12" s="215" t="s">
        <v>653</v>
      </c>
      <c r="F12" s="215" t="s">
        <v>653</v>
      </c>
      <c r="G12" s="215" t="s">
        <v>804</v>
      </c>
      <c r="H12" s="217" t="s">
        <v>811</v>
      </c>
      <c r="I12" s="215" t="s">
        <v>812</v>
      </c>
    </row>
    <row r="13" spans="1:9" ht="62.05" customHeight="1" x14ac:dyDescent="0.55000000000000004">
      <c r="A13" s="214" t="s">
        <v>813</v>
      </c>
      <c r="B13" s="215" t="s">
        <v>814</v>
      </c>
      <c r="C13" s="215" t="s">
        <v>815</v>
      </c>
      <c r="D13" s="215" t="s">
        <v>653</v>
      </c>
      <c r="E13" s="215" t="s">
        <v>653</v>
      </c>
      <c r="F13" s="215" t="s">
        <v>653</v>
      </c>
      <c r="G13" s="215" t="s">
        <v>653</v>
      </c>
      <c r="H13" s="218" t="s">
        <v>816</v>
      </c>
      <c r="I13" s="215" t="s">
        <v>817</v>
      </c>
    </row>
    <row r="14" spans="1:9" ht="62.05" customHeight="1" x14ac:dyDescent="0.55000000000000004">
      <c r="A14" s="214" t="s">
        <v>818</v>
      </c>
      <c r="B14" s="215" t="s">
        <v>819</v>
      </c>
      <c r="C14" s="215" t="s">
        <v>815</v>
      </c>
      <c r="D14" s="215" t="s">
        <v>653</v>
      </c>
      <c r="E14" s="215" t="s">
        <v>653</v>
      </c>
      <c r="F14" s="215" t="s">
        <v>653</v>
      </c>
      <c r="G14" s="215" t="s">
        <v>653</v>
      </c>
      <c r="H14" s="218" t="s">
        <v>816</v>
      </c>
      <c r="I14" s="215" t="s">
        <v>820</v>
      </c>
    </row>
    <row r="16" spans="1:9" x14ac:dyDescent="0.55000000000000004">
      <c r="A16" s="303" t="s">
        <v>821</v>
      </c>
      <c r="B16" s="282"/>
      <c r="C16" s="282"/>
      <c r="D16" s="282"/>
      <c r="E16" s="282"/>
      <c r="F16" s="282"/>
      <c r="G16" s="282"/>
      <c r="H16" s="282"/>
      <c r="I16" s="282"/>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2026-08-10T23:31:14Z</dcterms:modified>
</cp:coreProperties>
</file>