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E5B8AA7-A2CD-4C51-A215-05031B1E7366}"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4" i="1" l="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D8" i="3" l="1"/>
  <c r="E11" i="3"/>
  <c r="R6" i="1"/>
  <c r="R7" i="1" s="1"/>
  <c r="R8" i="1" s="1"/>
  <c r="E5" i="3"/>
  <c r="C7" i="3"/>
  <c r="E13" i="3"/>
  <c r="C4" i="3"/>
  <c r="C12" i="3"/>
  <c r="D4" i="3"/>
  <c r="E7" i="3"/>
  <c r="D12" i="3"/>
  <c r="E4" i="3"/>
  <c r="E12" i="3"/>
  <c r="C14" i="3"/>
  <c r="D6" i="3"/>
  <c r="C11" i="3"/>
  <c r="B12" i="3" l="1"/>
  <c r="F12" i="3" s="1"/>
  <c r="C5" i="3"/>
  <c r="E10" i="3"/>
  <c r="D13" i="3"/>
  <c r="E14" i="3"/>
  <c r="D9" i="3"/>
  <c r="C6" i="3"/>
  <c r="D7" i="3"/>
  <c r="B7" i="3" s="1"/>
  <c r="F7" i="3" s="1"/>
  <c r="C10" i="3"/>
  <c r="D11" i="3"/>
  <c r="B11" i="3" s="1"/>
  <c r="F11" i="3" s="1"/>
  <c r="B4" i="3"/>
  <c r="E8" i="3"/>
  <c r="C8" i="3"/>
  <c r="D5" i="3"/>
  <c r="E6" i="3"/>
  <c r="E9" i="3"/>
  <c r="C9" i="3"/>
  <c r="D10" i="3"/>
  <c r="C13" i="3"/>
  <c r="D14" i="3"/>
  <c r="B14" i="3" s="1"/>
  <c r="F14" i="3" s="1"/>
  <c r="B8" i="3" l="1"/>
  <c r="F8" i="3" s="1"/>
  <c r="E16" i="3"/>
  <c r="B9" i="3"/>
  <c r="F9" i="3" s="1"/>
  <c r="D16" i="3"/>
  <c r="C16" i="3"/>
  <c r="B10" i="3"/>
  <c r="F10" i="3" s="1"/>
  <c r="B5" i="3"/>
  <c r="F5" i="3" s="1"/>
  <c r="B6" i="3"/>
  <c r="F6" i="3" s="1"/>
  <c r="B13" i="3"/>
  <c r="F13" i="3" s="1"/>
  <c r="F4" i="3"/>
  <c r="B16" i="3" l="1"/>
  <c r="B18" i="3"/>
  <c r="F16" i="3"/>
</calcChain>
</file>

<file path=xl/sharedStrings.xml><?xml version="1.0" encoding="utf-8"?>
<sst xmlns="http://schemas.openxmlformats.org/spreadsheetml/2006/main" count="891" uniqueCount="471">
  <si>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</si>
  <si>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</si>
  <si>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</si>
  <si>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</si>
  <si>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</si>
  <si>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</si>
  <si>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</si>
  <si>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</si>
  <si>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</si>
  <si>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</si>
  <si>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</si>
  <si>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</si>
  <si>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</si>
  <si>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</si>
  <si>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</si>
  <si>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</si>
  <si>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</si>
  <si>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</si>
  <si>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</si>
  <si>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</si>
  <si>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</si>
  <si>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</si>
  <si>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</si>
  <si>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</si>
  <si>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</si>
  <si>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</si>
  <si>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</si>
  <si>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</si>
  <si>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</si>
  <si>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</si>
  <si>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</si>
  <si>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</si>
  <si>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</si>
  <si>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</si>
  <si>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</si>
  <si>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</si>
  <si>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</si>
  <si>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</si>
  <si>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</si>
  <si>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</si>
  <si>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</si>
  <si>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</si>
  <si>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</si>
  <si>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</si>
  <si>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</si>
  <si>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</si>
  <si>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</si>
  <si>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</si>
  <si>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</si>
  <si>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</si>
  <si>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</si>
  <si>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</si>
  <si>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</si>
  <si>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</si>
  <si>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</si>
  <si>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</si>
  <si>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</si>
  <si>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</si>
  <si>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</si>
  <si>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</si>
  <si>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</si>
  <si>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</si>
  <si>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</si>
  <si>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</si>
  <si>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</si>
  <si>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</si>
  <si>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</si>
  <si>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</si>
  <si>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</si>
  <si>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</si>
  <si>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</si>
  <si>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</si>
  <si>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</si>
  <si>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</si>
  <si>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</si>
  <si>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</si>
  <si>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</si>
  <si>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</si>
  <si>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</si>
  <si>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</si>
  <si>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</si>
  <si>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</si>
  <si>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</si>
  <si>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</si>
  <si>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</si>
  <si>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</si>
  <si>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</si>
  <si>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</si>
  <si>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</si>
  <si>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</si>
  <si>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</si>
  <si>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</si>
  <si>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</si>
  <si>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</si>
  <si>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</si>
  <si>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</si>
  <si>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</si>
  <si>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</si>
  <si>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</si>
  <si>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</si>
  <si>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</si>
  <si>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</si>
  <si>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</si>
  <si>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</si>
  <si>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</si>
  <si>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</si>
  <si>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</si>
  <si>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</si>
  <si>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</si>
  <si>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</si>
  <si>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</si>
  <si>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</si>
  <si>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</si>
  <si>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</si>
  <si>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</si>
  <si>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</si>
  <si>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</si>
  <si>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</si>
  <si>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</si>
  <si>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</si>
  <si>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</si>
  <si>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</si>
  <si>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</si>
  <si>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</si>
  <si>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</si>
  <si>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</si>
  <si>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</si>
  <si>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</si>
  <si>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</si>
  <si>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</si>
  <si>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</si>
  <si>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</si>
  <si>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</si>
  <si>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</si>
  <si>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</si>
  <si>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</si>
  <si>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</si>
  <si>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</si>
  <si>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</si>
  <si>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</si>
  <si>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</si>
  <si>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</si>
  <si>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</si>
  <si>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</si>
  <si>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</si>
  <si>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</si>
  <si>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</si>
  <si>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</si>
  <si>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</si>
  <si>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</si>
  <si>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</si>
  <si>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</si>
  <si>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</si>
  <si>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</si>
  <si>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</si>
  <si>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</si>
  <si>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</si>
  <si>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</si>
  <si>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</si>
  <si>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</si>
  <si>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</si>
  <si>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</si>
  <si>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</si>
  <si>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</si>
  <si>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</si>
  <si>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</si>
  <si>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</si>
  <si>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</si>
  <si>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</si>
  <si>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</si>
  <si>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</si>
  <si>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</si>
  <si>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</si>
  <si>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</si>
  <si>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</si>
  <si>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</si>
  <si>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</si>
  <si>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</si>
  <si>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</si>
  <si>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</si>
  <si>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</si>
  <si>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</si>
  <si>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</si>
  <si>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</si>
  <si>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</si>
  <si>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</si>
  <si>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</si>
  <si>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</si>
  <si>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</si>
  <si>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</si>
  <si>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</si>
  <si>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</si>
  <si>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</si>
  <si>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</si>
  <si>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</si>
  <si>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</si>
  <si>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</si>
  <si>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</si>
  <si>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</si>
  <si>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</si>
  <si>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</si>
  <si>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</si>
  <si>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</si>
  <si>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</si>
  <si>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</si>
  <si>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</si>
  <si>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</si>
  <si>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</si>
  <si>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</si>
  <si>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</si>
  <si>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</si>
  <si>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</si>
  <si>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</si>
  <si>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</si>
  <si>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</si>
  <si>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</si>
  <si>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</si>
  <si>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</si>
  <si>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</si>
  <si>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</si>
  <si>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</si>
  <si>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</si>
  <si>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</si>
  <si>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</si>
  <si>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</si>
  <si>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</si>
  <si>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</si>
  <si>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</si>
  <si>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</si>
  <si>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</si>
  <si>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</si>
  <si>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</si>
  <si>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</si>
  <si>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</si>
  <si>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</si>
  <si>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</si>
  <si>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</si>
  <si>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</si>
  <si>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</si>
  <si>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</si>
  <si>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</si>
  <si>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</si>
  <si>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</si>
  <si>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</si>
  <si>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</si>
  <si>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</si>
  <si>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</si>
  <si>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</si>
  <si>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</si>
  <si>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</si>
  <si>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</si>
  <si>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</si>
  <si>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</si>
  <si>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</si>
  <si>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</si>
  <si>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</si>
  <si>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</si>
  <si>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</si>
  <si>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</si>
  <si>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</si>
  <si>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</si>
  <si>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</si>
  <si>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</si>
  <si>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</si>
  <si>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</si>
  <si>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</si>
  <si>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</si>
  <si>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</si>
  <si>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</si>
  <si>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</si>
  <si>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</si>
  <si>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</si>
  <si>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</si>
  <si>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</si>
  <si>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</si>
  <si>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</si>
  <si>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</si>
  <si>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</si>
  <si>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</si>
  <si>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</si>
  <si>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</si>
  <si>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</si>
  <si>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</si>
  <si>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</si>
  <si>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</si>
  <si>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</si>
  <si>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</si>
  <si>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</si>
  <si>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</si>
  <si>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</si>
  <si>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</si>
  <si>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</si>
  <si>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</si>
  <si>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</si>
  <si>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</si>
  <si>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</si>
  <si>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</si>
  <si>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</si>
  <si>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</si>
  <si>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</si>
  <si>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</si>
  <si>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</si>
  <si>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</si>
  <si>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</si>
  <si>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</si>
  <si>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</si>
  <si>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</si>
  <si>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</si>
  <si>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</si>
  <si>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</si>
  <si>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</si>
  <si>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</si>
  <si>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</si>
  <si>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</si>
  <si>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</si>
  <si>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</si>
  <si>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</si>
  <si>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</si>
  <si>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</si>
  <si>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</si>
  <si>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</si>
  <si>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</si>
  <si>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</si>
  <si>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</si>
  <si>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</si>
  <si>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</si>
  <si>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</si>
  <si>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</si>
  <si>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</si>
  <si>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</si>
  <si>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</si>
  <si>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</si>
  <si>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</si>
  <si>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</si>
  <si>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</si>
  <si>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</si>
  <si>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</si>
  <si>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</si>
  <si>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</si>
  <si>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</si>
  <si>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</si>
  <si>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</si>
  <si>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</si>
  <si>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</si>
  <si>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</si>
  <si>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</si>
  <si>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</si>
  <si>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</si>
  <si>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</si>
  <si>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</si>
  <si>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</si>
  <si>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</si>
  <si>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</si>
  <si>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</si>
  <si>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</si>
  <si>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</si>
  <si>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</si>
  <si>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</si>
  <si>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</si>
  <si>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</si>
  <si>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</si>
  <si>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</si>
  <si>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</si>
  <si>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</si>
  <si>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</si>
  <si>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</si>
  <si>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</si>
  <si>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</si>
  <si>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</si>
  <si>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</si>
  <si>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</si>
  <si>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</si>
  <si>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</si>
  <si>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</si>
  <si>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</si>
  <si>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</si>
  <si>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</si>
  <si>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</si>
  <si>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</si>
  <si>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</si>
  <si>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</si>
  <si>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</si>
  <si>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</si>
  <si>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</si>
  <si>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</si>
  <si>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</si>
  <si>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</si>
  <si>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</si>
  <si>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</si>
  <si>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</si>
  <si>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</si>
  <si>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</si>
  <si>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</si>
  <si>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</si>
  <si>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</si>
  <si>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</si>
  <si>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</si>
  <si>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</si>
  <si>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</si>
  <si>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</si>
  <si>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</si>
  <si>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</si>
  <si>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</si>
  <si>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</si>
  <si>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</si>
  <si>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</si>
  <si>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</si>
  <si>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</si>
  <si>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</si>
  <si>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</si>
  <si>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</si>
  <si>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</si>
  <si>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</si>
  <si>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</si>
  <si>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</si>
  <si>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</si>
  <si>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</si>
  <si>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</si>
  <si>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</si>
  <si>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</si>
  <si>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</si>
  <si>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</si>
  <si>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</si>
  <si>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</si>
  <si>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</si>
  <si>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</si>
  <si>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</si>
  <si>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</si>
  <si>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</si>
  <si>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</si>
  <si>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</si>
  <si>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</si>
  <si>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</si>
  <si>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</si>
  <si>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</si>
  <si>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</si>
  <si>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</si>
  <si>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</si>
  <si>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</si>
  <si>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</si>
  <si>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</si>
  <si>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</si>
  <si>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</si>
  <si>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</si>
  <si>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</si>
  <si>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</si>
  <si>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</si>
  <si>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</si>
  <si>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</si>
  <si>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</si>
  <si>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</si>
  <si>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</si>
  <si>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</si>
  <si>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</si>
  <si>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</si>
  <si>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</si>
  <si>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</si>
  <si>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</si>
  <si>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</si>
  <si>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</si>
  <si>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</si>
  <si>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</si>
  <si>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</si>
  <si>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</si>
  <si>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</si>
  <si>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</si>
  <si>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Resolved by a Pro subscription, verified live: 5,000/month, quota fresh. Note it is a MONTHLY budget, so a heavy week cannot be absorbed by waiting a day - ODDS_LOOKAHEAD_DAYS=3 stays as the ceiling that protects a busy matchday.</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</si>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</sst>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5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50">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s>
  <borders count="15">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06">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2" fillId="3" borderId="13" xfId="0" applyFont="1" applyFill="1" applyBorder="1" applyAlignment="1">
      <alignment horizontal="left" vertical="center"/>
    </xf>
    <xf numFmtId="0" fontId="0" fillId="0" borderId="2" xfId="0" applyBorder="1"/>
    <xf numFmtId="0" fontId="0" fillId="0" borderId="3" xfId="0" applyBorder="1"/>
    <xf numFmtId="0" fontId="1" fillId="2" borderId="13"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3"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6"/>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81" t="s">
        <v>0</v>
      </c>
      <c r="B1" s="179"/>
      <c r="C1" s="179"/>
      <c r="D1" s="179"/>
      <c r="E1" s="179"/>
      <c r="F1" s="179"/>
      <c r="G1" s="179"/>
      <c r="H1" s="179"/>
      <c r="I1" s="179"/>
      <c r="J1" s="179"/>
      <c r="K1" s="179"/>
      <c r="L1" s="179"/>
      <c r="M1" s="179"/>
      <c r="N1" s="179"/>
      <c r="O1" s="179"/>
      <c r="P1" s="179"/>
      <c r="Q1" s="180"/>
    </row>
    <row r="2" spans="1:18" ht="18" customHeight="1" x14ac:dyDescent="0.55000000000000004">
      <c r="A2" s="178" t="s">
        <v>1</v>
      </c>
      <c r="B2" s="179"/>
      <c r="C2" s="179"/>
      <c r="D2" s="179"/>
      <c r="E2" s="179"/>
      <c r="F2" s="179"/>
      <c r="G2" s="179"/>
      <c r="H2" s="179"/>
      <c r="I2" s="179"/>
      <c r="J2" s="179"/>
      <c r="K2" s="179"/>
      <c r="L2" s="179"/>
      <c r="M2" s="179"/>
      <c r="N2" s="179"/>
      <c r="O2" s="179"/>
      <c r="P2" s="179"/>
      <c r="Q2" s="180"/>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4"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3" spans="1:18" x14ac:dyDescent="0.55000000000000004">
      <c r="A133" s="160" t="s">
        <v>130</v>
      </c>
      <c r="B133" s="161" t="s">
        <v>299</v>
      </c>
      <c r="C133" s="162" t="s">
        <v>22</v>
      </c>
      <c r="D133" s="163" t="s">
        <v>33</v>
      </c>
      <c r="E133" s="164">
        <v>46239</v>
      </c>
      <c r="F133" s="164">
        <v>46239</v>
      </c>
      <c r="G133" s="165" t="s">
        <v>300</v>
      </c>
      <c r="H133" s="161"/>
      <c r="I133" s="166"/>
      <c r="J133" s="161"/>
      <c r="K133" s="161"/>
      <c r="L133" s="161"/>
      <c r="M133" s="161"/>
      <c r="N133" s="161"/>
      <c r="O133" s="161"/>
      <c r="P133" s="161"/>
      <c r="Q133" s="161"/>
      <c r="R133" t="str">
        <f t="shared" si="3"/>
        <v>E9 Data Ops</v>
      </c>
    </row>
    <row r="134" spans="1:18" x14ac:dyDescent="0.55000000000000004">
      <c r="A134" s="167" t="s">
        <v>130</v>
      </c>
      <c r="B134" s="168" t="s">
        <v>301</v>
      </c>
      <c r="C134" s="162" t="s">
        <v>22</v>
      </c>
      <c r="D134" s="169" t="s">
        <v>33</v>
      </c>
      <c r="E134" s="170">
        <v>46239</v>
      </c>
      <c r="F134" s="170">
        <v>46239</v>
      </c>
      <c r="G134" s="171" t="s">
        <v>302</v>
      </c>
      <c r="H134" s="168"/>
      <c r="I134" s="166"/>
      <c r="J134" s="168"/>
      <c r="K134" s="168"/>
      <c r="L134" s="168"/>
      <c r="M134" s="168"/>
      <c r="N134" s="168"/>
      <c r="O134" s="168"/>
      <c r="P134" s="168"/>
      <c r="Q134" s="168"/>
      <c r="R134" t="str">
        <f t="shared" si="3"/>
        <v>E9 Data Ops</v>
      </c>
    </row>
    <row r="136" spans="1:18" x14ac:dyDescent="0.55000000000000004">
      <c r="A136" s="25" t="s">
        <v>303</v>
      </c>
      <c r="B136" s="5" t="s">
        <v>22</v>
      </c>
      <c r="C136" s="17" t="s">
        <v>231</v>
      </c>
      <c r="D136" s="19" t="s">
        <v>128</v>
      </c>
      <c r="E136" s="23" t="s">
        <v>145</v>
      </c>
      <c r="F136"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197" t="s">
        <v>304</v>
      </c>
      <c r="B1" s="187"/>
      <c r="C1" s="187"/>
      <c r="D1" s="187"/>
      <c r="E1" s="187"/>
      <c r="F1" s="187"/>
      <c r="G1" s="187"/>
      <c r="H1" s="187"/>
      <c r="I1" s="187"/>
      <c r="J1" s="187"/>
      <c r="K1" s="187"/>
      <c r="L1" s="187"/>
      <c r="M1" s="187"/>
      <c r="N1" s="187"/>
      <c r="O1" s="187"/>
      <c r="P1" s="187"/>
      <c r="Q1" s="187"/>
      <c r="R1" s="187"/>
      <c r="S1" s="187"/>
    </row>
    <row r="2" spans="1:19" ht="18" customHeight="1" x14ac:dyDescent="0.55000000000000004">
      <c r="A2" s="204" t="s">
        <v>305</v>
      </c>
      <c r="B2" s="187"/>
      <c r="C2" s="187"/>
      <c r="D2" s="187"/>
      <c r="E2" s="187"/>
      <c r="F2" s="187"/>
      <c r="G2" s="187"/>
      <c r="H2" s="187"/>
      <c r="I2" s="187"/>
      <c r="J2" s="187"/>
      <c r="K2" s="187"/>
      <c r="L2" s="187"/>
      <c r="M2" s="187"/>
      <c r="N2" s="187"/>
      <c r="O2" s="187"/>
      <c r="P2" s="187"/>
      <c r="Q2" s="187"/>
      <c r="R2" s="187"/>
      <c r="S2" s="187"/>
    </row>
    <row r="4" spans="1:19" ht="20.05" customHeight="1" x14ac:dyDescent="0.55000000000000004">
      <c r="A4" s="192" t="s">
        <v>306</v>
      </c>
      <c r="B4" s="187"/>
      <c r="C4" s="187"/>
      <c r="D4" s="187"/>
      <c r="E4" s="187"/>
      <c r="F4" s="187"/>
      <c r="G4" s="187"/>
      <c r="H4" s="187"/>
      <c r="I4" s="187"/>
      <c r="J4" s="187"/>
      <c r="K4" s="187"/>
      <c r="L4" s="187"/>
      <c r="M4" s="187"/>
      <c r="N4" s="187"/>
      <c r="O4" s="187"/>
      <c r="P4" s="187"/>
      <c r="Q4" s="187"/>
      <c r="R4" s="187"/>
      <c r="S4" s="187"/>
    </row>
    <row r="5" spans="1:19" ht="52" customHeight="1" x14ac:dyDescent="0.55000000000000004">
      <c r="A5" s="37" t="s">
        <v>307</v>
      </c>
      <c r="B5" s="182" t="s">
        <v>308</v>
      </c>
      <c r="C5" s="183"/>
      <c r="D5" s="184"/>
      <c r="E5" s="185" t="s">
        <v>309</v>
      </c>
      <c r="F5" s="183"/>
      <c r="G5" s="184"/>
      <c r="H5" s="185" t="s">
        <v>310</v>
      </c>
      <c r="I5" s="183"/>
      <c r="J5" s="184"/>
      <c r="K5" s="182" t="s">
        <v>311</v>
      </c>
      <c r="L5" s="183"/>
      <c r="M5" s="184"/>
      <c r="N5" s="189" t="s">
        <v>312</v>
      </c>
      <c r="O5" s="183"/>
      <c r="P5" s="184"/>
      <c r="Q5" s="189" t="s">
        <v>313</v>
      </c>
      <c r="R5" s="183"/>
      <c r="S5" s="184"/>
    </row>
    <row r="6" spans="1:19" ht="15" customHeight="1" x14ac:dyDescent="0.55000000000000004">
      <c r="B6" s="186" t="s">
        <v>314</v>
      </c>
      <c r="C6" s="187"/>
      <c r="D6" s="187"/>
      <c r="E6" s="187"/>
      <c r="F6" s="187"/>
      <c r="G6" s="187"/>
      <c r="H6" s="187"/>
      <c r="I6" s="187"/>
      <c r="J6" s="187"/>
      <c r="K6" s="187"/>
      <c r="L6" s="187"/>
      <c r="M6" s="187"/>
      <c r="N6" s="187"/>
      <c r="O6" s="187"/>
      <c r="P6" s="187"/>
      <c r="Q6" s="187"/>
      <c r="R6" s="187"/>
      <c r="S6" s="187"/>
    </row>
    <row r="7" spans="1:19" ht="20.05" customHeight="1" x14ac:dyDescent="0.55000000000000004">
      <c r="A7" s="192" t="s">
        <v>315</v>
      </c>
      <c r="B7" s="187"/>
      <c r="C7" s="187"/>
      <c r="D7" s="187"/>
      <c r="E7" s="187"/>
      <c r="F7" s="187"/>
      <c r="G7" s="187"/>
      <c r="H7" s="187"/>
      <c r="I7" s="187"/>
      <c r="J7" s="187"/>
      <c r="K7" s="187"/>
      <c r="L7" s="187"/>
      <c r="M7" s="187"/>
      <c r="N7" s="187"/>
      <c r="O7" s="187"/>
      <c r="P7" s="187"/>
      <c r="Q7" s="187"/>
      <c r="R7" s="187"/>
      <c r="S7" s="187"/>
    </row>
    <row r="8" spans="1:19" ht="46" customHeight="1" x14ac:dyDescent="0.55000000000000004">
      <c r="A8" s="37" t="s">
        <v>316</v>
      </c>
      <c r="B8" s="195" t="s">
        <v>317</v>
      </c>
      <c r="C8" s="183"/>
      <c r="D8" s="183"/>
      <c r="E8" s="183"/>
      <c r="F8" s="183"/>
      <c r="G8" s="183"/>
      <c r="H8" s="183"/>
      <c r="I8" s="183"/>
      <c r="J8" s="184"/>
      <c r="K8" s="195" t="s">
        <v>318</v>
      </c>
      <c r="L8" s="183"/>
      <c r="M8" s="183"/>
      <c r="N8" s="183"/>
      <c r="O8" s="183"/>
      <c r="P8" s="183"/>
      <c r="Q8" s="183"/>
      <c r="R8" s="183"/>
      <c r="S8" s="184"/>
    </row>
    <row r="9" spans="1:19" ht="15" customHeight="1" x14ac:dyDescent="0.55000000000000004">
      <c r="B9" s="186" t="s">
        <v>314</v>
      </c>
      <c r="C9" s="187"/>
      <c r="D9" s="187"/>
      <c r="E9" s="187"/>
      <c r="F9" s="187"/>
      <c r="G9" s="187"/>
      <c r="H9" s="187"/>
      <c r="I9" s="187"/>
      <c r="J9" s="187"/>
      <c r="K9" s="187"/>
      <c r="L9" s="187"/>
      <c r="M9" s="187"/>
      <c r="N9" s="187"/>
      <c r="O9" s="187"/>
      <c r="P9" s="187"/>
      <c r="Q9" s="187"/>
      <c r="R9" s="187"/>
      <c r="S9" s="187"/>
    </row>
    <row r="10" spans="1:19" ht="20.05" customHeight="1" x14ac:dyDescent="0.55000000000000004">
      <c r="A10" s="192" t="s">
        <v>319</v>
      </c>
      <c r="B10" s="187"/>
      <c r="C10" s="187"/>
      <c r="D10" s="187"/>
      <c r="E10" s="187"/>
      <c r="F10" s="187"/>
      <c r="G10" s="187"/>
      <c r="H10" s="187"/>
      <c r="I10" s="187"/>
      <c r="J10" s="187"/>
      <c r="K10" s="187"/>
      <c r="L10" s="187"/>
      <c r="M10" s="187"/>
      <c r="N10" s="187"/>
      <c r="O10" s="187"/>
      <c r="P10" s="187"/>
      <c r="Q10" s="187"/>
      <c r="R10" s="187"/>
      <c r="S10" s="187"/>
    </row>
    <row r="11" spans="1:19" ht="54" customHeight="1" x14ac:dyDescent="0.55000000000000004">
      <c r="A11" s="37" t="s">
        <v>320</v>
      </c>
      <c r="B11" s="182" t="s">
        <v>321</v>
      </c>
      <c r="C11" s="183"/>
      <c r="D11" s="184"/>
      <c r="E11" s="182" t="s">
        <v>322</v>
      </c>
      <c r="F11" s="183"/>
      <c r="G11" s="184"/>
      <c r="H11" s="182" t="s">
        <v>323</v>
      </c>
      <c r="I11" s="183"/>
      <c r="J11" s="184"/>
      <c r="K11" s="185" t="s">
        <v>324</v>
      </c>
      <c r="L11" s="183"/>
      <c r="M11" s="184"/>
      <c r="N11" s="182" t="s">
        <v>325</v>
      </c>
      <c r="O11" s="183"/>
      <c r="P11" s="184"/>
      <c r="Q11" s="182" t="s">
        <v>326</v>
      </c>
      <c r="R11" s="183"/>
      <c r="S11" s="184"/>
    </row>
    <row r="12" spans="1:19" ht="15" customHeight="1" x14ac:dyDescent="0.55000000000000004">
      <c r="B12" s="186" t="s">
        <v>314</v>
      </c>
      <c r="C12" s="187"/>
      <c r="D12" s="187"/>
      <c r="E12" s="187"/>
      <c r="F12" s="187"/>
      <c r="G12" s="187"/>
      <c r="H12" s="187"/>
      <c r="I12" s="187"/>
      <c r="J12" s="187"/>
      <c r="K12" s="187"/>
      <c r="L12" s="187"/>
      <c r="M12" s="187"/>
      <c r="N12" s="187"/>
      <c r="O12" s="187"/>
      <c r="P12" s="187"/>
      <c r="Q12" s="187"/>
      <c r="R12" s="187"/>
      <c r="S12" s="187"/>
    </row>
    <row r="13" spans="1:19" ht="20.05" customHeight="1" x14ac:dyDescent="0.55000000000000004">
      <c r="A13" s="192" t="s">
        <v>327</v>
      </c>
      <c r="B13" s="187"/>
      <c r="C13" s="187"/>
      <c r="D13" s="187"/>
      <c r="E13" s="187"/>
      <c r="F13" s="187"/>
      <c r="G13" s="187"/>
      <c r="H13" s="187"/>
      <c r="I13" s="187"/>
      <c r="J13" s="187"/>
      <c r="K13" s="187"/>
      <c r="L13" s="187"/>
      <c r="M13" s="187"/>
      <c r="N13" s="187"/>
      <c r="O13" s="187"/>
      <c r="P13" s="187"/>
      <c r="Q13" s="187"/>
      <c r="R13" s="187"/>
      <c r="S13" s="187"/>
    </row>
    <row r="14" spans="1:19" ht="52" customHeight="1" x14ac:dyDescent="0.55000000000000004">
      <c r="A14" s="37" t="s">
        <v>328</v>
      </c>
      <c r="B14" s="190" t="s">
        <v>329</v>
      </c>
      <c r="C14" s="183"/>
      <c r="D14" s="183"/>
      <c r="E14" s="183"/>
      <c r="F14" s="183"/>
      <c r="G14" s="184"/>
      <c r="H14" s="190" t="s">
        <v>330</v>
      </c>
      <c r="I14" s="183"/>
      <c r="J14" s="183"/>
      <c r="K14" s="183"/>
      <c r="L14" s="183"/>
      <c r="M14" s="184"/>
      <c r="N14" s="190" t="s">
        <v>331</v>
      </c>
      <c r="O14" s="183"/>
      <c r="P14" s="184"/>
      <c r="Q14" s="185" t="s">
        <v>332</v>
      </c>
      <c r="R14" s="183"/>
      <c r="S14" s="184"/>
    </row>
    <row r="15" spans="1:19" ht="15" customHeight="1" x14ac:dyDescent="0.55000000000000004">
      <c r="B15" s="186" t="s">
        <v>333</v>
      </c>
      <c r="C15" s="187"/>
      <c r="D15" s="187"/>
      <c r="E15" s="187"/>
      <c r="F15" s="187"/>
      <c r="G15" s="187"/>
      <c r="H15" s="187"/>
      <c r="I15" s="187"/>
      <c r="J15" s="187"/>
      <c r="K15" s="187"/>
      <c r="L15" s="187"/>
      <c r="M15" s="187"/>
      <c r="N15" s="187"/>
      <c r="O15" s="187"/>
      <c r="P15" s="187"/>
      <c r="Q15" s="187"/>
      <c r="R15" s="187"/>
      <c r="S15" s="187"/>
    </row>
    <row r="16" spans="1:19" ht="20.05" customHeight="1" x14ac:dyDescent="0.55000000000000004">
      <c r="A16" s="192" t="s">
        <v>334</v>
      </c>
      <c r="B16" s="187"/>
      <c r="C16" s="187"/>
      <c r="D16" s="187"/>
      <c r="E16" s="187"/>
      <c r="F16" s="187"/>
      <c r="G16" s="187"/>
      <c r="H16" s="187"/>
      <c r="I16" s="187"/>
      <c r="J16" s="187"/>
      <c r="K16" s="187"/>
      <c r="L16" s="187"/>
      <c r="M16" s="187"/>
      <c r="N16" s="187"/>
      <c r="O16" s="187"/>
      <c r="P16" s="187"/>
      <c r="Q16" s="187"/>
      <c r="R16" s="187"/>
      <c r="S16" s="187"/>
    </row>
    <row r="17" spans="1:19" ht="54" customHeight="1" x14ac:dyDescent="0.55000000000000004">
      <c r="A17" s="37" t="s">
        <v>335</v>
      </c>
      <c r="B17" s="191" t="s">
        <v>336</v>
      </c>
      <c r="C17" s="183"/>
      <c r="D17" s="183"/>
      <c r="E17" s="183"/>
      <c r="F17" s="183"/>
      <c r="G17" s="184"/>
      <c r="H17" s="191" t="s">
        <v>337</v>
      </c>
      <c r="I17" s="183"/>
      <c r="J17" s="184"/>
      <c r="K17" s="191" t="s">
        <v>338</v>
      </c>
      <c r="L17" s="183"/>
      <c r="M17" s="184"/>
      <c r="N17" s="191" t="s">
        <v>339</v>
      </c>
      <c r="O17" s="183"/>
      <c r="P17" s="184"/>
      <c r="Q17" s="191" t="s">
        <v>340</v>
      </c>
      <c r="R17" s="183"/>
      <c r="S17" s="184"/>
    </row>
    <row r="18" spans="1:19" ht="15" customHeight="1" x14ac:dyDescent="0.55000000000000004">
      <c r="B18" s="186" t="s">
        <v>314</v>
      </c>
      <c r="C18" s="187"/>
      <c r="D18" s="187"/>
      <c r="E18" s="187"/>
      <c r="F18" s="187"/>
      <c r="G18" s="187"/>
      <c r="H18" s="187"/>
      <c r="I18" s="187"/>
      <c r="J18" s="187"/>
      <c r="K18" s="187"/>
      <c r="L18" s="187"/>
      <c r="M18" s="187"/>
      <c r="N18" s="187"/>
      <c r="O18" s="187"/>
      <c r="P18" s="187"/>
      <c r="Q18" s="187"/>
      <c r="R18" s="187"/>
      <c r="S18" s="187"/>
    </row>
    <row r="19" spans="1:19" ht="20.05" customHeight="1" x14ac:dyDescent="0.55000000000000004">
      <c r="A19" s="192" t="s">
        <v>341</v>
      </c>
      <c r="B19" s="187"/>
      <c r="C19" s="187"/>
      <c r="D19" s="187"/>
      <c r="E19" s="187"/>
      <c r="F19" s="187"/>
      <c r="G19" s="187"/>
      <c r="H19" s="187"/>
      <c r="I19" s="187"/>
      <c r="J19" s="187"/>
      <c r="K19" s="187"/>
      <c r="L19" s="187"/>
      <c r="M19" s="187"/>
      <c r="N19" s="187"/>
      <c r="O19" s="187"/>
      <c r="P19" s="187"/>
      <c r="Q19" s="187"/>
      <c r="R19" s="187"/>
      <c r="S19" s="187"/>
    </row>
    <row r="20" spans="1:19" ht="46" customHeight="1" x14ac:dyDescent="0.55000000000000004">
      <c r="A20" s="37" t="s">
        <v>342</v>
      </c>
      <c r="B20" s="193" t="s">
        <v>343</v>
      </c>
      <c r="C20" s="183"/>
      <c r="D20" s="183"/>
      <c r="E20" s="183"/>
      <c r="F20" s="183"/>
      <c r="G20" s="184"/>
      <c r="H20" s="193" t="s">
        <v>344</v>
      </c>
      <c r="I20" s="183"/>
      <c r="J20" s="183"/>
      <c r="K20" s="183"/>
      <c r="L20" s="183"/>
      <c r="M20" s="184"/>
      <c r="N20" s="193" t="s">
        <v>345</v>
      </c>
      <c r="O20" s="183"/>
      <c r="P20" s="183"/>
      <c r="Q20" s="183"/>
      <c r="R20" s="183"/>
      <c r="S20" s="184"/>
    </row>
    <row r="21" spans="1:19" ht="15" customHeight="1" x14ac:dyDescent="0.55000000000000004">
      <c r="B21" s="186" t="s">
        <v>314</v>
      </c>
      <c r="C21" s="187"/>
      <c r="D21" s="187"/>
      <c r="E21" s="187"/>
      <c r="F21" s="187"/>
      <c r="G21" s="187"/>
      <c r="H21" s="187"/>
      <c r="I21" s="187"/>
      <c r="J21" s="187"/>
      <c r="K21" s="187"/>
      <c r="L21" s="187"/>
      <c r="M21" s="187"/>
      <c r="N21" s="187"/>
      <c r="O21" s="187"/>
      <c r="P21" s="187"/>
      <c r="Q21" s="187"/>
      <c r="R21" s="187"/>
      <c r="S21" s="187"/>
    </row>
    <row r="22" spans="1:19" ht="20.05" customHeight="1" x14ac:dyDescent="0.55000000000000004">
      <c r="A22" s="192" t="s">
        <v>346</v>
      </c>
      <c r="B22" s="187"/>
      <c r="C22" s="187"/>
      <c r="D22" s="187"/>
      <c r="E22" s="187"/>
      <c r="F22" s="187"/>
      <c r="G22" s="187"/>
      <c r="H22" s="187"/>
      <c r="I22" s="187"/>
      <c r="J22" s="187"/>
      <c r="K22" s="187"/>
      <c r="L22" s="187"/>
      <c r="M22" s="187"/>
      <c r="N22" s="187"/>
      <c r="O22" s="187"/>
      <c r="P22" s="187"/>
      <c r="Q22" s="187"/>
      <c r="R22" s="187"/>
      <c r="S22" s="187"/>
    </row>
    <row r="23" spans="1:19" ht="52" customHeight="1" x14ac:dyDescent="0.55000000000000004">
      <c r="A23" s="37" t="s">
        <v>347</v>
      </c>
      <c r="B23" s="193" t="s">
        <v>348</v>
      </c>
      <c r="C23" s="183"/>
      <c r="D23" s="183"/>
      <c r="E23" s="183"/>
      <c r="F23" s="183"/>
      <c r="G23" s="184"/>
      <c r="H23" s="193" t="s">
        <v>349</v>
      </c>
      <c r="I23" s="183"/>
      <c r="J23" s="184"/>
      <c r="K23" s="193" t="s">
        <v>350</v>
      </c>
      <c r="L23" s="183"/>
      <c r="M23" s="184"/>
      <c r="N23" s="193" t="s">
        <v>351</v>
      </c>
      <c r="O23" s="183"/>
      <c r="P23" s="184"/>
      <c r="Q23" s="189" t="s">
        <v>352</v>
      </c>
      <c r="R23" s="183"/>
      <c r="S23" s="184"/>
    </row>
    <row r="26" spans="1:19" ht="20.05" customHeight="1" x14ac:dyDescent="0.55000000000000004">
      <c r="A26" s="198" t="s">
        <v>353</v>
      </c>
      <c r="B26" s="187"/>
      <c r="C26" s="187"/>
      <c r="D26" s="187"/>
      <c r="E26" s="187"/>
      <c r="F26" s="187"/>
      <c r="G26" s="187"/>
      <c r="H26" s="187"/>
      <c r="I26" s="187"/>
      <c r="J26" s="187"/>
      <c r="K26" s="187"/>
      <c r="L26" s="187"/>
      <c r="M26" s="187"/>
      <c r="N26" s="187"/>
      <c r="O26" s="187"/>
      <c r="P26" s="187"/>
      <c r="Q26" s="187"/>
      <c r="R26" s="187"/>
      <c r="S26" s="187"/>
    </row>
    <row r="27" spans="1:19" ht="52" customHeight="1" x14ac:dyDescent="0.55000000000000004">
      <c r="A27" s="37" t="s">
        <v>354</v>
      </c>
      <c r="B27" s="182" t="s">
        <v>355</v>
      </c>
      <c r="C27" s="183"/>
      <c r="D27" s="184"/>
      <c r="E27" s="182" t="s">
        <v>356</v>
      </c>
      <c r="F27" s="183"/>
      <c r="G27" s="184"/>
      <c r="H27" s="190" t="s">
        <v>357</v>
      </c>
      <c r="I27" s="183"/>
      <c r="J27" s="184"/>
      <c r="K27" s="191" t="s">
        <v>358</v>
      </c>
      <c r="L27" s="183"/>
      <c r="M27" s="184"/>
      <c r="N27" s="191" t="s">
        <v>359</v>
      </c>
      <c r="O27" s="183"/>
      <c r="P27" s="184"/>
      <c r="Q27" s="190" t="s">
        <v>360</v>
      </c>
      <c r="R27" s="183"/>
      <c r="S27" s="184"/>
    </row>
    <row r="30" spans="1:19" ht="20.05" customHeight="1" x14ac:dyDescent="0.55000000000000004">
      <c r="A30" s="192" t="s">
        <v>361</v>
      </c>
      <c r="B30" s="187"/>
      <c r="C30" s="187"/>
      <c r="D30" s="187"/>
      <c r="E30" s="187"/>
      <c r="F30" s="187"/>
      <c r="G30" s="187"/>
      <c r="H30" s="187"/>
      <c r="I30" s="187"/>
      <c r="J30" s="187"/>
      <c r="K30" s="187"/>
      <c r="L30" s="187"/>
      <c r="M30" s="187"/>
      <c r="N30" s="187"/>
      <c r="O30" s="187"/>
      <c r="P30" s="187"/>
      <c r="Q30" s="187"/>
      <c r="R30" s="187"/>
      <c r="S30" s="187"/>
    </row>
    <row r="31" spans="1:19" ht="16" customHeight="1" x14ac:dyDescent="0.55000000000000004">
      <c r="A31" s="188" t="s">
        <v>362</v>
      </c>
      <c r="B31" s="187"/>
      <c r="C31" s="187"/>
      <c r="D31" s="187"/>
      <c r="E31" s="187"/>
      <c r="F31" s="187"/>
      <c r="G31" s="187"/>
      <c r="H31" s="187"/>
      <c r="I31" s="187"/>
      <c r="J31" s="187"/>
      <c r="K31" s="187"/>
      <c r="L31" s="187"/>
      <c r="M31" s="187"/>
      <c r="N31" s="187"/>
      <c r="O31" s="187"/>
      <c r="P31" s="187"/>
      <c r="Q31" s="187"/>
      <c r="R31" s="187"/>
      <c r="S31" s="187"/>
    </row>
    <row r="32" spans="1:19" ht="16" customHeight="1" x14ac:dyDescent="0.55000000000000004">
      <c r="A32" s="188" t="s">
        <v>363</v>
      </c>
      <c r="B32" s="187"/>
      <c r="C32" s="187"/>
      <c r="D32" s="187"/>
      <c r="E32" s="187"/>
      <c r="F32" s="187"/>
      <c r="G32" s="187"/>
      <c r="H32" s="187"/>
      <c r="I32" s="187"/>
      <c r="J32" s="187"/>
      <c r="K32" s="187"/>
      <c r="L32" s="187"/>
      <c r="M32" s="187"/>
      <c r="N32" s="187"/>
      <c r="O32" s="187"/>
      <c r="P32" s="187"/>
      <c r="Q32" s="187"/>
      <c r="R32" s="187"/>
      <c r="S32" s="187"/>
    </row>
    <row r="33" spans="1:19" ht="16" customHeight="1" x14ac:dyDescent="0.55000000000000004">
      <c r="A33" s="188" t="s">
        <v>364</v>
      </c>
      <c r="B33" s="187"/>
      <c r="C33" s="187"/>
      <c r="D33" s="187"/>
      <c r="E33" s="187"/>
      <c r="F33" s="187"/>
      <c r="G33" s="187"/>
      <c r="H33" s="187"/>
      <c r="I33" s="187"/>
      <c r="J33" s="187"/>
      <c r="K33" s="187"/>
      <c r="L33" s="187"/>
      <c r="M33" s="187"/>
      <c r="N33" s="187"/>
      <c r="O33" s="187"/>
      <c r="P33" s="187"/>
      <c r="Q33" s="187"/>
      <c r="R33" s="187"/>
      <c r="S33" s="187"/>
    </row>
    <row r="34" spans="1:19" ht="16" customHeight="1" x14ac:dyDescent="0.55000000000000004">
      <c r="A34" s="188" t="s">
        <v>365</v>
      </c>
      <c r="B34" s="187"/>
      <c r="C34" s="187"/>
      <c r="D34" s="187"/>
      <c r="E34" s="187"/>
      <c r="F34" s="187"/>
      <c r="G34" s="187"/>
      <c r="H34" s="187"/>
      <c r="I34" s="187"/>
      <c r="J34" s="187"/>
      <c r="K34" s="187"/>
      <c r="L34" s="187"/>
      <c r="M34" s="187"/>
      <c r="N34" s="187"/>
      <c r="O34" s="187"/>
      <c r="P34" s="187"/>
      <c r="Q34" s="187"/>
      <c r="R34" s="187"/>
      <c r="S34" s="187"/>
    </row>
    <row r="35" spans="1:19" ht="16" customHeight="1" x14ac:dyDescent="0.55000000000000004">
      <c r="A35" s="188" t="s">
        <v>366</v>
      </c>
      <c r="B35" s="187"/>
      <c r="C35" s="187"/>
      <c r="D35" s="187"/>
      <c r="E35" s="187"/>
      <c r="F35" s="187"/>
      <c r="G35" s="187"/>
      <c r="H35" s="187"/>
      <c r="I35" s="187"/>
      <c r="J35" s="187"/>
      <c r="K35" s="187"/>
      <c r="L35" s="187"/>
      <c r="M35" s="187"/>
      <c r="N35" s="187"/>
      <c r="O35" s="187"/>
      <c r="P35" s="187"/>
      <c r="Q35" s="187"/>
      <c r="R35" s="187"/>
      <c r="S35" s="187"/>
    </row>
    <row r="36" spans="1:19" ht="16" customHeight="1" x14ac:dyDescent="0.55000000000000004">
      <c r="A36" s="188" t="s">
        <v>367</v>
      </c>
      <c r="B36" s="187"/>
      <c r="C36" s="187"/>
      <c r="D36" s="187"/>
      <c r="E36" s="187"/>
      <c r="F36" s="187"/>
      <c r="G36" s="187"/>
      <c r="H36" s="187"/>
      <c r="I36" s="187"/>
      <c r="J36" s="187"/>
      <c r="K36" s="187"/>
      <c r="L36" s="187"/>
      <c r="M36" s="187"/>
      <c r="N36" s="187"/>
      <c r="O36" s="187"/>
      <c r="P36" s="187"/>
      <c r="Q36" s="187"/>
      <c r="R36" s="187"/>
      <c r="S36" s="187"/>
    </row>
    <row r="37" spans="1:19" ht="16" customHeight="1" x14ac:dyDescent="0.55000000000000004">
      <c r="A37" s="199" t="s">
        <v>368</v>
      </c>
      <c r="B37" s="187"/>
      <c r="C37" s="187"/>
      <c r="D37" s="187"/>
      <c r="E37" s="187"/>
      <c r="F37" s="187"/>
      <c r="G37" s="187"/>
      <c r="H37" s="187"/>
      <c r="I37" s="187"/>
      <c r="J37" s="187"/>
      <c r="K37" s="187"/>
      <c r="L37" s="187"/>
      <c r="M37" s="187"/>
      <c r="N37" s="187"/>
      <c r="O37" s="187"/>
      <c r="P37" s="187"/>
      <c r="Q37" s="187"/>
      <c r="R37" s="187"/>
      <c r="S37" s="187"/>
    </row>
    <row r="39" spans="1:19" ht="18" customHeight="1" x14ac:dyDescent="0.55000000000000004">
      <c r="A39" s="38" t="s">
        <v>303</v>
      </c>
      <c r="B39" s="202" t="s">
        <v>369</v>
      </c>
      <c r="C39" s="187"/>
      <c r="D39" s="187"/>
      <c r="E39" s="200" t="s">
        <v>370</v>
      </c>
      <c r="F39" s="187"/>
      <c r="G39" s="187"/>
      <c r="H39" s="203" t="s">
        <v>371</v>
      </c>
      <c r="I39" s="187"/>
      <c r="J39" s="187"/>
      <c r="K39" s="196" t="s">
        <v>372</v>
      </c>
      <c r="L39" s="187"/>
      <c r="M39" s="187"/>
      <c r="N39" s="194" t="s">
        <v>45</v>
      </c>
      <c r="O39" s="187"/>
      <c r="P39" s="187"/>
      <c r="Q39" s="201" t="s">
        <v>373</v>
      </c>
      <c r="R39" s="187"/>
      <c r="S39" s="187"/>
    </row>
  </sheetData>
  <mergeCells count="67">
    <mergeCell ref="A1:S1"/>
    <mergeCell ref="H14:M14"/>
    <mergeCell ref="N27:P27"/>
    <mergeCell ref="A26:S26"/>
    <mergeCell ref="A16:S16"/>
    <mergeCell ref="H20:M20"/>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05" t="s">
        <v>374</v>
      </c>
      <c r="B1" s="179"/>
      <c r="C1" s="179"/>
      <c r="D1" s="179"/>
      <c r="E1" s="179"/>
      <c r="F1" s="180"/>
    </row>
    <row r="3" spans="1:6" x14ac:dyDescent="0.55000000000000004">
      <c r="A3" s="1" t="s">
        <v>2</v>
      </c>
      <c r="B3" s="1" t="s">
        <v>375</v>
      </c>
      <c r="C3" s="1" t="s">
        <v>22</v>
      </c>
      <c r="D3" s="1" t="s">
        <v>376</v>
      </c>
      <c r="E3" s="1" t="s">
        <v>145</v>
      </c>
      <c r="F3" s="1" t="s">
        <v>377</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15</v>
      </c>
      <c r="C10" s="26">
        <f>COUNTIFS('Delivery Board'!$R$5:$R$500,$A10,'Delivery Board'!$C$5:$C$500,"Done")</f>
        <v>11</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0.73333333333333328</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21</v>
      </c>
      <c r="C12" s="26">
        <f>COUNTIFS('Delivery Board'!$R$5:$R$500,$A12,'Delivery Board'!$C$5:$C$500,"Done")</f>
        <v>6</v>
      </c>
      <c r="D12" s="26">
        <f>COUNTIFS('Delivery Board'!$R$5:$R$500,$A12,'Delivery Board'!$C$5:$C$500,"Planned")+COUNTIFS('Delivery Board'!$R$5:$R$500,$A12,'Delivery Board'!$C$5:$C$500,"In progress")+COUNTIFS('Delivery Board'!$R$5:$R$500,$A12,'Delivery Board'!$C$5:$C$500,"Milestone")</f>
        <v>13</v>
      </c>
      <c r="E12" s="26">
        <f>COUNTIFS('Delivery Board'!$R$5:$R$500,$A12,'Delivery Board'!$C$5:$C$500,"Blocked")</f>
        <v>2</v>
      </c>
      <c r="F12" s="27">
        <f t="shared" si="1"/>
        <v>0.2857142857142857</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378</v>
      </c>
      <c r="B16" s="29">
        <f>SUM(B4:B14)</f>
        <v>130</v>
      </c>
      <c r="C16" s="29">
        <f>SUM(C4:C14)</f>
        <v>85</v>
      </c>
      <c r="D16">
        <f>SUM(D4:D14)</f>
        <v>43</v>
      </c>
      <c r="E16">
        <f>SUM(E4:E14)</f>
        <v>2</v>
      </c>
      <c r="F16" s="30">
        <f>IF(B16=0,0,C16/B16)</f>
        <v>0.65384615384615385</v>
      </c>
    </row>
    <row r="18" spans="1:2" x14ac:dyDescent="0.55000000000000004">
      <c r="A18" s="43" t="s">
        <v>379</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380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8"/>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05" t="s">
        <v>381</v>
      </c>
      <c r="B1" s="179"/>
      <c r="C1" s="179"/>
      <c r="D1" s="179"/>
      <c r="E1" s="180"/>
    </row>
    <row r="3" spans="1:5" x14ac:dyDescent="0.55000000000000004">
      <c r="A3" s="31" t="s">
        <v>382</v>
      </c>
      <c r="B3" s="31" t="s">
        <v>383</v>
      </c>
      <c r="C3" s="31" t="s">
        <v>384</v>
      </c>
      <c r="D3" s="31" t="s">
        <v>4</v>
      </c>
      <c r="E3" s="31" t="s">
        <v>385</v>
      </c>
    </row>
    <row r="4" spans="1:5" ht="28" customHeight="1" x14ac:dyDescent="0.55000000000000004">
      <c r="A4" s="32" t="s">
        <v>386</v>
      </c>
      <c r="B4" s="12" t="s">
        <v>387</v>
      </c>
      <c r="C4" s="23" t="s">
        <v>388</v>
      </c>
      <c r="D4" s="12" t="s">
        <v>389</v>
      </c>
      <c r="E4" s="33" t="s">
        <v>390</v>
      </c>
    </row>
    <row r="5" spans="1:5" ht="28" customHeight="1" x14ac:dyDescent="0.55000000000000004">
      <c r="A5" s="34" t="s">
        <v>391</v>
      </c>
      <c r="B5" s="6" t="s">
        <v>387</v>
      </c>
      <c r="C5" s="21" t="s">
        <v>392</v>
      </c>
      <c r="D5" s="6" t="s">
        <v>389</v>
      </c>
      <c r="E5" s="35" t="s">
        <v>393</v>
      </c>
    </row>
    <row r="6" spans="1:5" ht="28" customHeight="1" x14ac:dyDescent="0.55000000000000004">
      <c r="A6" s="32" t="s">
        <v>394</v>
      </c>
      <c r="B6" s="12" t="s">
        <v>395</v>
      </c>
      <c r="C6" s="23" t="s">
        <v>388</v>
      </c>
      <c r="D6" s="12" t="s">
        <v>128</v>
      </c>
      <c r="E6" s="33" t="s">
        <v>396</v>
      </c>
    </row>
    <row r="7" spans="1:5" ht="28" customHeight="1" x14ac:dyDescent="0.55000000000000004">
      <c r="A7" s="34" t="s">
        <v>397</v>
      </c>
      <c r="B7" s="6" t="s">
        <v>387</v>
      </c>
      <c r="C7" s="21" t="s">
        <v>392</v>
      </c>
      <c r="D7" s="6" t="s">
        <v>128</v>
      </c>
      <c r="E7" s="35" t="s">
        <v>398</v>
      </c>
    </row>
    <row r="8" spans="1:5" ht="28" customHeight="1" x14ac:dyDescent="0.55000000000000004">
      <c r="A8" s="32" t="s">
        <v>399</v>
      </c>
      <c r="B8" s="12" t="s">
        <v>395</v>
      </c>
      <c r="C8" s="19" t="s">
        <v>400</v>
      </c>
      <c r="D8" s="12" t="s">
        <v>401</v>
      </c>
      <c r="E8" s="33" t="s">
        <v>402</v>
      </c>
    </row>
    <row r="9" spans="1:5" ht="28" customHeight="1" x14ac:dyDescent="0.55000000000000004">
      <c r="A9" s="34" t="s">
        <v>403</v>
      </c>
      <c r="B9" s="6" t="s">
        <v>387</v>
      </c>
      <c r="C9" s="21" t="s">
        <v>392</v>
      </c>
      <c r="D9" s="6" t="s">
        <v>404</v>
      </c>
      <c r="E9" s="35" t="s">
        <v>405</v>
      </c>
    </row>
    <row r="10" spans="1:5" ht="28" customHeight="1" x14ac:dyDescent="0.55000000000000004">
      <c r="A10" s="32" t="s">
        <v>406</v>
      </c>
      <c r="B10" s="12" t="s">
        <v>407</v>
      </c>
      <c r="C10" s="19" t="s">
        <v>400</v>
      </c>
      <c r="D10" s="12" t="s">
        <v>389</v>
      </c>
      <c r="E10" s="33" t="s">
        <v>408</v>
      </c>
    </row>
    <row r="11" spans="1:5" ht="28" customHeight="1" x14ac:dyDescent="0.55000000000000004">
      <c r="A11" s="34" t="s">
        <v>409</v>
      </c>
      <c r="B11" s="6" t="s">
        <v>395</v>
      </c>
      <c r="C11" s="21" t="s">
        <v>392</v>
      </c>
      <c r="D11" s="6" t="s">
        <v>128</v>
      </c>
      <c r="E11" s="35" t="s">
        <v>410</v>
      </c>
    </row>
    <row r="12" spans="1:5" ht="28" customHeight="1" x14ac:dyDescent="0.55000000000000004">
      <c r="A12" s="32" t="s">
        <v>411</v>
      </c>
      <c r="B12" s="12" t="s">
        <v>395</v>
      </c>
      <c r="C12" s="36" t="s">
        <v>412</v>
      </c>
      <c r="D12" s="12" t="s">
        <v>413</v>
      </c>
      <c r="E12" s="33" t="s">
        <v>414</v>
      </c>
    </row>
    <row r="13" spans="1:5" ht="28" customHeight="1" x14ac:dyDescent="0.55000000000000004">
      <c r="A13" s="34" t="s">
        <v>415</v>
      </c>
      <c r="B13" s="6" t="s">
        <v>395</v>
      </c>
      <c r="C13" s="19" t="s">
        <v>400</v>
      </c>
      <c r="D13" s="6" t="s">
        <v>413</v>
      </c>
      <c r="E13" s="35" t="s">
        <v>416</v>
      </c>
    </row>
    <row r="14" spans="1:5" ht="28" customHeight="1" x14ac:dyDescent="0.55000000000000004">
      <c r="A14" s="32" t="s">
        <v>417</v>
      </c>
      <c r="B14" s="12" t="s">
        <v>387</v>
      </c>
      <c r="C14" s="19" t="s">
        <v>400</v>
      </c>
      <c r="D14" s="12" t="s">
        <v>128</v>
      </c>
      <c r="E14" s="33" t="s">
        <v>418</v>
      </c>
    </row>
    <row r="15" spans="1:5" ht="28" customHeight="1" x14ac:dyDescent="0.55000000000000004">
      <c r="A15" s="34" t="s">
        <v>419</v>
      </c>
      <c r="B15" s="6" t="s">
        <v>387</v>
      </c>
      <c r="C15" s="19" t="s">
        <v>400</v>
      </c>
      <c r="D15" s="6" t="s">
        <v>389</v>
      </c>
      <c r="E15" s="35" t="s">
        <v>420</v>
      </c>
    </row>
    <row r="16" spans="1:5" ht="30" customHeight="1" x14ac:dyDescent="0.55000000000000004">
      <c r="A16" s="32" t="s">
        <v>421</v>
      </c>
      <c r="B16" s="12" t="s">
        <v>387</v>
      </c>
      <c r="C16" s="21" t="s">
        <v>392</v>
      </c>
      <c r="D16" s="12" t="s">
        <v>422</v>
      </c>
      <c r="E16" s="33" t="s">
        <v>423</v>
      </c>
    </row>
    <row r="17" spans="1:5" ht="30" customHeight="1" x14ac:dyDescent="0.55000000000000004">
      <c r="A17" s="34" t="s">
        <v>424</v>
      </c>
      <c r="B17" s="6" t="s">
        <v>387</v>
      </c>
      <c r="C17" s="23" t="s">
        <v>388</v>
      </c>
      <c r="D17" s="6" t="s">
        <v>389</v>
      </c>
      <c r="E17" s="35" t="s">
        <v>425</v>
      </c>
    </row>
    <row r="18" spans="1:5" ht="30" customHeight="1" x14ac:dyDescent="0.55000000000000004">
      <c r="A18" s="32" t="s">
        <v>426</v>
      </c>
      <c r="B18" s="12" t="s">
        <v>395</v>
      </c>
      <c r="C18" s="19" t="s">
        <v>400</v>
      </c>
      <c r="D18" s="12" t="s">
        <v>401</v>
      </c>
      <c r="E18" s="33" t="s">
        <v>427</v>
      </c>
    </row>
    <row r="19" spans="1:5" ht="30" customHeight="1" x14ac:dyDescent="0.55000000000000004">
      <c r="A19" s="34" t="s">
        <v>428</v>
      </c>
      <c r="B19" s="6" t="s">
        <v>387</v>
      </c>
      <c r="C19" s="19" t="s">
        <v>400</v>
      </c>
      <c r="D19" s="6" t="s">
        <v>389</v>
      </c>
      <c r="E19" s="35" t="s">
        <v>429</v>
      </c>
    </row>
    <row r="20" spans="1:5" ht="32.049999999999997" customHeight="1" x14ac:dyDescent="0.55000000000000004">
      <c r="A20" s="32" t="s">
        <v>430</v>
      </c>
      <c r="B20" s="12" t="s">
        <v>431</v>
      </c>
      <c r="C20" s="23" t="s">
        <v>388</v>
      </c>
      <c r="D20" s="12" t="s">
        <v>432</v>
      </c>
      <c r="E20" s="33" t="s">
        <v>433</v>
      </c>
    </row>
    <row r="21" spans="1:5" ht="32.049999999999997" customHeight="1" x14ac:dyDescent="0.55000000000000004">
      <c r="A21" s="34" t="s">
        <v>434</v>
      </c>
      <c r="B21" s="6" t="s">
        <v>387</v>
      </c>
      <c r="C21" s="21" t="s">
        <v>392</v>
      </c>
      <c r="D21" s="6" t="s">
        <v>422</v>
      </c>
      <c r="E21" s="35" t="s">
        <v>435</v>
      </c>
    </row>
    <row r="22" spans="1:5" ht="32.049999999999997" customHeight="1" x14ac:dyDescent="0.55000000000000004">
      <c r="A22" s="32" t="s">
        <v>436</v>
      </c>
      <c r="B22" s="12" t="s">
        <v>437</v>
      </c>
      <c r="C22" s="19" t="s">
        <v>400</v>
      </c>
      <c r="D22" s="12" t="s">
        <v>389</v>
      </c>
      <c r="E22" s="33" t="s">
        <v>438</v>
      </c>
    </row>
    <row r="23" spans="1:5" ht="32.049999999999997" customHeight="1" x14ac:dyDescent="0.55000000000000004">
      <c r="A23" s="34" t="s">
        <v>439</v>
      </c>
      <c r="B23" s="6" t="s">
        <v>437</v>
      </c>
      <c r="C23" s="19" t="s">
        <v>400</v>
      </c>
      <c r="D23" s="6" t="s">
        <v>389</v>
      </c>
      <c r="E23" s="35" t="s">
        <v>440</v>
      </c>
    </row>
    <row r="24" spans="1:5" ht="32.049999999999997" customHeight="1" x14ac:dyDescent="0.55000000000000004">
      <c r="A24" s="32" t="s">
        <v>441</v>
      </c>
      <c r="B24" s="12" t="s">
        <v>437</v>
      </c>
      <c r="C24" s="19" t="s">
        <v>400</v>
      </c>
      <c r="D24" s="12" t="s">
        <v>389</v>
      </c>
      <c r="E24" s="33" t="s">
        <v>442</v>
      </c>
    </row>
    <row r="25" spans="1:5" ht="32.049999999999997" customHeight="1" x14ac:dyDescent="0.55000000000000004">
      <c r="A25" s="58" t="s">
        <v>443</v>
      </c>
      <c r="B25" s="55" t="s">
        <v>401</v>
      </c>
      <c r="C25" s="59" t="s">
        <v>400</v>
      </c>
      <c r="D25" s="55" t="s">
        <v>389</v>
      </c>
      <c r="E25" s="60" t="s">
        <v>444</v>
      </c>
    </row>
    <row r="26" spans="1:5" ht="32.049999999999997" customHeight="1" x14ac:dyDescent="0.55000000000000004">
      <c r="A26" s="61" t="s">
        <v>445</v>
      </c>
      <c r="B26" s="49" t="s">
        <v>437</v>
      </c>
      <c r="C26" s="59" t="s">
        <v>412</v>
      </c>
      <c r="D26" s="49" t="s">
        <v>432</v>
      </c>
      <c r="E26" s="62" t="s">
        <v>446</v>
      </c>
    </row>
    <row r="27" spans="1:5" ht="32.049999999999997" customHeight="1" x14ac:dyDescent="0.55000000000000004">
      <c r="A27" s="58" t="s">
        <v>447</v>
      </c>
      <c r="B27" s="55" t="s">
        <v>401</v>
      </c>
      <c r="C27" s="59" t="s">
        <v>412</v>
      </c>
      <c r="D27" s="55" t="s">
        <v>389</v>
      </c>
      <c r="E27" s="60" t="s">
        <v>448</v>
      </c>
    </row>
    <row r="28" spans="1:5" ht="46" customHeight="1" x14ac:dyDescent="0.55000000000000004">
      <c r="A28" s="79" t="s">
        <v>449</v>
      </c>
      <c r="B28" s="66" t="s">
        <v>401</v>
      </c>
      <c r="C28" s="75" t="s">
        <v>392</v>
      </c>
      <c r="D28" s="107" t="s">
        <v>432</v>
      </c>
      <c r="E28" s="107" t="s">
        <v>450</v>
      </c>
    </row>
    <row r="29" spans="1:5" ht="46" customHeight="1" x14ac:dyDescent="0.55000000000000004">
      <c r="A29" s="80" t="s">
        <v>451</v>
      </c>
      <c r="B29" s="72" t="s">
        <v>387</v>
      </c>
      <c r="C29" s="77" t="s">
        <v>400</v>
      </c>
      <c r="D29" s="106" t="s">
        <v>432</v>
      </c>
      <c r="E29" s="106" t="s">
        <v>452</v>
      </c>
    </row>
    <row r="30" spans="1:5" ht="32.049999999999997" customHeight="1" x14ac:dyDescent="0.55000000000000004">
      <c r="A30" s="88" t="s">
        <v>453</v>
      </c>
      <c r="B30" s="84" t="s">
        <v>387</v>
      </c>
      <c r="C30" s="89" t="s">
        <v>400</v>
      </c>
      <c r="D30" s="84" t="s">
        <v>389</v>
      </c>
      <c r="E30" s="90" t="s">
        <v>454</v>
      </c>
    </row>
    <row r="31" spans="1:5" ht="32.049999999999997" customHeight="1" x14ac:dyDescent="0.55000000000000004">
      <c r="A31" s="105" t="s">
        <v>455</v>
      </c>
      <c r="B31" s="94" t="s">
        <v>437</v>
      </c>
      <c r="C31" s="103" t="s">
        <v>400</v>
      </c>
      <c r="D31" s="94" t="s">
        <v>456</v>
      </c>
      <c r="E31" s="106" t="s">
        <v>457</v>
      </c>
    </row>
    <row r="32" spans="1:5" ht="32.049999999999997" customHeight="1" x14ac:dyDescent="0.55000000000000004">
      <c r="A32" s="122" t="s">
        <v>458</v>
      </c>
      <c r="B32" s="117" t="s">
        <v>401</v>
      </c>
      <c r="C32" s="120" t="s">
        <v>400</v>
      </c>
      <c r="D32" s="117" t="s">
        <v>432</v>
      </c>
      <c r="E32" s="123" t="s">
        <v>459</v>
      </c>
    </row>
    <row r="33" spans="1:5" ht="32.049999999999997" customHeight="1" x14ac:dyDescent="0.55000000000000004">
      <c r="A33" s="124" t="s">
        <v>460</v>
      </c>
      <c r="B33" s="111" t="s">
        <v>387</v>
      </c>
      <c r="C33" s="120" t="s">
        <v>400</v>
      </c>
      <c r="D33" s="111" t="s">
        <v>422</v>
      </c>
      <c r="E33" s="125" t="s">
        <v>461</v>
      </c>
    </row>
    <row r="34" spans="1:5" ht="32.049999999999997" customHeight="1" x14ac:dyDescent="0.55000000000000004">
      <c r="A34" s="156" t="s">
        <v>462</v>
      </c>
      <c r="B34" s="150" t="s">
        <v>437</v>
      </c>
      <c r="C34" s="142" t="s">
        <v>392</v>
      </c>
      <c r="D34" s="150" t="s">
        <v>389</v>
      </c>
      <c r="E34" s="157" t="s">
        <v>463</v>
      </c>
    </row>
    <row r="35" spans="1:5" ht="32.049999999999997" customHeight="1" x14ac:dyDescent="0.55000000000000004">
      <c r="A35" s="158" t="s">
        <v>464</v>
      </c>
      <c r="B35" s="143" t="s">
        <v>387</v>
      </c>
      <c r="C35" s="154" t="s">
        <v>400</v>
      </c>
      <c r="D35" s="143" t="s">
        <v>389</v>
      </c>
      <c r="E35" s="159" t="s">
        <v>465</v>
      </c>
    </row>
    <row r="36" spans="1:5" ht="32.049999999999997" customHeight="1" x14ac:dyDescent="0.55000000000000004">
      <c r="A36" s="172" t="s">
        <v>399</v>
      </c>
      <c r="B36" s="169" t="s">
        <v>387</v>
      </c>
      <c r="C36" s="173" t="s">
        <v>388</v>
      </c>
      <c r="D36" s="169" t="s">
        <v>432</v>
      </c>
      <c r="E36" s="174" t="s">
        <v>466</v>
      </c>
    </row>
    <row r="37" spans="1:5" ht="32.049999999999997" customHeight="1" x14ac:dyDescent="0.55000000000000004">
      <c r="A37" s="175" t="s">
        <v>467</v>
      </c>
      <c r="B37" s="163" t="s">
        <v>437</v>
      </c>
      <c r="C37" s="176" t="s">
        <v>400</v>
      </c>
      <c r="D37" s="163" t="s">
        <v>389</v>
      </c>
      <c r="E37" s="177" t="s">
        <v>468</v>
      </c>
    </row>
    <row r="38" spans="1:5" ht="32.049999999999997" customHeight="1" x14ac:dyDescent="0.55000000000000004">
      <c r="A38" s="172" t="s">
        <v>469</v>
      </c>
      <c r="B38" s="169" t="s">
        <v>437</v>
      </c>
      <c r="C38" s="176" t="s">
        <v>412</v>
      </c>
      <c r="D38" s="169" t="s">
        <v>389</v>
      </c>
      <c r="E38" s="174" t="s">
        <v>470</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2026-08-05T14:36:23Z</dcterms:modified>
</cp:coreProperties>
</file>