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User\IdeaProjects\SportIQ\"/>
    </mc:Choice>
  </mc:AlternateContent>
  <xr:revisionPtr revIDLastSave="0" documentId="13_ncr:1_{E69EB30D-D30E-4A13-BB0E-B94633F4A487}" xr6:coauthVersionLast="47" xr6:coauthVersionMax="47" xr10:uidLastSave="{00000000-0000-0000-0000-000000000000}"/>
  <bookViews>
    <workbookView xWindow="-96" yWindow="-96" windowWidth="23232" windowHeight="12432" xr2:uid="{00000000-000D-0000-FFFF-FFFF00000000}"/>
  </bookViews>
  <sheets>
    <sheet name="Delivery Board" sheetId="1" r:id="rId1"/>
    <sheet name="Architecture" sheetId="2" r:id="rId2"/>
    <sheet name="Epic Summary" sheetId="3" r:id="rId3"/>
    <sheet name="Risks &amp; Decisions" sheetId="4" r:id="rId4"/>
    <sheet name="Edge Measurement" sheetId="5" r:id="rId5"/>
    <sheet name="APIs &amp; Quotas"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18" i="1" l="1"/>
  <c r="R217" i="1"/>
  <c r="R216" i="1"/>
  <c r="R215" i="1"/>
  <c r="R214" i="1"/>
  <c r="R213" i="1"/>
  <c r="R212" i="1"/>
  <c r="R211" i="1"/>
  <c r="R210" i="1"/>
  <c r="R209" i="1"/>
  <c r="R208" i="1"/>
  <c r="R207" i="1"/>
  <c r="R206" i="1"/>
  <c r="R204" i="1"/>
  <c r="R205" i="1" s="1"/>
  <c r="R203" i="1"/>
  <c r="R202" i="1"/>
  <c r="R201" i="1"/>
  <c r="R200" i="1"/>
  <c r="R199" i="1"/>
  <c r="R198" i="1"/>
  <c r="R197" i="1"/>
  <c r="R196" i="1"/>
  <c r="R194" i="1"/>
  <c r="R195" i="1" s="1"/>
  <c r="R193" i="1"/>
  <c r="R192" i="1"/>
  <c r="R191" i="1"/>
  <c r="R190" i="1"/>
  <c r="R189" i="1"/>
  <c r="R188" i="1"/>
  <c r="R186" i="1"/>
  <c r="R187" i="1" s="1"/>
  <c r="R185" i="1"/>
  <c r="R184" i="1"/>
  <c r="R182" i="1"/>
  <c r="R183" i="1" s="1"/>
  <c r="R181" i="1"/>
  <c r="R180" i="1"/>
  <c r="R179" i="1"/>
  <c r="R178" i="1"/>
  <c r="R177" i="1"/>
  <c r="R176" i="1"/>
  <c r="R175" i="1"/>
  <c r="R174" i="1"/>
  <c r="R173" i="1"/>
  <c r="R172" i="1"/>
  <c r="R171" i="1"/>
  <c r="R170" i="1"/>
  <c r="R169" i="1"/>
  <c r="R168" i="1"/>
  <c r="R167" i="1"/>
  <c r="R166" i="1"/>
  <c r="R165" i="1"/>
  <c r="R164" i="1"/>
  <c r="R163" i="1"/>
  <c r="R162" i="1"/>
  <c r="R161" i="1"/>
  <c r="R160" i="1"/>
  <c r="R159" i="1"/>
  <c r="R158" i="1"/>
  <c r="R157" i="1"/>
  <c r="R156" i="1"/>
  <c r="R155" i="1"/>
  <c r="R154" i="1"/>
  <c r="R153" i="1"/>
  <c r="R152" i="1"/>
  <c r="R151" i="1"/>
  <c r="R150" i="1"/>
  <c r="R149" i="1"/>
  <c r="R148" i="1"/>
  <c r="R147" i="1"/>
  <c r="R146" i="1"/>
  <c r="R145" i="1"/>
  <c r="R144" i="1"/>
  <c r="R143" i="1"/>
  <c r="R142" i="1"/>
  <c r="R141" i="1"/>
  <c r="R140" i="1"/>
  <c r="R139" i="1"/>
  <c r="R138" i="1"/>
  <c r="R137" i="1"/>
  <c r="R136" i="1"/>
  <c r="R135" i="1"/>
  <c r="R134" i="1"/>
  <c r="R133" i="1"/>
  <c r="R132" i="1"/>
  <c r="R131" i="1"/>
  <c r="R130" i="1"/>
  <c r="R129" i="1"/>
  <c r="R128" i="1"/>
  <c r="R127" i="1"/>
  <c r="R126" i="1"/>
  <c r="R125" i="1"/>
  <c r="R124" i="1"/>
  <c r="R123" i="1"/>
  <c r="R122" i="1"/>
  <c r="R121" i="1"/>
  <c r="R120" i="1"/>
  <c r="R119" i="1"/>
  <c r="R118" i="1"/>
  <c r="R117" i="1"/>
  <c r="R116" i="1"/>
  <c r="R115" i="1"/>
  <c r="R114" i="1"/>
  <c r="R113" i="1"/>
  <c r="R112" i="1"/>
  <c r="R111" i="1"/>
  <c r="R110" i="1"/>
  <c r="R109" i="1"/>
  <c r="R108" i="1"/>
  <c r="R107" i="1"/>
  <c r="R106" i="1"/>
  <c r="R105" i="1"/>
  <c r="R104" i="1"/>
  <c r="R103" i="1"/>
  <c r="R102" i="1"/>
  <c r="R101" i="1"/>
  <c r="R100" i="1"/>
  <c r="R99" i="1"/>
  <c r="R98" i="1"/>
  <c r="R97" i="1"/>
  <c r="R96" i="1"/>
  <c r="R95" i="1"/>
  <c r="R94" i="1"/>
  <c r="R93" i="1"/>
  <c r="R92" i="1"/>
  <c r="R91" i="1"/>
  <c r="R90" i="1"/>
  <c r="R89" i="1"/>
  <c r="R88" i="1"/>
  <c r="R87" i="1"/>
  <c r="R86" i="1"/>
  <c r="R80" i="1"/>
  <c r="R81" i="1" s="1"/>
  <c r="R82" i="1" s="1"/>
  <c r="R83" i="1" s="1"/>
  <c r="R84" i="1" s="1"/>
  <c r="R85" i="1" s="1"/>
  <c r="R67" i="1"/>
  <c r="R68" i="1" s="1"/>
  <c r="R69" i="1" s="1"/>
  <c r="R70" i="1" s="1"/>
  <c r="R71" i="1" s="1"/>
  <c r="R72" i="1" s="1"/>
  <c r="R73" i="1" s="1"/>
  <c r="R74" i="1" s="1"/>
  <c r="R75" i="1" s="1"/>
  <c r="R76" i="1" s="1"/>
  <c r="R77" i="1" s="1"/>
  <c r="R78" i="1" s="1"/>
  <c r="R79" i="1" s="1"/>
  <c r="R66" i="1"/>
  <c r="R52" i="1"/>
  <c r="R53" i="1" s="1"/>
  <c r="R54" i="1" s="1"/>
  <c r="R55" i="1" s="1"/>
  <c r="R56" i="1" s="1"/>
  <c r="R57" i="1" s="1"/>
  <c r="R58" i="1" s="1"/>
  <c r="R59" i="1" s="1"/>
  <c r="R60" i="1" s="1"/>
  <c r="R61" i="1" s="1"/>
  <c r="R62" i="1" s="1"/>
  <c r="R63" i="1" s="1"/>
  <c r="R64" i="1" s="1"/>
  <c r="R65" i="1" s="1"/>
  <c r="R38" i="1"/>
  <c r="R39" i="1" s="1"/>
  <c r="R40" i="1" s="1"/>
  <c r="R41" i="1" s="1"/>
  <c r="R42" i="1" s="1"/>
  <c r="R43" i="1" s="1"/>
  <c r="R44" i="1" s="1"/>
  <c r="R45" i="1" s="1"/>
  <c r="R46" i="1" s="1"/>
  <c r="R47" i="1" s="1"/>
  <c r="R48" i="1" s="1"/>
  <c r="R49" i="1" s="1"/>
  <c r="R50" i="1" s="1"/>
  <c r="R51" i="1" s="1"/>
  <c r="R31" i="1"/>
  <c r="R32" i="1" s="1"/>
  <c r="R33" i="1" s="1"/>
  <c r="R34" i="1" s="1"/>
  <c r="R35" i="1" s="1"/>
  <c r="R36" i="1" s="1"/>
  <c r="R37" i="1" s="1"/>
  <c r="R27" i="1"/>
  <c r="R28" i="1" s="1"/>
  <c r="R29" i="1" s="1"/>
  <c r="R30" i="1" s="1"/>
  <c r="R22" i="1"/>
  <c r="R23" i="1" s="1"/>
  <c r="R24" i="1" s="1"/>
  <c r="R25" i="1" s="1"/>
  <c r="R26" i="1" s="1"/>
  <c r="R17" i="1"/>
  <c r="R18" i="1" s="1"/>
  <c r="R19" i="1" s="1"/>
  <c r="R20" i="1" s="1"/>
  <c r="R21" i="1" s="1"/>
  <c r="R15" i="1"/>
  <c r="R16" i="1" s="1"/>
  <c r="R14" i="1"/>
  <c r="R9" i="1"/>
  <c r="R10" i="1" s="1"/>
  <c r="R11" i="1" s="1"/>
  <c r="R12" i="1" s="1"/>
  <c r="R13" i="1" s="1"/>
  <c r="R5" i="1"/>
  <c r="D4" i="3" l="1"/>
  <c r="D12" i="3"/>
  <c r="C5" i="3"/>
  <c r="R6" i="1"/>
  <c r="R7" i="1" s="1"/>
  <c r="R8" i="1" s="1"/>
  <c r="D5" i="3"/>
  <c r="E8" i="3"/>
  <c r="C10" i="3"/>
  <c r="C4" i="3"/>
  <c r="D7" i="3"/>
  <c r="E10" i="3"/>
  <c r="D9" i="3"/>
  <c r="E12" i="3"/>
  <c r="C14" i="3"/>
  <c r="D6" i="3"/>
  <c r="E13" i="3" l="1"/>
  <c r="E14" i="3"/>
  <c r="C6" i="3"/>
  <c r="D10" i="3"/>
  <c r="B10" i="3" s="1"/>
  <c r="F10" i="3" s="1"/>
  <c r="C9" i="3"/>
  <c r="D11" i="3"/>
  <c r="C13" i="3"/>
  <c r="C11" i="3"/>
  <c r="E7" i="3"/>
  <c r="E5" i="3"/>
  <c r="B5" i="3" s="1"/>
  <c r="F5" i="3" s="1"/>
  <c r="E11" i="3"/>
  <c r="E6" i="3"/>
  <c r="E4" i="3"/>
  <c r="B4" i="3" s="1"/>
  <c r="C7" i="3"/>
  <c r="C8" i="3"/>
  <c r="E9" i="3"/>
  <c r="C12" i="3"/>
  <c r="B12" i="3" s="1"/>
  <c r="F12" i="3" s="1"/>
  <c r="D13" i="3"/>
  <c r="D8" i="3"/>
  <c r="D14" i="3"/>
  <c r="B14" i="3" s="1"/>
  <c r="F14" i="3" s="1"/>
  <c r="B11" i="3" l="1"/>
  <c r="F11" i="3" s="1"/>
  <c r="D16" i="3"/>
  <c r="B6" i="3"/>
  <c r="F6" i="3" s="1"/>
  <c r="F4" i="3"/>
  <c r="B8" i="3"/>
  <c r="F8" i="3" s="1"/>
  <c r="B13" i="3"/>
  <c r="F13" i="3" s="1"/>
  <c r="B7" i="3"/>
  <c r="F7" i="3" s="1"/>
  <c r="E16" i="3"/>
  <c r="C16" i="3"/>
  <c r="B9" i="3"/>
  <c r="F9" i="3" s="1"/>
  <c r="B16" i="3" l="1"/>
  <c r="B18" i="3" l="1"/>
  <c r="F16" i="3"/>
</calcChain>
</file>

<file path=xl/sharedStrings.xml><?xml version="1.0" encoding="utf-8"?>
<sst xmlns="http://schemas.openxmlformats.org/spreadsheetml/2006/main" count="1926" uniqueCount="922">
  <si>
    <t>SportIQ — Delivery Board &amp; Roadmap</t>
  </si>
  <si>
    <t>Delivered dates are REAL (git history, first commit 2026-07-28). Dates from 2026-08-05 onward are PROPOSED. Updated 2026-08-04.</t>
  </si>
  <si>
    <t>Epic</t>
  </si>
  <si>
    <t>Feature / Deliverable</t>
  </si>
  <si>
    <t>Status</t>
  </si>
  <si>
    <t>Stream</t>
  </si>
  <si>
    <t>Start</t>
  </si>
  <si>
    <t>End</t>
  </si>
  <si>
    <t>Notes</t>
  </si>
  <si>
    <t>27 Jul</t>
  </si>
  <si>
    <t>03 Aug</t>
  </si>
  <si>
    <t>10 Aug</t>
  </si>
  <si>
    <t>17 Aug</t>
  </si>
  <si>
    <t>24 Aug</t>
  </si>
  <si>
    <t>31 Aug</t>
  </si>
  <si>
    <t>07 Sep</t>
  </si>
  <si>
    <t>14 Sep</t>
  </si>
  <si>
    <t>21 Sep</t>
  </si>
  <si>
    <t>28 Sep</t>
  </si>
  <si>
    <t>EpicKey (helper)</t>
  </si>
  <si>
    <t>E1 Foundation</t>
  </si>
  <si>
    <t>PRD/TDD, repo, CLAUDE.md guidance</t>
  </si>
  <si>
    <t>Done</t>
  </si>
  <si>
    <t>Platform</t>
  </si>
  <si>
    <t>First commit</t>
  </si>
  <si>
    <t>FastAPI scaffold, TDD §2.1 schema, Alembic</t>
  </si>
  <si>
    <t>All core tables</t>
  </si>
  <si>
    <t>Docker Compose (Postgres 16 + Redis 7)</t>
  </si>
  <si>
    <t>Local dev only</t>
  </si>
  <si>
    <t>CI: pytest, ruff, black, tsc</t>
  </si>
  <si>
    <t>GitHub Actions, green</t>
  </si>
  <si>
    <t>E2 Ingestion</t>
  </si>
  <si>
    <t>BallDontLie adapter (NBA)</t>
  </si>
  <si>
    <t>Data</t>
  </si>
  <si>
    <t>First real adapter</t>
  </si>
  <si>
    <t>TheRundown adapter (odds)</t>
  </si>
  <si>
    <t>American-&gt;decimal</t>
  </si>
  <si>
    <t>API-Football adapter (Pro tier)</t>
  </si>
  <si>
    <t>Fixtures/stats/injuries/H2H</t>
  </si>
  <si>
    <t>Live scores + outcome settlement</t>
  </si>
  <si>
    <t>FixtureLiveState now written</t>
  </si>
  <si>
    <t>Celery worker + beat actually running</t>
  </si>
  <si>
    <t>Never ran before this</t>
  </si>
  <si>
    <t>E3 ML NBA</t>
  </si>
  <si>
    <t>Historical collection (6 seasons)</t>
  </si>
  <si>
    <t>ML</t>
  </si>
  <si>
    <t>~14.5k games</t>
  </si>
  <si>
    <t>XGBoost + isotonic, 16 features</t>
  </si>
  <si>
    <t>68.57% vs 55.43% base</t>
  </si>
  <si>
    <t>Big3/Top5 key-player availability</t>
  </si>
  <si>
    <t>Two-stage, leakage-guarded</t>
  </si>
  <si>
    <t>E4 ML Football</t>
  </si>
  <si>
    <t>EPL + Brasileirao collection</t>
  </si>
  <si>
    <t>7.6k game-log rows</t>
  </si>
  <si>
    <t>Two-layer Poisson -&gt; XGBoost 1X2</t>
  </si>
  <si>
    <t>47.9% vs 46.5% base</t>
  </si>
  <si>
    <t>Elo, streaks, richer H2H</t>
  </si>
  <si>
    <t>21 features</t>
  </si>
  <si>
    <t>Expand to 5 leagues (MLS/CSL/Scot)</t>
  </si>
  <si>
    <t>Fixed O/U bias</t>
  </si>
  <si>
    <t>Retrodiction for completed fixtures</t>
  </si>
  <si>
    <t>Leakage-safe path</t>
  </si>
  <si>
    <t>E5 ML Tennis</t>
  </si>
  <si>
    <t>BallDontLie ATP adapter</t>
  </si>
  <si>
    <t>ALL-STAR tier</t>
  </si>
  <si>
    <t>Collection + train (17.7k examples)</t>
  </si>
  <si>
    <t>63.9% vs 62.2% rank base</t>
  </si>
  <si>
    <t>Fix target leakage (winner as player1)</t>
  </si>
  <si>
    <t>Caught pre-launch</t>
  </si>
  <si>
    <t>Retirements, tournament grouping</t>
  </si>
  <si>
    <t>VOID badge</t>
  </si>
  <si>
    <t>Kickoff refresh + live derivation</t>
  </si>
  <si>
    <t>26-&gt;20 estimated</t>
  </si>
  <si>
    <t>E6 Picks</t>
  </si>
  <si>
    <t>GET /picks, EV + threshold logic</t>
  </si>
  <si>
    <t>Backend</t>
  </si>
  <si>
    <t>TDD §4.2</t>
  </si>
  <si>
    <t>Extra markets: DC, O/U goals, corners</t>
  </si>
  <si>
    <t>Poisson-derived</t>
  </si>
  <si>
    <t>Base-rate relative ranking</t>
  </si>
  <si>
    <t>Replaced pure EV</t>
  </si>
  <si>
    <t>GET /history + summary</t>
  </si>
  <si>
    <t>Was a 501 stub</t>
  </si>
  <si>
    <t>E7 Mobile</t>
  </si>
  <si>
    <t>Expo scaffold, 8 routes, API client</t>
  </si>
  <si>
    <t>Mobile</t>
  </si>
  <si>
    <t>Web + Android verified</t>
  </si>
  <si>
    <t>Auth, guest sessions, biometrics</t>
  </si>
  <si>
    <t>SecureStore JWT</t>
  </si>
  <si>
    <t>Fixture cards, verdicts, flags</t>
  </si>
  <si>
    <t>Real flag PNGs</t>
  </si>
  <si>
    <t>Picks UI rebuild (dropdowns, calendar)</t>
  </si>
  <si>
    <t>Per mockups</t>
  </si>
  <si>
    <t>Theme: light/dark/system, account-synced</t>
  </si>
  <si>
    <t>Cross-device verified</t>
  </si>
  <si>
    <t>Score on each team's row, badge aligned</t>
  </si>
  <si>
    <t>Per mockups; measured, not eyeballed</t>
  </si>
  <si>
    <t>Equal control widths, filters aligned</t>
  </si>
  <si>
    <t>Shared FILTER_TRIGGER_WIDTH</t>
  </si>
  <si>
    <t>E8 Model Quality</t>
  </si>
  <si>
    <t>Measure O/U signal (found ~none)</t>
  </si>
  <si>
    <t>corr +0.030</t>
  </si>
  <si>
    <t>Refute Negative Binomial premise</t>
  </si>
  <si>
    <t>var/mean = 1.003</t>
  </si>
  <si>
    <t>TheStatsAPI eval + xG integration</t>
  </si>
  <si>
    <t>xG r=+0.129 vs goals +0.062</t>
  </si>
  <si>
    <t>xG collection (5 leagues)</t>
  </si>
  <si>
    <t>Superseded by row 47: 5-league collection finished, 5.9k matches</t>
  </si>
  <si>
    <t>Retrain + measure O/U buckets</t>
  </si>
  <si>
    <t>Superseded by rows 48/90: retrained, O/U buckets measured</t>
  </si>
  <si>
    <t>League-identity features (partial pooling)</t>
  </si>
  <si>
    <t>Superseded by row 49: built, measured, NEGATIVE, disabled</t>
  </si>
  <si>
    <t>Collect La Liga/Bundesliga/Ligue1 history</t>
  </si>
  <si>
    <t>Game logs collected for all 4 (+ Serie A). 7,028 fixtures, pool +81%</t>
  </si>
  <si>
    <t>Lineups Scottish Prem + MLS, retrain</t>
  </si>
  <si>
    <t>DROPPED, not delivered: key-player features pruned, so lineups feed nothing</t>
  </si>
  <si>
    <t>GO / NO-GO on Over-Under market</t>
  </si>
  <si>
    <t>GO. z=+2.96 p=0.0031 through the calibrated production path</t>
  </si>
  <si>
    <t>◆</t>
  </si>
  <si>
    <t>xG collection complete (5 leagues, 5.9k matches)</t>
  </si>
  <si>
    <t>96-100% coverage per season</t>
  </si>
  <si>
    <t>Retrain on full xG coverage</t>
  </si>
  <si>
    <t>O/U buckets monotonic, z=+1.86 (p=0.062)</t>
  </si>
  <si>
    <t>League-identity features — NEGATIVE result</t>
  </si>
  <si>
    <t>Made it worse; built, measured, disabled, documented</t>
  </si>
  <si>
    <t>Confirm training is deterministic</t>
  </si>
  <si>
    <t>Reproduced bit-for-bit; no seed noise in any comparison</t>
  </si>
  <si>
    <t>Shot-based features from shotmap</t>
  </si>
  <si>
    <t>Planned</t>
  </si>
  <si>
    <t>Last untried O/U lever; data already collected</t>
  </si>
  <si>
    <t>E9 Data Ops</t>
  </si>
  <si>
    <t>TheRundown Pro upgrade</t>
  </si>
  <si>
    <t>Pro active: 5,000 req/month confirmed live (was 1,000). Cadence stays 6h - worst case at 3h is 134% of quota</t>
  </si>
  <si>
    <t>Narrow odds lookahead window</t>
  </si>
  <si>
    <t>Halves per-league cost</t>
  </si>
  <si>
    <t>Re-test API-Football European odds</t>
  </si>
  <si>
    <t>Merged into row 135 (same check, two entries)</t>
  </si>
  <si>
    <t>EPL 2026-27 season opens</t>
  </si>
  <si>
    <t>Milestone</t>
  </si>
  <si>
    <t>First real load test</t>
  </si>
  <si>
    <t>API-Football renewal</t>
  </si>
  <si>
    <t>Auto-renews</t>
  </si>
  <si>
    <t>Fix 9 tennis DRAW outcomes</t>
  </si>
  <si>
    <t>Was tracked as 9; actual total 41. Purge cleared 31, 10 remain</t>
  </si>
  <si>
    <t>WTA subscription + collection</t>
  </si>
  <si>
    <t>Blocked</t>
  </si>
  <si>
    <t>Needs tour subscription</t>
  </si>
  <si>
    <t>Tennis odds (fast-follow)</t>
  </si>
  <si>
    <t>SHIPPED via BallDontLie GOAT: DraftKings + FanDuel, direct match_id join, no fuzzy name matching</t>
  </si>
  <si>
    <t>Tennis kickoff refresh + live derivation</t>
  </si>
  <si>
    <t>26-&gt;20 estimated; rest is a provider limit</t>
  </si>
  <si>
    <t>Injury ingest per-sport isolation</t>
  </si>
  <si>
    <t>NBA stub was aborting football every 30 min</t>
  </si>
  <si>
    <t>Commit 4 Aug work</t>
  </si>
  <si>
    <t>All committed and pushed</t>
  </si>
  <si>
    <t>Review + merge feat/tennis-atp-integration</t>
  </si>
  <si>
    <t>Merged; branch deleted after verifying content identical to main</t>
  </si>
  <si>
    <t>Push main to origin</t>
  </si>
  <si>
    <t>main and origin/main both at 7d0ffd5, 0 ahead / 0 behind</t>
  </si>
  <si>
    <t>Tennis provider decision</t>
  </si>
  <si>
    <t>Product</t>
  </si>
  <si>
    <t>Only ~2% of matches carry a real kickoff time</t>
  </si>
  <si>
    <t>E10 Deploy</t>
  </si>
  <si>
    <t>Portable artefact paths</t>
  </si>
  <si>
    <t>resolve_artefact_path + scripts/stage_artefacts.py; verified in a real Linux container</t>
  </si>
  <si>
    <t>infra/ + Render blueprint</t>
  </si>
  <si>
    <t>infra/render.yaml: web, worker, beat off one image</t>
  </si>
  <si>
    <t>Secrets management + env parity</t>
  </si>
  <si>
    <t>No .env in prod</t>
  </si>
  <si>
    <t>Monitoring + alerting (Sentry)</t>
  </si>
  <si>
    <t>Silent failures found twice</t>
  </si>
  <si>
    <t>Staging deploy + soak</t>
  </si>
  <si>
    <t>SOAK PASSED from an empty DB - see the milestone row below</t>
  </si>
  <si>
    <t>watchlist table + PICK-07</t>
  </si>
  <si>
    <t>watchlist_items + uq_watchlist_user_fixture; T-60 reminder verified end-to-end, 10/10 checks</t>
  </si>
  <si>
    <t>EAS project + first mobile build</t>
  </si>
  <si>
    <t>EAS project live; dev build installed on a real Android device</t>
  </si>
  <si>
    <t>Push notifications end-to-end</t>
  </si>
  <si>
    <t>VERIFIED ON A REAL PHONE: token minted, PUT /user/push-token persisted, real push delivered</t>
  </si>
  <si>
    <t>Mobile Jest + ESLint</t>
  </si>
  <si>
    <t>tsc is the only check</t>
  </si>
  <si>
    <t>Production deploy - FOOTBALL</t>
  </si>
  <si>
    <t>Target</t>
  </si>
  <si>
    <t>Closed beta (football only)</t>
  </si>
  <si>
    <t>Real users, real feedback</t>
  </si>
  <si>
    <t>Public launch readiness review</t>
  </si>
  <si>
    <t>Gated on beta + edge</t>
  </si>
  <si>
    <t>Merge feat/base-rate-relative-picks -&gt; main</t>
  </si>
  <si>
    <t>Fast-forward; main +25 unpushed</t>
  </si>
  <si>
    <t>Local start-up runbook + delivery board</t>
  </si>
  <si>
    <t>SportIQ-Local-Setup.docx</t>
  </si>
  <si>
    <t>E11 Ops Resilience</t>
  </si>
  <si>
    <t>dev_worker.py — worker auto-restart</t>
  </si>
  <si>
    <t>PREVENTION: Celery has no --reload</t>
  </si>
  <si>
    <t>code_version + /health + check_stale.py</t>
  </si>
  <si>
    <t>DETECTION: caught a day-old uvicorn</t>
  </si>
  <si>
    <t>Verify deploy restarts worker AND beat</t>
  </si>
  <si>
    <t>Not just the web service — the prod version of today's bug</t>
  </si>
  <si>
    <t>GIT_SHA baked into image at build</t>
  </si>
  <si>
    <t>No working tree in a container</t>
  </si>
  <si>
    <t>Sentry + uptime alerting</t>
  </si>
  <si>
    <t>Injury worker failed unnoticed for weeks</t>
  </si>
  <si>
    <t>check_stale in CI / post-deploy smoke</t>
  </si>
  <si>
    <t>Non-zero exit already gates it</t>
  </si>
  <si>
    <t>Review external optimisation consultancy</t>
  </si>
  <si>
    <t>Measured their DC claim; benchmark used 2k not 8.7k fixtures</t>
  </si>
  <si>
    <t>4-arm experiment: OOF / HFA on full data</t>
  </si>
  <si>
    <t>OOF +3.8pts, -20% RPS. HFA HURTS - rejected</t>
  </si>
  <si>
    <t>OOF stacking in train_football.py</t>
  </si>
  <si>
    <t>Fixes the documented Layer 2 in-sample optimism</t>
  </si>
  <si>
    <t>Prune 7 features (25 -&gt; 18)</t>
  </si>
  <si>
    <t>moneyline 0.7% populated / importance 0.000; key players x4</t>
  </si>
  <si>
    <t>RETRAIN: best model to date</t>
  </si>
  <si>
    <t>acc 0.4837, RPS 0.2151, all 4 Brier scores improved</t>
  </si>
  <si>
    <t>Over/Under clears significance</t>
  </si>
  <si>
    <t>z=+2.96 p=0.0031 (was +1.86 p=0.062) - GATE IS GO</t>
  </si>
  <si>
    <t>Root-cause DB connection failures</t>
  </si>
  <si>
    <t>localhost -&gt; IPv6 ::1; Docker binds IPv4 only. Pinned 127.0.0.1</t>
  </si>
  <si>
    <t>Remove now-unused key-player ingest</t>
  </si>
  <si>
    <t>Stage 1 + injury calls still run for features nothing consumes</t>
  </si>
  <si>
    <t>Pin 127.0.0.1 in compose/.env.example/runbook</t>
  </si>
  <si>
    <t>compose + .env.example + runbook troubleshooting row</t>
  </si>
  <si>
    <t>Collect historical closing odds</t>
  </si>
  <si>
    <t>Strongest known predictor, currently 59 of 8,718 rows</t>
  </si>
  <si>
    <t>Probe TheStatsAPI for 4 European leagues</t>
  </si>
  <si>
    <t>Caught 2 lower-division traps: '2. Bundesliga', 'LaLiga 2'</t>
  </si>
  <si>
    <t>Game logs: Bundesliga/Serie A/La Liga/Ligue 1</t>
  </si>
  <si>
    <t>7,028 fixtures. Pool 8,718 -&gt; 15,746 (+81%)</t>
  </si>
  <si>
    <t>Fix xG resolve team-name tiebreak</t>
  </si>
  <si>
    <t>DB empty pre-season; 15-23% of fixtures were being dropped</t>
  </si>
  <si>
    <t>xG collection (4 European leagues)</t>
  </si>
  <si>
    <t>Complete: all 9 leagues carry xG (21,396 rows)</t>
  </si>
  <si>
    <t>Retrain pooled across 9 leagues</t>
  </si>
  <si>
    <t>Retrained - see the RETRAIN milestone row. O/U trend strengthened to z=+3.35</t>
  </si>
  <si>
    <t>Corners for the 4 new leagues (DEFERRED)</t>
  </si>
  <si>
    <t>~7k calls = 94% of daily budget; measured no gain. Deferred by choice</t>
  </si>
  <si>
    <t>Merge feat/european-leagues -&gt; main</t>
  </si>
  <si>
    <t>Merged via PR #1 (rebase); CI green on both jobs</t>
  </si>
  <si>
    <t>Root-cause stale uvicorn serving 500s</t>
  </si>
  <si>
    <t>7h40m stale, predated the feature prune. 200 in-process vs 500 via server</t>
  </si>
  <si>
    <t>Fix: ingest only the current tournament edition</t>
  </si>
  <si>
    <t>A poll wrote 2,616 fixtures spanning 2007-2026; 119 were current</t>
  </si>
  <si>
    <t>Fix: let a revised kickoff correct a stale date</t>
  </si>
  <si>
    <t>Matches moved to today sat under yesterday, 3 already live</t>
  </si>
  <si>
    <t>Purge 3,443 pre-2026 tennis fixtures</t>
  </si>
  <si>
    <t>Not a coherent record: 2007 had 134 matches vs a real season of thousands</t>
  </si>
  <si>
    <t>Fix Celery: 4 duplicate workers, no beat at all</t>
  </si>
  <si>
    <t>Nothing had been running on the 5-min schedule. Now 1 worker + 1 beat</t>
  </si>
  <si>
    <t>Portable artefact paths (MODELS_DIR + migration)</t>
  </si>
  <si>
    <t>All 3 models stored an absolute Windows path; none could load in a container</t>
  </si>
  <si>
    <t>Stage active artefacts into the image</t>
  </si>
  <si>
    <t>ml/artifacts was gitignored, so portable paths alone still resolved to nothing</t>
  </si>
  <si>
    <t>infra/render.yaml: web + worker + BEAT + PG/Redis</t>
  </si>
  <si>
    <t>Image built and run: models load on Linux, alembic head OK, 4 tasks scheduled</t>
  </si>
  <si>
    <t>watchlist_items + T-60 kickoff reminder</t>
  </si>
  <si>
    <t>PICK-07. Unblocks notify_kickoff_reminder, a stub since it was written</t>
  </si>
  <si>
    <t>EAS build profiles + bundle identifiers</t>
  </si>
  <si>
    <t>iOS id was absent entirely; Android was Expo's com.anonymous default</t>
  </si>
  <si>
    <t>Staging soak harness (infra/soak-compose.yml)</t>
  </si>
  <si>
    <t>Same image, 3 roles, throwaway PG/Redis, isolated from the dev stack</t>
  </si>
  <si>
    <t>SOAK PASSED: full stack from empty DB</t>
  </si>
  <si>
    <t>Migrations, 5 services, API 200s, beat-&gt;worker chain, model loaded from a filename row</t>
  </si>
  <si>
    <t>Run eas login + eas init (needs Expo account)</t>
  </si>
  <si>
    <t>Done - projectId set, push token minted successfully</t>
  </si>
  <si>
    <t>EAS project linked (@usangr01/sportiq)</t>
  </si>
  <si>
    <t>projectId written; push tokens now mintable. Run eas from mobile/, not the root</t>
  </si>
  <si>
    <t>Rename SportIQ -&gt; SportPIQ (identifiers + infra)</t>
  </si>
  <si>
    <t>Bundle ids, scheme (both sides), infra service names. DB/volume left alone</t>
  </si>
  <si>
    <t>Trademark clearance research (UK IPO)</t>
  </si>
  <si>
    <t>108 marks reviewed; 2 candidate conflicts examined in detail, both weakened</t>
  </si>
  <si>
    <t>Rename Expo project sportiq -&gt; sportpiq</t>
  </si>
  <si>
    <t>Dashboard rename; projectId stays valid so not a re-init</t>
  </si>
  <si>
    <t>Professional trademark clearance (UK + EU)</t>
  </si>
  <si>
    <t>Before brand spend. Few hundred GBP vs rebranding after launch</t>
  </si>
  <si>
    <t>Firebase project + FCM V1 key uploaded to EAS</t>
  </si>
  <si>
    <t>sportpiq-10b64. Expo's side of the Android push chain is complete</t>
  </si>
  <si>
    <t>Relink EAS project after rename (sportiq -&gt; sportpiq)</t>
  </si>
  <si>
    <t>eas has no rename cmd; safe only because the old project had no builds</t>
  </si>
  <si>
    <t>Register Android app in Firebase for google-services.json</t>
  </si>
  <si>
    <t>google-services.json in place; real token minted proves the chain resolves</t>
  </si>
  <si>
    <t>Development build + verify push on a real device</t>
  </si>
  <si>
    <t>Dev build on a real device; push delivered and confirmed by the user</t>
  </si>
  <si>
    <t>google-services.json wired into the Android build</t>
  </si>
  <si>
    <t>package_name verified as an exact match before wiring; same project as the FCM key</t>
  </si>
  <si>
    <t>Restrict Android API key to package + SHA-1 (GCP)</t>
  </si>
  <si>
    <t>Repo is public; 2 min in Cloud Console makes the shipped key useless to others</t>
  </si>
  <si>
    <t>First real-device test session (dev build on Android)</t>
  </si>
  <si>
    <t>App installed and loading real data over the LAN. Found 3 bugs web never showed</t>
  </si>
  <si>
    <t>Fix: fixture card sizing on device (2 iterations)</t>
  </si>
  <si>
    <t>h-full -&gt; unbounded, then flex-1 -&gt; zero. Now content-sized with a 52px floor</t>
  </si>
  <si>
    <t>Fix: theme switch crashed with a navigation error</t>
  </si>
  <si>
    <t>NativeWind's dev warning printer hit a throwing getter. patch-package. DEV ONLY</t>
  </si>
  <si>
    <t>Fix: test suite polluted the dev database</t>
  </si>
  <si>
    <t>24 fake sports reached the app's own dropdown. Purged + autouse cleanup fixture</t>
  </si>
  <si>
    <t>Verify push token minting + delivery on device</t>
  </si>
  <si>
    <t>CONFIRMED: notification received on the phone; T-60 reminder also verified</t>
  </si>
  <si>
    <t>Decide whether badge should height-match the team rows</t>
  </si>
  <si>
    <t>Traded exact alignment for a badge that cannot collapse or run away</t>
  </si>
  <si>
    <t>TheRundown Pro live and verified</t>
  </si>
  <si>
    <t>5,000/MONTH (not per day). GET /sports 200, 36 sports, quota fresh</t>
  </si>
  <si>
    <t>Measure real odds-cycle quota cost</t>
  </si>
  <si>
    <t>A full cycle cost 0 requests: cost scales with fixtures played, not leagues</t>
  </si>
  <si>
    <t>ACTION 21 Aug: recheck API-Football EPL odds</t>
  </si>
  <si>
    <t>If it flips to True, TheRundown Pro is redundant and can be dropped</t>
  </si>
  <si>
    <t>Trace where the 1,000/month basic quota went</t>
  </si>
  <si>
    <t>A 5-min polling loop against out-of-season leagues. Yield: 2 rows, one NBA game</t>
  </si>
  <si>
    <t>TENNIS ODDS LIVE: ATP/WTA via TheRundown</t>
  </si>
  <si>
    <t>First odds tennis has ever had. 22 of 24 ATP fixtures priced; EV ranking now possible</t>
  </si>
  <si>
    <t>Fix: tennis home/away orientation for odds matching</t>
  </si>
  <si>
    <t>Sides disagreed on 8 of 22 matches; those silently got no price at all</t>
  </si>
  <si>
    <t>Fix: inverted bookmaker was being selected by max()</t>
  </si>
  <si>
    <t>Two passes. Distance test missed near-even matches; structural test does not</t>
  </si>
  <si>
    <t>Decide whether to exclude Polymarket at ingest</t>
  </si>
  <si>
    <t>3 of 3 ATP matches inverted - looks systematic. Needs more days before concluding</t>
  </si>
  <si>
    <t>Merge duplicate API-Football odds re-test rows (54 and 135)</t>
  </si>
  <si>
    <t>Done - row 54 folded into row 135; 135 is the single 21 Aug re-check</t>
  </si>
  <si>
    <t>PostHog analytics (mobile only) - DEFERRED</t>
  </si>
  <si>
    <t>Deliberately after launch: on a dev build it mostly measures us</t>
  </si>
  <si>
    <t>Firebase config complete for BOTH platforms</t>
  </si>
  <si>
    <t>GoogleService-Info.plist added; BUNDLE_ID + project verified against Android</t>
  </si>
  <si>
    <t>xG collection COMPLETE across all 9 leagues</t>
  </si>
  <si>
    <t>10,698 of 15,746 fixtures (67.9%). Ligue 1 + Serie A resolved at 100%</t>
  </si>
  <si>
    <t>RETRAIN 9 leagues: best model to date</t>
  </si>
  <si>
    <t>acc 0.4916 (was .4837), RPS 0.2123 (was .2151), O/U z=+3.35 (was +2.96)</t>
  </si>
  <si>
    <t>Fix: surface whitespace split Grass into two</t>
  </si>
  <si>
    <t>190 of 2,295 grass matches excluded from live surface features. Silent</t>
  </si>
  <si>
    <t>MEASURE viability of a total-games market</t>
  </si>
  <si>
    <t>Answer: NOT predictable from current features (r=+0.05). Ran BEFORE building</t>
  </si>
  <si>
    <t>Viability notebook + dataset for team review</t>
  </si>
  <si>
    <t>ml/export/SportIQ_Tennis_Games_Viability.ipynb, executed, 17,273 matches</t>
  </si>
  <si>
    <t>Total games v1: player rolling avg games features</t>
  </si>
  <si>
    <t>WON'T BUILD: superseded - GOAT arrived early so the gate ran with serve stats (a stronger feature set than this) and FAILED</t>
  </si>
  <si>
    <t>Total games v1: surface + opponent-adjusted tendency</t>
  </si>
  <si>
    <t>WON'T BUILD: superseded by the failed gate</t>
  </si>
  <si>
    <t>Total games v1: count model + validate vs base rate</t>
  </si>
  <si>
    <t>GATE RUN AND FAILED - see the decision row below. Market NOT built</t>
  </si>
  <si>
    <t>Total games: wire market + odds (only if the gate passes)</t>
  </si>
  <si>
    <t>WON'T BUILD: gate did not pass, so the market is not wired</t>
  </si>
  <si>
    <t>Serve-stat features - BLOCKED on GOAT tier</t>
  </si>
  <si>
    <t>UNBLOCKED - GOAT active. /match_stats collected: 138,219 rows, 64,266 matches, 0% nulls</t>
  </si>
  <si>
    <t>BallDontLie GOAT tier active (ATP)</t>
  </si>
  <si>
    <t>Unlocks /match_stats, /odds, /head_to_head, /player_career_stats. Rate limit 60 -&gt; 600 req/min. WTA still 401 - separate subscription</t>
  </si>
  <si>
    <t>X</t>
  </si>
  <si>
    <t>ATP serve-stat collection</t>
  </si>
  <si>
    <t>138,219 rows / 64,266 matches / 2007-2026; 17,434 in the 2021-25 window at 0% nulls. Two independent passes agree exactly</t>
  </si>
  <si>
    <t>DECISION: total games NOT built (gate failed)</t>
  </si>
  <si>
    <t>Serve features are 2.5x stronger than anything prior and still no edge: at real lines 21.5 -0.0004, 22.5 +0.0040, 23.5 -0.0274. Predictions compress to the mean (sd 2.12 vs reality 7.87). ~1 week of build avoided</t>
  </si>
  <si>
    <t>Tennis odds: BallDontLie moneyline</t>
  </si>
  <si>
    <t>DraftKings + FanDuel. Direct match_id join. Caught a real bug: /odds returns FINISHED matches (70 of 94), whose last in-play price encodes the result</t>
  </si>
  <si>
    <t>Hourly tennis odds refresh (quota-free)</t>
  </si>
  <si>
    <t>Separate job on BallDontLie only - GOAT is 600/min so it costs nothing against TheRundown's monthly cap. Fixes prices missing on tennis cards</t>
  </si>
  <si>
    <t>Per-sport base rates for the pick gate</t>
  </si>
  <si>
    <t>Tennis h2h measured 0.6217 over 17,434 matches vs football's 0.4582. Wrong table admitted picks saying less than nothing</t>
  </si>
  <si>
    <t>T-60 reminder armed on watchlist save</t>
  </si>
  <si>
    <t>Daily 02:00 sweep alone missed anything saved same-day. Shared scheduler keeps the estimated-kickoff and status guards</t>
  </si>
  <si>
    <t>Corners: blend model toward rolling history (0.75)</t>
  </si>
  <si>
    <t>Gated picks 52.1% -&gt; 61.7% at 10.5 on 1,277 held-out fixtures. Attack-vs-defence over 20 matches; H2H excluded (measured worst). LIMIT: only ~27% of live fixtures have enough history yet</t>
  </si>
  <si>
    <t>DECISION: H2H penalty rejected</t>
  </si>
  <si>
    <t>WON'T BUILD. H2H is worse than the league mean in every market - corners MAE 3.26 vs 2.75, goals 1.52 vs 1.33, 1X2 Brier 0.36 vs 0.2476 (corr -0.048). Every window tested, shorter is worse</t>
  </si>
  <si>
    <t>DECISION: completeness gate rejected</t>
  </si>
  <si>
    <t>WON'T BUILD. corr(completeness, correct) = +0.072 on n=84, SE 0.111 - not distinguishable from zero, and buckets non-monotonic. A 0.50 threshold would drop 85% of the feed for no measured gain</t>
  </si>
  <si>
    <t>Stale loopback server resolved (reboot)</t>
  </si>
  <si>
    <t>Ops</t>
  </si>
  <si>
    <t>127.0.0.1:8000 and the LAN IP served DIFFERENT data for days - an ownerless socket. Made a working fix look broken. Both now agree</t>
  </si>
  <si>
    <t>Collect lineups: MLS + 4 European leagues</t>
  </si>
  <si>
    <t>MLS has 5,088 game-log rows but ZERO lineups; bundesliga/laliga/ligue1/seriea likewise. ~1 call per fixture, ~9.5k total - needs staging across days</t>
  </si>
  <si>
    <t>Collect corners: 4 European leagues</t>
  </si>
  <si>
    <t>bundesliga/laliga/ligue1/seriea have no corners. ~7k calls. Was deferred as no-gain; the 0.75 blend now makes corners load-bearing</t>
  </si>
  <si>
    <t>NEXT: lineups for bundesliga/laliga/ligue1/seriea</t>
  </si>
  <si>
    <t>~7,028 calls, needs a full day's quota. Last gap in the 9-league pool. MUST land before the 29 Aug expiry</t>
  </si>
  <si>
    <t>NEXT: retrain on the complete 9-league pool</t>
  </si>
  <si>
    <t>First time all 9 have game log + xG + corners + lineups. Report 1X2, O/U trend z, corners MAE straight</t>
  </si>
  <si>
    <t>NEXT: re-fit the corners blend lambda after retrain</t>
  </si>
  <si>
    <t>0.75 was fitted against the CURRENT corners model. A better model deserves different weight - easy to forget and would leave a stale constant in production</t>
  </si>
  <si>
    <t>Closing odds capture + CLV metric</t>
  </si>
  <si>
    <t>HIGHEST VALUE. 59 of 8,718 rows populated. Without CLV we cannot tell whether picks beat the market or just backed short favourites</t>
  </si>
  <si>
    <t>Multiple form windows (3 / 5 / 10 / season)</t>
  </si>
  <si>
    <t>Currently last-5 only. The corners measurement showed longer windows improve monotonically (3&lt;5&lt;10&lt;20). No new data needed</t>
  </si>
  <si>
    <t>Wire shots / shots-on-target / possession as features</t>
  </si>
  <si>
    <t>ALREADY FETCHED for the H2H panel, just not model inputs. Shots predict goals better than goals do at small samples</t>
  </si>
  <si>
    <t>BTTS market</t>
  </si>
  <si>
    <t>Only named market from the top-30 doc we lack. (1-e^-xg_home)(1-e^-xg_away) on the existing Poisson assumption - no new data</t>
  </si>
  <si>
    <t>Probe coverage.odds for the top-30 doc's Tier-1 ten</t>
  </si>
  <si>
    <t>RESULT: 9 of 10 have odds. Allsvenskan 113, Eliteserien 103, Veikkausliiga 244, Ekstraklasa 106, Denmark Superliga 119, Liga I 283, J1 League 98, Czech 345, Austrian Bundesliga 218. REJECTED: A-League (188) odds=False in all 6 seasons. Cost ~15 calls</t>
  </si>
  <si>
    <t>Game logs for whichever Tier-1 leagues have odds</t>
  </si>
  <si>
    <t>~5 calls per league. 1X2 + goals + BTTS need ONLY the game log; corners/lineups are the expensive per-fixture extras</t>
  </si>
  <si>
    <t>Check Expo push RECEIPTS, not just tickets</t>
  </si>
  <si>
    <t>DONE (920e897). push_tickets table + a 30-min worker. A ticket only means ACCEPTED; the receipt is the only place DeviceNotRegistered, MessageTooBig and above all InvalidCredentials appear - the last fails EVERY send for EVERY user while every ticket reports success. Checked rows are deleted (work queue, not history); a lookup FAILURE leaves them for the next run, since a failed lookup is not a failed delivery</t>
  </si>
  <si>
    <t>Purge 141 fake push tokens from the dev DB</t>
  </si>
  <si>
    <t>140 share ExponentPushToken[abcDEF123] from the test suite. A broad notify run would fire 140 doomed sends</t>
  </si>
  <si>
    <t>Dedicated test database</t>
  </si>
  <si>
    <t>Suite writes to dev; fake sports reached the app's own dropdown once already</t>
  </si>
  <si>
    <t>Extend ruff/black to ml/</t>
  </si>
  <si>
    <t>DONE (4a4d6d4, CI-verified). 46 accumulated errors fixed; both trees now share backend's config. Notebooks excluded (provenance/exported artefacts). All 12 scripts import-checked after reformatting - they have no test coverage - and train_football.py AST-compared before/after: 9 functions, 99 calls, 132 assignments identical, so its 69-line drop was purely formatting</t>
  </si>
  <si>
    <t>DECIDE by 22 Sep: renew API-Football Ultra?</t>
  </si>
  <si>
    <t>Ends 2026-09-29, NOT 08-29 as previously recorded - confirmed live via GET /status. Ultra is 75,000/day; current burn is ~24k on a heavy collection day, so the allowance is not the constraint, the end date is</t>
  </si>
  <si>
    <t>Game logs for the 9 odds-covered Tier-1 leagues</t>
  </si>
  <si>
    <t>DONE: 22,972 game-log rows / 11,486 fixtures, 9 leagues x 2021-2025, plus real xG at 99-100% resolution per league</t>
  </si>
  <si>
    <t>Pooled retrain across 18 leagues</t>
  </si>
  <si>
    <t>football_xgb_v20260809224336 active. 48.57% vs 44.43% baseline (+4.14pp, held vs +4.09pp on 9 leagues). KEY WIN: under-3.5 reliability buckets MONOTONIC for the first time (.604/.673/.716/.755), trend z +3.35 -&gt; +5.92. Headline accuracy is NOT comparable across pools - the test set changes; judge the gap over each run's own baseline</t>
  </si>
  <si>
    <t>|</t>
  </si>
  <si>
    <t>Corners history for the 9 Tier-1 leagues</t>
  </si>
  <si>
    <t>DONE: 14,390 rows / 7,195 fixtures, 35-71% coverage per league. Sampled 6 fixtures/league first to confirm coverage before spending ~11,486 calls</t>
  </si>
  <si>
    <t>Completeness floor on best_pick</t>
  </si>
  <si>
    <t>Tottenham-Newcastle served 1X at 99.7% off 3-of-31 features (pre-season, no matches played). Floor at 0.25 measured from the cliff: 85% of picks below it are &gt;=0.90 extreme vs 6% just above. NOT a probability cap - the 0.50+ band is equally extreme and 81% correct on n=64, so a cap would blunt the band that works</t>
  </si>
  <si>
    <t>Duplicate uvicorn/celery processes cleared</t>
  </si>
  <si>
    <t>Found 2 uvicorn, 2 celery workers AND 2 celery beats running. Duplicate beat means every scheduled task fires twice - double API spend, invisible. Restarted one of each</t>
  </si>
  <si>
    <t>Wire the 9 Tier-1 leagues into live serving</t>
  </si>
  <si>
    <t>Done (2b365e6). LEAGUE_IDS + seeded League rows + a train/serve parity guard so it cannot drift again. Verified live: J1 20 fixtures/17 predictions, Allsvenskan 20, Ekstraklasa 22 (incl. 3 real postponements), Liga I 18</t>
  </si>
  <si>
    <t>Fix: J1 League season labelled by its END year</t>
  </si>
  <si>
    <t>Japan is mid-switch from calendar-year to autumn-spring, and API-Football labels the 2026-08-07 -&gt; 2027-06-06 season '2027' while the EPL's equivalent is '2026'. Both existing rules returned a season that ended in June, so the league silently ingested ZERO fixtures - HTTP 200, empty errors, results=0, indistinguishable from 'no matches this week'. Found by diffing our computed season against the provider's own current=true flag for all 18 leagues: 17 right, 1 wrong (8445900)</t>
  </si>
  <si>
    <t>APIs &amp; Quotas sheet refreshed from live /status</t>
  </si>
  <si>
    <t>CORRECTION: sheet said Pro / 7,500 per day / ends 2026-08-29 and called it a 20-day hard deadline. Live reading: Ultra, 75,000/day, ends 2026-09-29 - a month further out and ~10x the allowance. Second time a carried-forward figure overstated urgency without being re-measured. The binding limit is 450/MINUTE, not the daily cap</t>
  </si>
  <si>
    <t>Retrain: corners regressors finally see all 18 leagues</t>
  </si>
  <si>
    <t>football_xgb_v20260810070503 active. Corners training rows 6,521 -&gt; 10,877, test rows 2,291 -&gt; 3,731. MAE 2.167 -&gt; 2.157 is NOT an improvement - the test set grew, so the two score different exams; what improved is trustworthiness, not the number. Verified by hashing: corners boosters CHANGED, layer1/layer2 byte-IDENTICAL, which is why 1X2 accuracy/RPS are unchanged at 0.4857/0.2144 - correct scoping, not a broken run. All 91 upcoming predictions regenerated onto it; feed now serves 53 picks across 7 leagues including 4 newly-wired ones, max probability 0.932, zero &gt;=0.95</t>
  </si>
  <si>
    <t>MEASURED: new-league picks are genuinely overconfident</t>
  </si>
  <si>
    <t>ROOT-CAUSED AND FIXED (7223408). Two faults: (1) game logs ended 2-8 months before the fixtures, so features were stale but PRESENT - invisible to feature_completeness, which measures presence not freshness; (2) THE REAL ONE - the retrodiction game log concatenates parquet rows (int64 FIXTURE_ID) with DB rows (str), and elo lookups always used the str, so EVERY parquet-sourced fixture silently got elo_diff=None. Calibration: claimed 82.3%/actual 45.8% (P=0.0001) -&gt; claimed 72.8%/actual 57.7% (P=0.0698, no longer significant). Predicted away-win 5.7% -&gt; 29.3% vs actual 36.6%</t>
  </si>
  <si>
    <t>Current-season history for the 9 new leagues</t>
  </si>
  <si>
    <t>Game-log collection is now ADDITIVE (fetches only missing seasons and merges) instead of skipping whenever the parquet exists, which had made it a one-off. All 9 leagues now reach 2026-08-09, zero historical rows lost. J1 needed BOTH season 2026 (short transitional) and 2027 (current, labelled by end year)</t>
  </si>
  <si>
    <t>Elo silently absent for parquet-sourced retrodictions</t>
  </si>
  <si>
    <t>Latent across ALL leagues, not just the new ones - any fixture already in the cached parquet lost its elo_diff. Looked league-specific only because whether a fixture was parquet-sourced or DB-sourced decided whether it hit. The dedup filter three lines above already normalised with .astype(str); the same fix simply had not been applied to the elo path. Regression-tested in test_retrodiction_elo_key_types.py</t>
  </si>
  <si>
    <t>Season resolved from the provider, not a hardcoded guess</t>
  </si>
  <si>
    <t>resolve_current_season reads API-Football's own current=true flag, 12h cached, falling back to the hardcoded conventions on any failure (so it can only improve on the old behaviour, never take ingestion down). A failed lookup is deliberately NOT cached. Removes the class behind THREE silent bugs - Brasileirao, four Tier-1 leagues, and the J1 League's end-year labelling. Verified live across all 18 leagues; 0 corrections today only because the conventions were patched first. 0852887</t>
  </si>
  <si>
    <t>AUDIT: no other silent int/str join splits</t>
  </si>
  <si>
    <t>Checked every parquet/DB join after the Elo bug. All parquets agree on key dtypes (FIXTURE_ID int64, TEAM_ID object); corners/xG merges verified to POPULATE 54-79% rather than silently all-NaN; training-side Elo resolves 100%. _lineup_presence_for_fixture already handled both types explicitly - the Elo path was the one place the known issue had not been applied</t>
  </si>
  <si>
    <t>Corners for the new leagues' 2026 seasons</t>
  </si>
  <si>
    <t>Made additive AND date-bounded. Absence from the corners parquet does NOT mean not-yet-attempted: /fixtures/statistics genuinely returns nothing for 26-45% of historical fixtures and only successes are recorded, so a plain set-difference wanted 4,973 calls, ~4,000 of them re-asking for data the provider has already refused. Bounding by date: 692 calls, 716 new rows. 921f465</t>
  </si>
  <si>
    <t>Retrain was a NO-OP: seasons outside the split are dropped</t>
  </si>
  <si>
    <t>Collected 2026 history, example count rose 27,232 -&gt; 27,914, and every booster hashed BYTE-IDENTICAL to the previous model. TRAIN=[2021-23]/VAL=2024/TEST=2025 means season 2026 matches no split and is silently dropped. The collection was still necessary - it fixed retrodiction (which reads the game log directly) and exposed the Elo bug - but it cannot reach the model yet. Registered football_xgb_v20260810092634, byte-identical to its predecessor. 96a469c</t>
  </si>
  <si>
    <t>Cleared 165 test push tokens from the dev DB</t>
  </si>
  <si>
    <t>164 users shared ExponentPushToken[abcDEF123]; a broad notify run would have fired 165 doomed sends. Allow-list of known-fake literals rather than a pattern, because a real and a fixture token are the same shape and there is exactly one genuine device registration here - verified still present. Cause (suite writes to dev) remains open. f3d4016</t>
  </si>
  <si>
    <t>DECIDE: advance the split windows once 2026 is complete</t>
  </si>
  <si>
    <t>Season 2026 currently holds 1,344 rows vs ~10,900 for a completed season. Promoting a 12%-complete season to TEST would make every headline metric small-sample while looking like a like-for-like comparison. Move all three windows together (train 2022-24 / val 2025 / test 2026), not just the test season. Until then, collecting current-season data cannot improve the model - only retrodiction</t>
  </si>
  <si>
    <t>Impossible drawn outcomes: guarded and removed</t>
  </si>
  <si>
    <t>_maybe_settle_outcome fell through to MatchResult.DRAW on any tied score, so 12 tennis rows recorded a result that cannot exist (a retirement leaves equal COMPLETED sets but still has a winner). SPORTS_WITHOUT_DRAWS now settles NOTHING on a tie - no Outcome, no draw-shaped Elo. No winner is guessed because none is available (see the player1 row). Deletion only sticks because of the guard: the first removal was undone within minutes by a stale Celery worker. Verified after restart - 2 real scheduled runs, 2 guard activations, 0 recreated. 05757c2</t>
  </si>
  <si>
    <t>CORRECTED: 'player1 is always the winner' is too strong</t>
  </si>
  <si>
    <t>Measured: LIST ?season=2022 100% (60/60), 2025 100% (59/59), 2026 68% (41/60), GET /matches/{id} 48% (12/25). The ordering is a property of SETTLED HISTORICAL data on the list endpoint. The leakage was real and _home_away_players is still required - training reads settled seasons - but the rule cannot be INVERTED to recover a winner, which is the case that came up. At 48% it is a coin flip. a1c52c3</t>
  </si>
  <si>
    <t>Stale Celery worker hit AGAIN (2nd time in one day)</t>
  </si>
  <si>
    <t>A guard written at 12:28 could not take effect in a worker started at 08:55, so ingest_live_scores re-created the deleted rows every 5 minutes. Same trap as this morning's odds gap. Restart the worker after ANY change under app/ before concluding anything from live data - the symptom is never an error, it is 'my fix did not take'</t>
  </si>
  <si>
    <t>Test DB truncated per session; teardown kept</t>
  </si>
  <si>
    <t>Planned to DELETE the per-test teardown as redundant; reading it, that would have been a downgrade - it also keeps tests independent of each other, which the dedicated database does not address. Stale justifications corrected instead. The real gap was tests with NO teardown: users grew 21 per run indefinitely. conftest now truncates once per session, at the START so a failed run's rows stay inspectable. Verified 21 after both run 1 and run 2. ada6b50</t>
  </si>
  <si>
    <t>Key-player features re-measured, then deleted</t>
  </si>
  <si>
    <t>Re-added all four and retrained on IDENTICAL splits (so the comparison is exact) rather than trusting d0a24d9's verdict, which was reached on a nine-league pool that has since doubled to eighteen with half of it lacking lineups. Result reproduced the original: accuracy 0.4857 -&gt; 0.4870 (+0.13pp, ~7 of 5,487 = noise), RPS 0.2144 -&gt; 0.2151 worse, corners MAE 2.160 -&gt; 2.166 worse, under-3.5 trend z +5.92 -&gt; +4.07 MATERIALLY worse. Bottom reliability bucket rose .604 -&gt; .655 while the top barely moved, i.e. LESS discrimination with the features. Training-time computation and lineup loading deleted; Stage 1 kept for live Stage 2 + mobile. 18-feature model repromoted. 0a62c9f</t>
  </si>
  <si>
    <t>DECIDED: do not exclude Polymarket at ingest</t>
  </si>
  <si>
    <t>The existing consensus test already catches 204 of Polymarket's 228 real tennis rows (89%) and is bookmaker-agnostic. A name-based blocklist would be strictly worse: HardRock inverts 20% of its own rows (42 of 209) and a Polymarket blocklist misses those entirely</t>
  </si>
  <si>
    <t>Implausible prices no longer win best-odds selection</t>
  </si>
  <si>
    <t>Found while investigating Polymarket. A row can be the right way round and still absurd: HardRock supplied 151.00 against a 1.97 median, 76.00 against 2.07, 61.00 against 2.90 - 25 of 100 fixture-sides had a max &gt;=15% above median. The inversion test passes them and MAX selection then picks them. Training has filtered this since an inflated ROI traced to the same rows; serving never did. Latent rather than live - MAX_EDGE_OVER_MARKET happens to reject the pick - but that drops a fixture's pick entirely rather than repricing it. 5e32146</t>
  </si>
  <si>
    <t>Availability: Stage 1 run, id-first join, injuries deduped</t>
  </si>
  <si>
    <t>DONE (a41fa51). CORRECTION first: the '1% broken join' framing was wrong — it compared 130 injured players against six seasons of rosters when injuries are current-state only. Id matching gives 31 vs name's 27, so the join was a fragility, not the bottleneck. Fixed anyway (id-first, name fallback for NBA). Injuries now upsert: 12,330 rows collapsed to 131, having been 95 duplicates per player. Stage 1 run for the playing leagues: Allsvenskan +55 (250-&gt;305). RESULT: 7 of 305 top-5 players injured = 2.3%. Availability is still near-constant, exactly as predicted — feed coverage is the constraint.</t>
  </si>
  <si>
    <t>Stage 1 rosters are thin for the live season</t>
  </si>
  <si>
    <t>PARTLY RESOLVED, and the diagnosis sharpened. Five leagues were playing with zero rosters; Stage 1 had simply never been wired for them (the same drift as LEAGUES vs LEAGUE_IDS). Running it produced rosters for Allsvenskan only. The other four correctly returned ZERO: the ranking pool needs 900 season-minutes with a 450 fallback, and those seasons are 2-4 matches old. So 'blocked on the calendar' was right for those four and wrong for Allsvenskan. Re-run once they pass ~5 matches.</t>
  </si>
  <si>
    <t>Best odds quoted a price no longer on offer</t>
  </si>
  <si>
    <t>Found while investigating the bookmaker-casing item, and much larger than it. Odds rows are append-only snapshots (8.7 per bookmaker per fixture on average, max 47) and every consumer read all of them, so 'best odds' was the maximum EVER seen. Measured on 119 real fixtures: 28% overstated, mean +5.89%, worst +55.29%. That is the price on the card, the odds in the EV calculation and the value min_odds tests — a user could be sent to a price that had gone. Both paths now reduce to the newest row per bookmaker/market/line, keyed case-insensitively, which fixes the casing issue as a side effect. ddfcb46</t>
  </si>
  <si>
    <t>watchlist_items.created_at NOT NULL</t>
  </si>
  <si>
    <t>Stripped from three consecutive unrelated migrations, correctly each time, but never actually done — its own failure mode. Now has its own migration. Zero NULL rows verified first, and autogenerate detects no model/database drift at all afterwards. 11a7495</t>
  </si>
  <si>
    <t>confidence_tier marked unvalidated in every schema</t>
  </si>
  <si>
    <t>No product surface reads it since the badge and push gate went, but it is still returned by four endpoints and a future consumer would have no way to know it had been measured as misleading. Kept rather than dropped: retiring the column would destroy the data needed to recalibrate it, and recalibrating on n=69/89 is the over-fitting refused twice already. 11a7495</t>
  </si>
  <si>
    <t>Withdrawn fixtures retired from the provider's own list, not the clock</t>
  </si>
  <si>
    <t>33 of 53 upcoming ATP fixtures had ceased to exist (404), all carrying a prediction. Time-based sweep is blind to a fixture that vanishes while its kickoff is still ahead. Reconcile against the payload ingest already holds; empty payload retires nothing. 33 retired, 19 left, 19 of 19 priced</t>
  </si>
  <si>
    <t>Tennis odds gap diagnosed: coverage was already 100%</t>
  </si>
  <si>
    <t>Reported as missing odds. Cadence, quota, name matching and stale workers all measured and cleared; every real fixture was priced. The unpriced cards were matches that did not exist</t>
  </si>
  <si>
    <t>Withdrawn fixtures hidden; called-off ones still shown</t>
  </si>
  <si>
    <t>fixtures.withdrawn (faa1ecc4c1ac). Retiring the phantoms left 33 grey cards above the day's 2 real picks. Flag set only by the reconciliation, cleared when the provider relists - a flag that cannot be cleared hides a fixture forever. Detail still serves them</t>
  </si>
  <si>
    <t>Corners Poisson regressors tuned (last untuned estimator)</t>
  </si>
  <si>
    <t>Pre-registered WITH tolerances. under-9.5 Brier 0.2535-&gt;0.2509, corners MAE 2.158-&gt;2.120, under-10.5 buckets inverted-&gt;monotonic. Defaults wrong again: depth 4-&gt;3/4, lr 0.3-&gt;0.032. Scoping proved by booster hashes - layer1/layer2 byte-identical. football_xgb_v20260813004745</t>
  </si>
  <si>
    <t>Over/Under CORNERS held-out evaluation (never existed)</t>
  </si>
  <si>
    <t>Corners was judged by MAE alone, which is not what the market sells - the same gap that let goals ship overconfident. Brier + reliability buckets per line, every run, logged to MLflow. Shows discrimination is real but weak: predicted spans 0.2-0.7, observed only 0.44-0.56</t>
  </si>
  <si>
    <t>Retrains now reach the feed (stale model_version re-queue)</t>
  </si>
  <si>
    <t>All 135 upcoming football fixtures were serving predictions from one of FOUR superseded versions. Guard only asked 'does a prediction exist'; promotion is a DB update so nothing logged. Re-queues on version change only, so a daily run still queues nothing</t>
  </si>
  <si>
    <t>Prediction-history analytics notebook</t>
  </si>
  <si>
    <t>ml/notebooks/prediction_history.ipynb - daily results, cumulative accuracy with Wilson bands, reliability/Brier, confidence tier, feature completeness, per-league vs own baseline, CLV, market mix, plus a history() query helper that always returns n/CI/detectable effect. Metric helpers imported from app.history.router so it cannot drift from the endpoint</t>
  </si>
  <si>
    <t>History metrics counted rows, not fixtures</t>
  </si>
  <si>
    <t>Found by the notebook. run_predictions appends rather than replaces; 143 settled football rows sat on 63 fixtures (one had 25), overstating accuracy by 18.7pp (0.5524-&gt;0.3651). Now one row per fixture/kind - the last created BEFORE kickoff. Football now reads below its own baseline, which is the honest number</t>
  </si>
  <si>
    <t>Legend</t>
  </si>
  <si>
    <t>In progress</t>
  </si>
  <si>
    <t>SportIQ — End-to-End Architecture</t>
  </si>
  <si>
    <t>Data flows top to bottom.  Green = live and working   Amber = works with a real gap   Red = stubbed or blocked.  Offline training track shown separately at the foot.</t>
  </si>
  <si>
    <t>1 · EXTERNAL DATA PROVIDERS</t>
  </si>
  <si>
    <t>Vendors</t>
  </si>
  <si>
    <t>API-Football (Pro)
fixtures · team stats · injuries
H2H · lineups · corners</t>
  </si>
  <si>
    <t>TheRundown
odds: NBA + 5 EU + MLS
QUOTA EXHAUSTED</t>
  </si>
  <si>
    <t>BallDontLie
NBA stats · ATP tennis
WTA 401 — unsubscribed</t>
  </si>
  <si>
    <t>TheStatsAPI
xG · shotmaps · shots
collection in progress</t>
  </si>
  <si>
    <t>RotoWire
NBA injuries
NO KEY PROVISIONED</t>
  </si>
  <si>
    <t>SportsDataIO / Highlightly
Phase 2 US sports · video
NOT INTEGRATED</t>
  </si>
  <si>
    <t>▼</t>
  </si>
  <si>
    <t>2 · ADAPTER LAYER  —  every provider call goes through here, never direct from a worker</t>
  </si>
  <si>
    <t>Abstraction</t>
  </si>
  <si>
    <t>DataSourceAdapter (ABC)
fetch_fixtures · fetch_odds
fetch_team_stats · fetch_injuries</t>
  </si>
  <si>
    <t>AdapterFactory
routes by sport slug
per-adapter error isolation</t>
  </si>
  <si>
    <t>3 · INGESTION &amp; INFERENCE WORKERS  (Celery + beat, Redis broker)</t>
  </si>
  <si>
    <t>Scheduled jobs</t>
  </si>
  <si>
    <t>ingest_fixtures
daily 02:00 UTC
±7 days · features · Elo</t>
  </si>
  <si>
    <t>ingest_odds
every 6h · 3-day window
only dates with fixtures</t>
  </si>
  <si>
    <t>ingest_live_scores
every 5 min
scores · status · settlement</t>
  </si>
  <si>
    <t>ingest_injuries
every 30 min
per-sport isolation (fixed)</t>
  </si>
  <si>
    <t>run_predictions
on new fixture
+ injury re-inference</t>
  </si>
  <si>
    <t>backfill_predictions
retrodiction
leakage-safe game log</t>
  </si>
  <si>
    <t>4 · STORAGE</t>
  </si>
  <si>
    <t>Persistence</t>
  </si>
  <si>
    <t>PostgreSQL 16
fixtures · teams · odds · predictions
outcomes · users · team_features</t>
  </si>
  <si>
    <t>Redis 7
pick cache · guest sessions (24h)
Celery broker</t>
  </si>
  <si>
    <t>models_registry
active model per sport
promotion = DB update</t>
  </si>
  <si>
    <t>ml/artifacts
joblib model files
(absolute path — deploy risk)</t>
  </si>
  <si>
    <t>▲  features read   ▼  predictions written</t>
  </si>
  <si>
    <t>5 · ML / INFERENCE</t>
  </si>
  <si>
    <t>Serving</t>
  </si>
  <si>
    <t>Feature assembly
football (25) · nba (16) · tennis (14)
train/serve parity enforced</t>
  </si>
  <si>
    <t>FootballModel
Poisson xG ×2 → XGB 1X2
+ corners regressors</t>
  </si>
  <si>
    <t>NBAModel / TennisModel
XGB binary + isotonic
2-outcome, no draw</t>
  </si>
  <si>
    <t>markets.py
double chance · O/U goals
O/U corners (Poisson)</t>
  </si>
  <si>
    <t>Calibration
isotonic per class
+ xG rate calibrators</t>
  </si>
  <si>
    <t>6 · API  —  FastAPI + Uvicorn</t>
  </si>
  <si>
    <t>REST</t>
  </si>
  <si>
    <t>/fixtures · /picks
best pick across 4 markets
min_probability · min_odds</t>
  </si>
  <si>
    <t>/history · /stats/model
settled performance
vs training metrics</t>
  </si>
  <si>
    <t>/auth · /guest · /user
Argon2id · JWT + refresh
guest → account migration</t>
  </si>
  <si>
    <t>7 · MOBILE CLIENT  —  Expo / React Native (the only client)</t>
  </si>
  <si>
    <t>App</t>
  </si>
  <si>
    <t>Picks tab
day navigator · sport / status
filters · league grouping</t>
  </si>
  <si>
    <t>Live tab
in-play fixtures</t>
  </si>
  <si>
    <t>Profile
prefs · theme · push · biometrics</t>
  </si>
  <si>
    <t>Fixture detail
probability bar · H2H panel
other markets</t>
  </si>
  <si>
    <t>Push notifications
code real — NO EAS PROJECT
cannot mint tokens</t>
  </si>
  <si>
    <t>OFFLINE TRAINING TRACK  —  run locally, never from a production worker</t>
  </si>
  <si>
    <t>Pipeline</t>
  </si>
  <si>
    <t>collect_*_data.py
API-Football · BallDontLie
nba_api (local only)</t>
  </si>
  <si>
    <t>collect_thestatsapi_xg.py
xG + cross-provider join
date+score, name tiebreak</t>
  </si>
  <si>
    <t>ml/data/*.parquet
game logs · lineups
corners · xG</t>
  </si>
  <si>
    <t>train_*.py
Optuna → calibration
→ joblib artefact</t>
  </si>
  <si>
    <t>MLflow
runs · metrics
local store</t>
  </si>
  <si>
    <t>models_registry row
is_active flip promotes
no redeploy needed</t>
  </si>
  <si>
    <t>ARCHITECTURAL NOTES</t>
  </si>
  <si>
    <t>•  Sport-agnostic by design — every core table is keyed by sport_id; adding a sport is a config/data insert, not a schema change.</t>
  </si>
  <si>
    <t>•  Model promotion is a DB update (models_registry.is_active), never a redeploy — TDD §3.1.</t>
  </si>
  <si>
    <t>•  Train/serve parity is enforced in one module per sport: assemble_from_game_log and assemble_from_live_db must stay in lock-step.</t>
  </si>
  <si>
    <t>•  Historical (box-score) key-player logic is kept OUT of app/models_ml/ so it can never be imported into the live path — target-leakage guard.</t>
  </si>
  <si>
    <t>•  Per-item error isolation is now the default in every provider loop: one league or sport failing must not abort the rest.</t>
  </si>
  <si>
    <t>•  nba_api is offline-only — stats.nba.com blocks all cloud IPs, so it must never run from a production worker.</t>
  </si>
  <si>
    <t>⚠  DEPLOYMENT GAP: nothing is deployed. No infra/, artefact paths are absolute Windows paths, no monitoring, no EAS build.</t>
  </si>
  <si>
    <t>Live &amp; working</t>
  </si>
  <si>
    <t>Real gap</t>
  </si>
  <si>
    <t>Stubbed / blocked</t>
  </si>
  <si>
    <t>Datastore</t>
  </si>
  <si>
    <t>API / App</t>
  </si>
  <si>
    <t>Epic Summary</t>
  </si>
  <si>
    <t>Total</t>
  </si>
  <si>
    <t>In progress / Planned</t>
  </si>
  <si>
    <t>% Complete</t>
  </si>
  <si>
    <t>OVERALL</t>
  </si>
  <si>
    <t>Unassigned (should be 0)</t>
  </si>
  <si>
    <t>Auto-calculated from the Delivery Board. Add an epic here if 'Unassigned' is ever non-zero.</t>
  </si>
  <si>
    <t>Risks, Blockers &amp; Open Decisions</t>
  </si>
  <si>
    <t>Item</t>
  </si>
  <si>
    <t>Type</t>
  </si>
  <si>
    <t>Impact</t>
  </si>
  <si>
    <t>Action / Owner decision</t>
  </si>
  <si>
    <t>Model edge is unproven</t>
  </si>
  <si>
    <t>Risk</t>
  </si>
  <si>
    <t>Critical</t>
  </si>
  <si>
    <t>Open</t>
  </si>
  <si>
    <t>1X2 +1.9pp over baseline; O/U ~base-rate. Retrain with xG is the decision point.</t>
  </si>
  <si>
    <t>Over/Under surfaced most, has least signal</t>
  </si>
  <si>
    <t>High</t>
  </si>
  <si>
    <t>GO/NO-GO 2026-08-10 — surface fewer markets rather than ship confident-looking noise.</t>
  </si>
  <si>
    <t>Not deployed anywhere</t>
  </si>
  <si>
    <t>Blocker</t>
  </si>
  <si>
    <t>No infra/, absolute Windows artefact path. ~2-4 weeks of work.</t>
  </si>
  <si>
    <t>No monitoring — silent failures</t>
  </si>
  <si>
    <t>Injury worker failed for weeks unnoticed; Docker down looked like an app bug.</t>
  </si>
  <si>
    <t>TheRundown quota exhausted</t>
  </si>
  <si>
    <t>Medium</t>
  </si>
  <si>
    <t>Decision</t>
  </si>
  <si>
    <t>Pro $99.99/mo before EPL opens 21 Aug, or narrow + stay on Basic.</t>
  </si>
  <si>
    <t>API-Football is a single point of failure</t>
  </si>
  <si>
    <t>Accepted</t>
  </si>
  <si>
    <t>Fixtures, stats, injuries, H2H, lineups all from one vendor. Auto-renews.</t>
  </si>
  <si>
    <t>European odds may need no vendor at all</t>
  </si>
  <si>
    <t>Opportunity</t>
  </si>
  <si>
    <t>Re-test coverage.odds on 21 Aug; could make TheRundown NBA-only.</t>
  </si>
  <si>
    <t>No EAS project</t>
  </si>
  <si>
    <t>Cannot ship the app to a single user, nor mint push tokens.</t>
  </si>
  <si>
    <t>WTA blocked on subscription</t>
  </si>
  <si>
    <t>Low</t>
  </si>
  <si>
    <t>Deferred</t>
  </si>
  <si>
    <t>Code written and unit-tested; needs that tour subscribed.</t>
  </si>
  <si>
    <t>NBA injuries dead (no RotoWire key)</t>
  </si>
  <si>
    <t>player_injury_status stays empty; NBA key-player features never vary.</t>
  </si>
  <si>
    <t>Mobile has no Jest/ESLint</t>
  </si>
  <si>
    <t>tsc is the only automated mobile check.</t>
  </si>
  <si>
    <t>Single-machine dev environment</t>
  </si>
  <si>
    <t>Postgres, Redis, workers and models all on one Windows box.</t>
  </si>
  <si>
    <t>Stale long-lived processes</t>
  </si>
  <si>
    <t>Mitigated</t>
  </si>
  <si>
    <t>Hit 4x in one day. dev_worker.py prevents in dev; check_stale.py detects. Prod needs deploy to restart worker AND beat.</t>
  </si>
  <si>
    <t>Over/Under signal still short of significant</t>
  </si>
  <si>
    <t>xG lifted trend z=+0.73 -&gt; +1.86 (p=0.062). League features REGRESSED it. Shotmap features are the last untried lever.</t>
  </si>
  <si>
    <t>Tennis kickoff times are provider-limited</t>
  </si>
  <si>
    <t>Only ~2% of BallDontLie matches carry a real time; the rest are date-only placeholders. No code fixes this.</t>
  </si>
  <si>
    <t>25+ commits unpushed on a public repo</t>
  </si>
  <si>
    <t>All of today's and yesterday's work exists only on this machine.</t>
  </si>
  <si>
    <t>Over/Under signal</t>
  </si>
  <si>
    <t>Resolved</t>
  </si>
  <si>
    <t>Closed</t>
  </si>
  <si>
    <t>z=+2.96 p=0.0031 through the calibrated production path. Was the top model risk; surfacing a headline % is now defensible.</t>
  </si>
  <si>
    <t>localhost resolves to IPv6 on Windows</t>
  </si>
  <si>
    <t>Broke every new host-&gt;container DB connection: 61 test errors, API 500s, failed exports. Pinned to 127.0.0.1 in .env; compose and .env.example still need it.</t>
  </si>
  <si>
    <t>Fewer features beat more, twice</t>
  </si>
  <si>
    <t>Insight</t>
  </si>
  <si>
    <t>League baselines hurt; pruning 7 helped. On ~5,200 rows correlated inputs cost more variance than they add signal. Test removals as readily as additions.</t>
  </si>
  <si>
    <t>Bundesliga widens the pooled goals range</t>
  </si>
  <si>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</si>
  <si>
    <t>Sampling can fake a coverage gap</t>
  </si>
  <si>
    <t>Ligue 1 returned 0/2 xG for three straight seasons from two matches off the head of page 1; six spread across each season returned 5/6 every time. ~930 fixtures were nearly discarded. When coverage appears to VANISH in later seasons, suspect the sample first.</t>
  </si>
  <si>
    <t>Model promotion needs a redeploy</t>
  </si>
  <si>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</si>
  <si>
    <t>git will not descend into an excluded directory</t>
  </si>
  <si>
    <t>A negation inside an excluded directory silently did nothing; the CONTENTS had to be excluded instead. Caught only because staged files still did not appear in git status.</t>
  </si>
  <si>
    <t>Kickoff reminders skip estimated kickoffs</t>
  </si>
  <si>
    <t>An estimated kickoff is a DATE not a time, so a T-60 reminder off a midnight placeholder would be false. Skipped rather than sent wrong. Affects most ATP fixtures until BallDontLie publishes real times - only ~2% carry one.</t>
  </si>
  <si>
    <t>Android package name is permanent after release</t>
  </si>
  <si>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</si>
  <si>
    <t>Push notifications remain unverifiable on device</t>
  </si>
  <si>
    <t>SUPERSEDED by the row below. eas init created @usangr01/sportpiq and wrote a real projectId, so a token can now be minted; what remains is device verification, tracked separately rather than duplicated here.</t>
  </si>
  <si>
    <t>Push still unverified on a device</t>
  </si>
  <si>
    <t>projectId now exists so a token CAN be minted, but nothing has been delivered to a real device. Needs a development build: Expo Go on Android cannot receive remote push since SDK 53. Reduced from blocking to testable.</t>
  </si>
  <si>
    <t>Trademark position for SportPIQ</t>
  </si>
  <si>
    <t>Monitored</t>
  </si>
  <si>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</si>
  <si>
    <t>Firebase adopted for FCM only, not as a backend</t>
  </si>
  <si>
    <t>Firebase supplies ONE thing: FCM credentials so Expo can deliver Android push. Its Auth, Firestore, Functions and Hosting are deliberately unused - the project already has JWT+Argon2id auth, Postgres with migrations, FastAPI+Celery, and a Render blueprint. Adopting any would fork the architecture and create two sources of truth. The backend keeps talking to Expo via exponent-server-sdk and never to Firebase directly, so firebase-admin is NOT a dependency.</t>
  </si>
  <si>
    <t>Service-account key was synced to OneDrive</t>
  </si>
  <si>
    <t>The downloaded FCM key (full Firebase admin access) was moved into a OneDrive folder, so it replicated to the cloud before upload. Gitignore rules were added BEFORE the file existed, so it never reached the public repo. Deleted after upload; the OneDrive recycle bin must also be emptied, since deleted files linger there and stay synced. A fresh key takes seconds to generate, so there is no reason to retain one locally.</t>
  </si>
  <si>
    <t>Web testing does not catch device layout bugs</t>
  </si>
  <si>
    <t>Three device-only bugs in one session, and every browser pass had gone green on all of them. RN/Yoga resolves percentage and flex heights against an undefined parent very differently from web block layout: h-full grew unbounded and flex-1 collapsed to zero, neither visible in a browser. Treat Expo web as a check on logic and data, never on native layout. Any layout change now needs a device pass before it counts as verified.</t>
  </si>
  <si>
    <t>The test suite writes to the dev database</t>
  </si>
  <si>
    <t>There is no separate test database; every suite seeds the dev one. test_watchlist.py omitted cleanup and 24 fake sports reached the app's live dropdown, and a running ingest worker computed 30 real feature vectors against them. Every other test file cleans up by convention alone - nothing enforces it. A dedicated test database, or a session-scoped truncate, would remove the whole class.</t>
  </si>
  <si>
    <t>Closed (see correction)</t>
  </si>
  <si>
    <t>CORRECTED. This was logged and repeated as 'quota exhausted, odds degrading now', but that was never verified. Measured after the upgrade: a full odds cycle cost ZERO requests and every league playing that week already had current odds from API-Football. The earlier real two-day odds outage had a different, already-fixed cause (no retry/pacing in the adapter) and was probably misattributed to quota. What IS true and verified: API-Football returns odds=False for ALL FIVE European leagues, so TheRundown is the ONLY odds source for EPL. Without it, from 21 Aug every EPL pick would be probability-only, with no EV ranking and min_odds silently degrading. So the Pro plan is genuinely required - from 21 Aug, not from the date it was bought. The urgency was manufactured by an unchecked claim, not by the facts.</t>
  </si>
  <si>
    <t>Odds quota cost is fixture-gated, not league-gated</t>
  </si>
  <si>
    <t>A measured cycle cost ZERO requests. _dates_with_fixtures only requests dates that actually have a fixture and skips a league with none, so cost scales with matches PLAYED rather than leagues configured. An earlier estimate of 3,360/month (67% of quota) assumed every league plays every day and was a worst case, not a forecast. Adding a league costs nothing until it plays - which changes how cheap expansion is.</t>
  </si>
  <si>
    <t>TheRundown value starts 21 Aug, not today</t>
  </si>
  <si>
    <t>Everything playing this week (CSL, Scottish Prem, Brasileirao) is on leagues TheRundown does not cover and already has current odds from API-Football. Its coverage begins to matter at MLS on 08 Aug and properly at EPL on 21 Aug. The upgrade is correctly timed rather than fixing a present symptom - no odds are currently degrading.</t>
  </si>
  <si>
    <t>Is API-Football EPL odds coverage real or seasonal?</t>
  </si>
  <si>
    <t>UNRESOLVED, and it decides whether the TheRundown Pro subscription is needed at all. Every league reporting coverage.odds=True (MLS, Brasileirao) is currently IN SEASON; every league reporting False (all 5 European) is OUT of season. That confound is total, so the data fits 'API-Football only serves odds for a live season' exactly as well as 'these leagues are not covered'. /odds returns results=0 for EPL 2025, EPL 2026 and a specific 21 Aug fixture, while MLS 2026 returns 10 as a control - but past-season odds may simply not be retained, so that does not discriminate either. MLS is the tell: False for 2024/2025 (completed), True for 2026 (in season). Recheck on 21 Aug when EPL actually starts. Asserted as settled twice already and wrong both times - do not report it resolved before that date.</t>
  </si>
  <si>
    <t>The basic quota was burned by a bug, not demand</t>
  </si>
  <si>
    <t>TheRundown has contributed exactly TWO rows to this database in its entire life - both BetMGM, both the same Feb NBA test fixture. Every other odds row (~28,000) is from API-Football bookmakers. The 1,000/month basic allowance was consumed by ingest_odds running EVERY 5 MINUTES (288x/day) from 28 Jul to 2 Aug, calling TheRundown for leagues that were either out of season (all five European) or not covered by it at all (Brasileirao, CSL, Scottish Prem). At 2-3 calls per run that is 600-900/day - the month's allowance gone in a day or two. Both fixes (6-hourly cadence, fixture gating) were already in place BEFORE the Pro upgrade was bought, so the system was consuming nothing by then.</t>
  </si>
  <si>
    <t>User confirmed the API-Football subscription will be renewed. This was carried as an open P0 after that had already been stated - a second instance of a stale item surviving in the list. Not a risk.</t>
  </si>
  <si>
    <t>Best-odds MAX actively selects for outliers</t>
  </si>
  <si>
    <t>best_available_odds takes the MAXIMUM price across books, which is correct as a product feature but means a single bad row is not diluted - it is chosen. One bookmaker listing a match with the sides reversed therefore wins outright and the card shows the favourite at the underdog's price, which is worse than showing no odds at all. Applies to every sport, not just tennis; football has simply not hit a reversed book yet. Any future 'best of N' aggregation needs the same scrutiny.</t>
  </si>
  <si>
    <t>Polymarket lists ATP with the sides reversed</t>
  </si>
  <si>
    <t>Observed inverted on 3 of 3 ATP matches checked (Norrie, Khachanov, Marozsan) - consistently, not sporadically. Mitigated by a structural inversion filter in best_available_odds rather than a blocklist, so another book developing the same fault is also covered. Excluding it at ingest may be cleaner if the pattern holds; needs a few more days of data first.</t>
  </si>
  <si>
    <t>A distance threshold hid a real bug</t>
  </si>
  <si>
    <t>The first fix rejected rows more than 0.25 from the median implied probability. It worked on the lopsided match it was tested against (Norrie) and silently failed on near-even ones (Khachanov: an inverted row sits only 0.14 away). Verifying against the one case that happened to pass, then generalising, is what let it ship. The replacement asks whether a row is inverted directly, which has no blind spot and no threshold to tune.</t>
  </si>
  <si>
    <t>Analytics scoped to mobile only, deferred to post-launch</t>
  </si>
  <si>
    <t>PostHog key is in keys.docx and ready. Scope decided: MOBILE ONLY - screen views, filter usage, which picks get opened. Backend events are deliberately excluded; Sentry already covers errors, and every incident so far was found from logs and the database rather than analytics. Timing is deliberate too: on a single-device dev build analytics mostly measures the developer, so it is worth adding once there are real users and near-worthless before. Same containment principle applied to Firebase, which supplies FCM and nothing else. TWO OPEN QUESTIONS before building: whether guests are tracked at all (a guest session is anonymous by design - Redis, 24h TTL, no PII - and analytics must not quietly undo that), and EU vs US hosting for GDPR.</t>
  </si>
  <si>
    <t>Tennis total games must not repeat the football O/U mistake</t>
  </si>
  <si>
    <t>Football's Over/Under shipped on a model that could not predict goals (predicted xG vs actual r=+0.030, buckets flat at the base rate) and needed an xG collection, OOF stacking and pruning to fix. The same measurement was run FIRST for tennis: rank_gap vs total games is r=+0.051, rank_diff +0.023, first-set games under 0.02 - i.e. the current win/loss feature set carries no game-count signal. DECISION: build total games only on new features (player rolling average games, surface, opponent-adjusted tendency), and validate against the base rate on held-out data BEFORE wiring the market. First-set games is NOT being built: sd 1.97 on a mean of 10, no measurable signal, P(over 9.5)=0.542.</t>
  </si>
  <si>
    <t>Serve features need a GOAT-tier upgrade</t>
  </si>
  <si>
    <t>Hold %, break points, aces and tiebreak frequency are the strongest candidate features for game count, and all come from /match_stats, which returns 401 on the current ALL-STAR plan (verified live, alongside /player_career_stats, /head_to_head and /odds). Deliberately sequenced LAST: v1 uses only data already held, so the tier is bought only if the free features first prove the market works. The opposite order to how the football market was built.</t>
  </si>
  <si>
    <t>Live/in-play tennis markets are an architecture change</t>
  </si>
  <si>
    <t>Requested alongside total games. Declined for now: ingest polls every 5 minutes and in-play prices move in seconds, so a stale in-play price is misleading rather than merely old - the user would see value that closed minutes ago. Needs real-time ingest and live odds before it is a market question at all.</t>
  </si>
  <si>
    <t>Corners blend is data-starved</t>
  </si>
  <si>
    <t>Only ~27% of live fixtures have enough corner history for the reference; the rest fall back to the model alone. Grows as fixtures settle; no free backfill (zero id overlap with the parquets)</t>
  </si>
  <si>
    <t>Draw class collapses under calibration</t>
  </si>
  <si>
    <t>Isotonic takes draw from favourite-11% (raw) to 1% (calibrated) while draws happen 26% of the time. Brier still improves, so not clearly wrong - but away prob has never exceeded 0.573</t>
  </si>
  <si>
    <t>Live feature sparsity on out-of-season leagues</t>
  </si>
  <si>
    <t>EPL median completeness 0.12, LaLiga 0.10 - between seasons, so cards are near-pure prior. NOT a collection gap: all 9 leagues are trained. Resolves when seasons start</t>
  </si>
  <si>
    <t>Total games market: closed, will not build</t>
  </si>
  <si>
    <t>n/a</t>
  </si>
  <si>
    <t>Gate failed on 1,277 held-out fixtures. Revisit only with point-level or in-play data, not more modelling of the same inputs</t>
  </si>
  <si>
    <t>H2H as a model input: closed</t>
  </si>
  <si>
    <t>Measured worse than the league mean in all three markets and at every window. The model already carries H2H features and correctly weights them near zero</t>
  </si>
  <si>
    <t>Tier-1 league pooling: closed, KEEP</t>
  </si>
  <si>
    <t>Criteria fixed BEFORE the run so the verdict could not be fitted to it. Baseline gap held (+4.09 -&gt; +4.14pp) and under-3.5 discrimination improved sharply (z +3.35 -&gt; +5.92, buckets monotonic for the first time). Calibration was already ~0, so this is a discrimination gain</t>
  </si>
  <si>
    <t>Empty feature vectors produced extreme picks</t>
  </si>
  <si>
    <t>1X at 99.7% off 3/31 features, and such picks RANKED FIRST because with no odds both EV ranking and the market guard degrade to raw probability. Fixed by a measured completeness floor (0.25) in _pick_best. Pre-dated the retrain - the 9-league model gave 93.6% on the same vector - so pooling worsened it rather than causing it</t>
  </si>
  <si>
    <t>Trained-on but not served: 9 Tier-1 leagues</t>
  </si>
  <si>
    <t>The model learned from 18 leagues; the app ingests 9. Users see no Swedish/Japanese/Polish fixture. Training config and live LEAGUE_IDS are separate wirings and drifted apart</t>
  </si>
  <si>
    <t>RETRACTED: celery beat was never duplicated</t>
  </si>
  <si>
    <t>The claim was wrong - one celery launch is two PIDs (launcher + child), confirmed via ParentProcessId. No task was ever firing twice. The real fault was a stale worker holding pre-edit code. Check parentage before inferring anything from a process count</t>
  </si>
  <si>
    <t>Season conventions: closed, resolved from the provider</t>
  </si>
  <si>
    <t>resolve_current_season now reads current=true with a 12h cache and falls back to the hardcoded rules. A league that changes its calendar corrects itself within the TTL rather than needing a code change and a bug report first</t>
  </si>
  <si>
    <t>Stale features look identical to good ones</t>
  </si>
  <si>
    <t>feature_completeness measures PRESENCE, not FRESHNESS. New-league retrodictions scored 0.516 - comfortably above the 0.25 floor - while their form/Elo came from game logs ending 2-8 months earlier. Stale-but-present data produces a confident wrong number, which is worse than a missing one. Options: collect current-season history for these leagues, add a staleness guard alongside completeness, or withhold picks until our own DB holds N recent completed fixtures for that league</t>
  </si>
  <si>
    <t>Silent type mismatches across data sources</t>
  </si>
  <si>
    <t>Audited: all parquets agree on key dtypes, corners/xG merges verified to populate (54-79%, not all-NaN), training Elo resolves 100%. The retrodiction Elo path was the only unhandled instance - _lineup_presence_for_fixture already handled it</t>
  </si>
  <si>
    <t>Data collected outside the split windows is inert</t>
  </si>
  <si>
    <t>A season matching no split is assembled and then dropped, so collecting it changes nothing in the model while every surface signal (example count up, retrain runs, new artefact registered) suggests it did. Confirmed only by hashing the boosters. Hash the artefact before believing a retrain did anything</t>
  </si>
  <si>
    <t>Stale workers keep masking real fixes</t>
  </si>
  <si>
    <t>Hit twice on 2026-08-10: a LEAGUE_IDS change the worker never loaded (no odds for 9 leagues), then a no-draw guard the worker never loaded (deleted rows recreated every 5 minutes). Neither raised an error; both looked like the fix not working. Restart worker and beat after any change under app/, and check process start time against file mtime before believing live data</t>
  </si>
  <si>
    <t>Bookmaker names differ only by case</t>
  </si>
  <si>
    <t>draftkings/Draftkings and fanduel/Fanduel are stored as separate books, so one book's price counts twice in the consensus median that decides which rows are inverted. Not currently changing any verdict, but it weights the median wrongly</t>
  </si>
  <si>
    <t>watchlist_items.created_at model/DB drift</t>
  </si>
  <si>
    <t>Autogenerate wants NOT NULL; the database has it nullable. Stripped from the push-receipts migration rather than smuggled in. Needs its own migration</t>
  </si>
  <si>
    <t>Player availability is unobservable, not unimportant</t>
  </si>
  <si>
    <t>The old key-player feature was dropped as measured-worthless, and separately an external review found real derivation flaws (end-of-season leakage in the top-5 selection, and training on post-match appearances). Both correct. But the BINDING constraint is upstream of the feature: the availability signal itself resolves 1% of the time, so 98% of live rows say either 'unknown' or 'all five fit'. Rebuilding the feature before fixing the join would be building on a variable we cannot observe. Availability very likely does matter in football; what was measured is that OUR MEASUREMENT of it is broken.</t>
  </si>
  <si>
    <t>Vanished fixtures need positive evidence, not a timer</t>
  </si>
  <si>
    <t>Fourth recurrence of 'a cancelled match still shows a live pick', after three fixes that each adjusted a time threshold. The clock cannot detect a fixture withdrawn BEFORE its kickoff, so the instrument was wrong rather than the number. Now reconciled against the provider's own current list at ingest, free of API cost. The dangerous direction is the opposite one, so an empty payload (indistinguishable from a rate-limited fetch) retires nothing and only dates the provider actually reported on are considered.</t>
  </si>
  <si>
    <t>Duplicate tennis Prediction rows</t>
  </si>
  <si>
    <t>64 tennis fixtures carry 2 identical predictions (same model version and kind); 541 carry one. Harmless today - nothing calls scalar_one on Prediction, so this is not the MultipleResultsFound class that bit TeamFeatures - but unexplained.</t>
  </si>
  <si>
    <t>Withdrawn vs called-off fixtures</t>
  </si>
  <si>
    <t>Decided: hide fixtures WITHDRAWN from the provider's list, keep showing ones the provider explicitly called off. Both are POSTPONED, but a called-off match was real and users asked to see it, while a withdrawn one was never scheduled. Screenshotting the fix is what made the cost visible - 33 grey cards above the day's 2 genuine picks. Hiding is scoped by fixtures.withdrawn, never by status, so it cannot swallow real postponements.</t>
  </si>
  <si>
    <t>Corners discrimination is real but weak</t>
  </si>
  <si>
    <t>Now measurable for the first time. Predicted P(under 9.5) spans 0.2-0.7 while the observed rate spans only 0.44-0.56, and the bottom two buckets are still inverted on small n. Better than goals (flat at base rate) and consistent with the r=+0.288 measured live, but corners wins ~half of all headline picks, so this is the number to watch.</t>
  </si>
  <si>
    <t>A promotion did not reach any user</t>
  </si>
  <si>
    <t>Found while delivering the corners tuning: every upcoming football fixture was serving a prediction from one of four superseded models. Same shape as the stale-worker and served-but-untrained traps - work completed, never delivered, with nothing failing or logging. Fixed by re-queueing on model_version change, which fires on promotion rather than on a schedule so routine runs still cost nothing.</t>
  </si>
  <si>
    <t>Football pre-match accuracy is below baseline</t>
  </si>
  <si>
    <t>Once each fixture counts once: n=63, accuracy 0.3651, CI [0.257, 0.489], against a ~0.47 baseline. NOT reportable (floor is 93) and the interval spans the baseline, so this is not yet evidence the model is worse than picking home - but it is the opposite direction from what was previously displayed and it is the number to watch as n grows.</t>
  </si>
  <si>
    <t>Duplicate predictions were mis-triaged as harmless</t>
  </si>
  <si>
    <t>They were checked for the failure mode that had bitten before (MultipleResultsFound via scalar_one) and cleared on that basis, while the defect actually present was silent inflation of a live user-facing accuracy. Checking for the last bug is not the same as checking for a bug.</t>
  </si>
  <si>
    <t>SportIQ — Edge Measurement Plan (P0-P3)</t>
  </si>
  <si>
    <t>Tracks whether the predictions actually work, which the Delivery Board deliberately does not: that tracks what was BUILT. As of 2026-08-10 there is no demonstrated betting edge — football ROI -6.4% (n=38), CLV -3.58% (n=27, market moving away from our picks), tennis +1.6pp over 'always back the higher-ranked player'. Green CI is not evidence the predictions are good.</t>
  </si>
  <si>
    <t>Priority</t>
  </si>
  <si>
    <t>Depends on</t>
  </si>
  <si>
    <t>Why it matters / what it answers</t>
  </si>
  <si>
    <t>P0</t>
  </si>
  <si>
    <t>Separate real pre-game forecasts from retrodictions</t>
  </si>
  <si>
    <t>—</t>
  </si>
  <si>
    <t>DONE (7a611e9). predictions.kind = pre_match | retrodiction | unknown, set at write time by each path, never inferred. Timestamps could NOT substitute: regenerating 91 football predictions earlier that day reset created_at to after those kickoffs. The backfill is therefore one-directional — created_at &lt; kickoff proves a forecast, the reverse proves nothing, so those rows are UNKNOWN rather than guessed. UNKNOWN is also the column default, so a future path that forgets to set it is excluded from skill measurement rather than silently claiming to be a forecast. Result: football 283 pre_match / 90 unknown, tennis 146 / 453.</t>
  </si>
  <si>
    <t>Confirm capture_closing_odds is actually writing</t>
  </si>
  <si>
    <t>DONE — and it was already working. 19 task runs this session and 1,151 odds rows stamped within 45 min of kickoff, against the n=27 the -3.58% CLV figure rests on. So CLV was computed on a stale slice, not a thin one: this is a READ problem, not a capture problem, and needs analysis rather than a build.</t>
  </si>
  <si>
    <t>P1</t>
  </si>
  <si>
    <t>Spec what /history reports, before building it</t>
  </si>
  <si>
    <t>DONE — docs/history-metrics-spec.md, written before the endpoint exists so its shape cannot be chosen after seeing which cut looks best. Defines population (pre_match only, voids excluded, unknown counted not hidden), exact metric definitions, multiple-comparisons discipline, and a hard requirement that every metric carries n, a CI and its detectable effect. Also lists what would make the endpoint MISLEADING, so it can be checked against.</t>
  </si>
  <si>
    <t>Build GET /history over existing settled outcomes</t>
  </si>
  <si>
    <t>P0, spec</t>
  </si>
  <si>
    <t>DONE (53b7d2a) — and it was never a 501 stub; CLAUDE.md was stale. The endpoint has been LIVE and serving a contaminated number: /history/summary averaged both prediction paths, which measured football at 53.3% instead of 56.1% and tennis 61.7% instead of 63.6%. DOWNWARD, the opposite of the predicted direction — retrodictions score worse, not better, because assemble_from_game_log has a leakage guard and thinner features. Now pre_match by default, retrodictions behind an explicit ?kind=, excluded rows counted rather than dropped.</t>
  </si>
  <si>
    <t>Grade the pick that was SHOWN, not a recomputed one</t>
  </si>
  <si>
    <t>Resolved by pick_snapshots: /history will grade the stored snapshot rather than recomputing, so it measures the product users actually saw. Applies only to fixtures captured from 2026-08-10 onward.</t>
  </si>
  <si>
    <t>P2</t>
  </si>
  <si>
    <t>PRE-REGISTER the verdict thresholds (SETTLED 2026-08-11, spec §9): CLV primary over accuracy on sample size (n~223-396 vs ~1,650); edge = CI excluding 0; the no-edge response pre-committed; re-read 2026-09-15</t>
  </si>
  <si>
    <t>spec</t>
  </si>
  <si>
    <t>What counts as an edge, what counts as none, and what happens in each case - written before looking at results. Same discipline that made the Tier-1 and key-player calls trustworthy rather than fitted.</t>
  </si>
  <si>
    <t>MIN_REPORTABLE_N 30 -&gt; 93 to match the spec: the smallest n whose 95% Wilson interval is under 20 points. Excludes tennis (n=77), admits football (n=139) — set by the rule, not to fit the data</t>
  </si>
  <si>
    <t>pre-registration</t>
  </si>
  <si>
    <t>sufficient_sample split into sufficient_sample (safe to display) + conclusive (safe to act on). One flag read as "trustworthy" when it only meant "big enough to print"</t>
  </si>
  <si>
    <t>First honest read: per sport, per market, per league</t>
  </si>
  <si>
    <t>/history</t>
  </si>
  <si>
    <t>'No edge overall' can hide a real edge in one league or market, and a headline average would bury it.</t>
  </si>
  <si>
    <t>Re-read CLV at a real sample size</t>
  </si>
  <si>
    <t>P0 capture check</t>
  </si>
  <si>
    <t>DONE — and the CONTROL changed the reading. Favoured side -3.47% vs the side NOT favoured +0.83%, a -4.30pp gap (n=81 each). But football's control is ALSO negative (-2.40%), so a real part of the raw -3.61% is systematic price drift rather than the model. The control is not clean either: for a 3-way market it is the less-likely of home/away, usually the underdog, whose prices are longer and more volatile. Directional evidence against an edge; NOT a number to quote precisely. The naive -4.00% headline would have overstated it.</t>
  </si>
  <si>
    <t>Do confidence tiers mean anything?</t>
  </si>
  <si>
    <t>ANSWERED: no, and worse than no. HIGH claims 74.1% delivers 60.9% (n=69); MEDIUM claims 57.8% delivers 68.5% (n=89) — the badge pointed users at the WEAKER set. Intervals overlap so the inversion is not established; the calibration gap is. Badge hidden from mobile (7233029), field still stored as measurement data. The push gate still fires on HIGH and is knowingly left in place — n=69 is too thin to rewrite it on, and exactly one real token exists — but it MUST be resolved before push reaches real users.</t>
  </si>
  <si>
    <t>Re-run completeness-vs-correctness</t>
  </si>
  <si>
    <t>DONE: &lt;0.25 33.3% (n=9), 0.25-0.35 37.5% (n=16), &gt;=0.35 69.9% (n=123). The floor works, but the real break is at 0.35 — where mobile's own LOW_CONFIDENCE_COMPLETENESS already sits. The 0.25 choice was defensible on the extremeness evidence used at the time (85% of picks below it were &gt;=0.90 confident vs 6% above); correctness points higher. NOT changed: n=16 in the middle band, and the decision belongs with the pre-registration rather than to whoever is looking at the data.</t>
  </si>
  <si>
    <t>P3</t>
  </si>
  <si>
    <t>Decide Over/Under's future on the evidence — DONE 2026-08-11, and it split in two: goals_total n=242 r=+0.049 (0.2% of variance) is barred from winning the headline pick; corners_total n=234 r=+0.288 (8.3%, ~4.4 SE from zero) is KEPT. Decidable without the CLV read</t>
  </si>
  <si>
    <t>P2 read</t>
  </si>
  <si>
    <t>Already measured as near-base-rate (predicted xG vs actual goals r=+0.030). The open question is not how to improve it but whether to keep surfacing it as a confident pick.</t>
  </si>
  <si>
    <t>Let the measurement inform the 22 Sep renewal</t>
  </si>
  <si>
    <t>API-Football ends 2026-09-29. Renewing to collect more history is a different decision from renewing to serve a working product.</t>
  </si>
  <si>
    <t>HOLD</t>
  </si>
  <si>
    <t>No new leagues until measurement lands</t>
  </si>
  <si>
    <t>Hold</t>
  </si>
  <si>
    <t>Nine were added this week. More widens coverage of something whose value is unproven.</t>
  </si>
  <si>
    <t>No new markets until measurement lands</t>
  </si>
  <si>
    <t>Corners and O/U are already surfaced without evidence they are worth backing.</t>
  </si>
  <si>
    <t>No retrains chasing accuracy</t>
  </si>
  <si>
    <t>Three retrains in two days moved the headline by noise. The binding constraint is signal and evidence, not tuning.</t>
  </si>
  <si>
    <t>FINDING: the sample cannot yet answer the question</t>
  </si>
  <si>
    <t>power analysis</t>
  </si>
  <si>
    <t>Measured after closing P0. At 80% power, n=139 football detects only a 10.5pp edge and we believe ours is 4.1pp — 891 graded pre-match picks needed, 6x what exists. Tennis is far worse: 1.6pp believed edge needs ~5,406, against 79 (68x). CONSEQUENCE: the first /history read cannot conclude anything about edge. Build it as instrumentation that accumulates, and expect a real verdict in months, not days. Anyone reading an early number as proof either way is reading noise.</t>
  </si>
  <si>
    <t>Set expectations: /history is instrumentation, not a verdict</t>
  </si>
  <si>
    <t>the finding above</t>
  </si>
  <si>
    <t>DONE. Every accuracy now carries n, a 95% Wilson interval and its minimum detectable effect. Live: football n=139 acc 0.561 CI [0.478,0.641] detectable 0.105; tennis n=77 acc 0.636 CI [0.525,0.735] detectable 0.136. The intervals are the point — football's spans 16 points and its detectable effect dwarfs the 4.1pp edge we believe in, so the number cannot settle the question either way.</t>
  </si>
  <si>
    <t>FINDING: the pick we SHOW is never persisted</t>
  </si>
  <si>
    <t>spec §2b</t>
  </si>
  <si>
    <t>RESOLVED by pick_snapshots (8f794e0). Product-skill metrics accumulate from 2026-08-10; nothing before it is recoverable.</t>
  </si>
  <si>
    <t>Persist the pick at the moment it is shown</t>
  </si>
  <si>
    <t>DONE (8f794e0). pick_snapshots, captured hourly for fixtures 4-8 HOURS out — not next to the closing-odds capture, which would have made CLV meaningless by construction: taken/closing - 1 is ~0 when both prices are recorded fifteen minutes apart, so the metric would read reassuringly neutral while measuring nothing. Delegates to _bulk_best_picks, the feed's own selection, with a test asserting the delegation. One row per fixture. Verified live: an ATP pick at 2.17, p=0.536, T-7.3h. NOTE: nothing before this commit is recoverable — the ROI/CLV clock starts now.</t>
  </si>
  <si>
    <t>Push gate no longer uses the confidence tier</t>
  </si>
  <si>
    <t>DONE (6bd3582). Replaced with the FEED'S OWN selection (_bulk_best_picks), not a new threshold — n=69 was far too thin to invent one, and doing so was explicitly refused for the completeness floor on n=16. A push can now only be sent for a pick the app itself would surface. Removing the gate outright was not an option: best_outcome returns something for almost any priced fixture. Also fixed a real incoherence found while reading the flow — the old path used h2h-only best_outcome while the card shows the best pick ACROSS markets, so a push could say 'back home' while the app showed 'UNDER 3.5' for the same fixture.</t>
  </si>
  <si>
    <t>FINDING: the snapshot pipeline was never running. Worker and beat launched 3h BEFORE snapshot_picks.py was written, so the running beat had no snapshot entry — one row (a manual test call) in 24h. Third instance of the stale-process trap; restarted and verified through the real broker</t>
  </si>
  <si>
    <t>pick snapshots</t>
  </si>
  <si>
    <t>VALIDATED §9.7: 79% of upcoming fixtures yield a pick; 34% of settled ones carry odds, so ~53 CLV-eligible/week reaches n=223 in 4-5 weeks. The 2026-09-15 re-read date holds and is slightly conservative</t>
  </si>
  <si>
    <t>FINDING: odds coverage is fixture-binary and the whole gap was the 9 Tier-1 leagues (7 at ZERO). NOT a bug — added 08-09 with historically-backfilled fixtures that never passed a live odds window. All 9 report coverage.odds=true and 8 returned real prices on demand</t>
  </si>
  <si>
    <t>CLV sample size</t>
  </si>
  <si>
    <t>Beat now publishes its own code fingerprint (beat_init) and check_stale reports it. The blind spot was exactly where the damage was: only the worker published, so a stale SCHEDULER read as "ok". Both processes moved onto dev_worker.py, which restarts on change</t>
  </si>
  <si>
    <t>the snapshot finding</t>
  </si>
  <si>
    <t>Guard: every scheduled task must belong to a module the worker imports, and the snapshot entry is pinned by name — the whole pre-registration rests on one beat_schedule line whose absence is silent</t>
  </si>
  <si>
    <t>beat liveness</t>
  </si>
  <si>
    <t>Sentry wired into the Celery worker and beat, not just the API — it had only ever been initialised in create_app(), so every silent worker failure this project has had was unreportable. One shared initialiser; events tagged with component + loaded code fingerprint</t>
  </si>
  <si>
    <t>monitor_beat_tasks makes each beat_schedule entry a Sentry cron monitor, so a scheduled task that STOPS ARRIVING alerts. The one failure ordinary error reporting cannot catch: no exception, no failed task, no log line — the work just never happens</t>
  </si>
  <si>
    <t>Sentry wiring</t>
  </si>
  <si>
    <t>SENTRY_DSN_BACKEND now populated in backend/.env (gitignored). The DSN existed in keys.docx from the start — it had simply never reached the environment the app reads. Verified: init_sentry True, test event accepted, transport flushed</t>
  </si>
  <si>
    <t>user action</t>
  </si>
  <si>
    <t>Tennis odds were stale up to 6h: the hourly job used BallDontLie only (4 matches priced) while TheRundown (31 ATP events, all unmasked) arrived only on the shared 6-hourly run. Given its own 2-hourly job — ~720 calls/mo vs ~1,440 hourly, which would not fit alongside football's expected ~3,600. One day went 4 of 28 priced -&gt; 24 of 28</t>
  </si>
  <si>
    <t>odds coverage</t>
  </si>
  <si>
    <t>NOTE: odds make the feed SMALLER, not larger — that day went 8 fixtures to 4. min_odds can only apply where a price exists, and tennis favourites at ~0.70 price below a 1.50 floor. Those cards previously showed because the filter silently could not apply</t>
  </si>
  <si>
    <t>Football empty cards are NOT a fault: ODDS_LOOKAHEAD_DAYS=3 and no football fixture is currently inside 3 days. Recheck once the European seasons open on 21 Aug</t>
  </si>
  <si>
    <t>PERSON-name matching for tennis odds: the lookup was exact + case-sensitive, so 4 fixtures with real prices showed empty cards (SoonWoo vs Soonwoo; Wu Yibing vs Yibing Wu; Chak Lam Coleman Wong). Token-SET match needing &gt;=2 shared tokens, opt-in per sport. 24 of 28 -&gt; 28 of 28 priced; model/market agree on the favourite in 21 of 28</t>
  </si>
  <si>
    <t>TRAP: TheRundown's teams_normalized array ORDER is not home/away — read is_home. Comparing against [0] produced a false "orientation is broken" alarm that nearly became a fix; the pipeline was correct</t>
  </si>
  <si>
    <t>Fixtures that vanish from the provider are now retired to POSTPONED (12h past a known kickoff, 48h past a placeholder midnight). Neither provider emits "cancelled" — BallDontLie 404s the match, API-Football omits it — so a vanished fixture kept SCHEDULED forever and its card showed an active pick days later. 3 tennis + 1 football retired</t>
  </si>
  <si>
    <t>user report</t>
  </si>
  <si>
    <t>The 48h estimated-kickoff threshold is the load-bearing half: a Time-TBC fixture is stored at midnight, so one clock for both would retire most of a live tournament every morning. 21 of 21 that day correctly untouched</t>
  </si>
  <si>
    <t>Mobile crash reporting wired (@sentry/react-native, init at module level in the root layout so first-render errors are caught). Verified in a real browser: forcing one unhandled error produced exactly one envelope to the mobile project. Expo Go reports JS errors only — native crashes need an EAS build</t>
  </si>
  <si>
    <t>observability</t>
  </si>
  <si>
    <t>TRAP: killing uvicorn by command line does not work — a --reload child is spawned via multiprocessing so its cmdline says spawn_main, not uvicorn. Two orphans served stale code through four restarts while netstat blamed dead parent PIDs. check_stale.py caught it correctly throughout</t>
  </si>
  <si>
    <t>GAP: Sentry Expo plugin has no organization/project set, so production source maps will not upload and release stack traces would be minified. Moot until an EAS build exists</t>
  </si>
  <si>
    <t>mobile observability</t>
  </si>
  <si>
    <t>MODEL</t>
  </si>
  <si>
    <t>EXTERNAL CRITIQUE accepted: pooled model has no league feature and reports pooled metrics only; hyperparameters are effectively XGBoost defaults. Both verified true. HOLD on retrains deliberately lifted by the user to work through the fixes</t>
  </si>
  <si>
    <t>critique</t>
  </si>
  <si>
    <t>#1 PER-LEAGUE METRICS — train_football.py now reports 1X2 accuracy per league against THAT league's own always-home baseline, plus n and RPS, printed and logged to MLflow. Pooled +4.14pp hid a spread from -3.3pp to +14.0pp across 18 leagues</t>
  </si>
  <si>
    <t>#1</t>
  </si>
  <si>
    <t>FINDING: 4 of 18 leagues are WORSE than always-picking-home on the test set — ekstraklasa -3.3pp, brasileirao -1.6pp, austria_bundesliga -1.5pp, j1_league -0.3pp. Best are veikkausliiga +14.0pp, csl +11.3pp, seriea +9.5pp</t>
  </si>
  <si>
    <t>CORRECTION: the live-settled per-league read (brasileirao +26pp, csl -26.7pp) was NOISE at n=12-96 and the sign FLIPPED on the proper test set (brasileirao -1.6pp, csl +11.3pp). Do not quote the live table; n per league there is far below reportable</t>
  </si>
  <si>
    <t>#2 SEED + EXPLICIT HYPERPARAMETERS — RANDOM_SEED and XGB_COMMON pin n_estimators, max_depth, learning_rate, subsample, colsample, random_state across all 7 estimators. Pinned at the values already in effect, so the retrain reproduced the served model EXACTLY (0.4857/0.4443/0.2144)</t>
  </si>
  <si>
    <t>#2</t>
  </si>
  <si>
    <t>#3 LEAGUE BASELINES re-tested on the tripled pool and RE-ENABLED. Criteria fixed before the run: pooled gap +4.14-&gt;+4.16 (pass), under-3.5 buckets stayed monotonic (pass, this is what collapsed last time), leagues worse than always-home 4-&gt;3 (pass). Honest read: accuracy moved by ONE fixture in 5,487 and RPS went the wrong way 0.2144-&gt;0.2152 — 'no longer harmful', not 'helpful'. Kept for new-league generalisation, which the test set cannot measure</t>
  </si>
  <si>
    <t>#3</t>
  </si>
  <si>
    <t>#4 OPTUNA FOR FOOTBALL — done, and the biggest win of the four. 50 trials on Layer 2 against VALIDATION RPS: test accuracy 0.4859 -&gt; 0.5052 (gap over baseline +4.16 -&gt; +6.09pp), RPS 0.2152 -&gt; 0.2104, and leagues worse than always-home 3 -&gt; 1. The defaults were genuinely wrong: tuned to depth 2 (not 4) and lr 0.034 (not 0.3), i.e. far more regularised</t>
  </si>
  <si>
    <t>#4</t>
  </si>
  <si>
    <t>RPS regressed 0.2144-&gt;0.2152 with the league features. NOT in the pre-registered criteria and deliberately not added afterwards to flip the verdict — recorded so the trade-off is visible. Revisit if RPS matters more than new-league priors</t>
  </si>
  <si>
    <t>Layer 1 Poisson regressors tuned (home/away separately, vs validation Poisson deviance). xG MAE 0.9907-&gt;0.9723 home, 0.8876-&gt;0.8707 away; all four Over/Under Brier scores improved; under-4.5 buckets went from INVERTED to monotonic and under-3.5's spread widened. Trade: 1X2 accuracy 0.5052-&gt;0.5034 while RPS improved 0.2104-&gt;0.2097</t>
  </si>
  <si>
    <t>Seed now genuinely load-bearing: the tuned config uses subsample 0.88 / colsample 0.63, so training is stochastic for the first time. Pinning it in #2 before this landed is what keeps runs comparable</t>
  </si>
  <si>
    <t>#2/#4</t>
  </si>
  <si>
    <t>FOLLOW-UP: the corners Poisson regressors are still untuned (MAE unchanged at 2.156, which confirms the scoping). Same pattern as Layer 1 would apply</t>
  </si>
  <si>
    <t>#5</t>
  </si>
  <si>
    <t>goals_total re-admission TRIGGER is now CHECKED AUTOMATICALLY, not remembered: app/predictions/market_signal.py holds the pre-registered thresholds (n&gt;=200, r&gt;=+0.15, 95% CI low &gt; +0.05 on SETTLED pre-match predictions from football_xgb_v20260812080921 onward) and a weekly Celery task reports status, logging WARNING + a Sentry message when met</t>
  </si>
  <si>
    <t>O/U</t>
  </si>
  <si>
    <t>The check deliberately does NOT lift the bar itself — re-admitting a market changes what users are told to back, so that stays a human decision. Pinned by a test that the worker never imports the pick-selection set</t>
  </si>
  <si>
    <t>Same correlation function now used by BOTH the training run (test-set read, printed + logged to MLflow) and the live trigger, so the two cannot drift and a market cannot be re-admitted on evidence that does not match the bar that barred it</t>
  </si>
  <si>
    <t>STATUS at wiring time: n=0 — the tuned model has no settled predictions yet. ~90 football fixtures settle per week and 125 are scheduled in the next 14 days, so the trigger becomes answerable around the 2026-09-15 CLV re-read</t>
  </si>
  <si>
    <t>MOBILE</t>
  </si>
  <si>
    <t>Missing country flags fixed — Norway, Finland, Denmark, Poland, Czech-Republic all rendered the globe fallback since the Tier-1 league expansion. Real PNGs added; verified in the running app on 9 Aug: 12 distinct flags render, ZERO globes remain</t>
  </si>
  <si>
    <t>Guard added (backend/tests/test_league_flags.py): every seeded league country must have a flag, and every referenced PNG must exist. Adding a league is a data insert by design, which is exactly why the flag gets forgotten — and a missing one produces no error, warning or log</t>
  </si>
  <si>
    <t>NOTE: the guard caught a real miss immediately — the normalising fallback for API-Football's hyphenated 'Czech-Republic' had silently failed to apply; only the exact map key landed. Flags worked, but the intended safety net did not exist</t>
  </si>
  <si>
    <t>FULL-SCORELINE LOG LOSS added to every training run, against two model-free references (empirical joint vs the same data with dependence removed). This was the good part of the bivariate-Poisson critique and it tests the CONDITIONAL claim that unconditional dispersion figures cannot</t>
  </si>
  <si>
    <t>O/U structure</t>
  </si>
  <si>
    <t>RESULT: value of modelling dependence AT ALL = +0.0005 nats — the ceiling for any bivariate Poisson or Dixon-Coles. Our model beats the dependence-aware reference by 0.0835, so per-fixture conditioning is worth ~167x the entire dependence structure. NO new score model</t>
  </si>
  <si>
    <t>Per-league dispersion re-measured on 27,914 fixtures: 9 of 18 leagues UNDERdispersed (incl. EPL, Serie A, Bundesliga) so a negative binomial is inadmissible; 15 of 18 have NEGATIVE home/away correlation so a bivariate Poisson cannot express the sign</t>
  </si>
  <si>
    <t>BUG</t>
  </si>
  <si>
    <t>THIRD recurrence of "cancelled game still active" fixed at the mechanism, not the symptom. Estimated-kickoff threshold 48h -&gt; 30h, and now DERIVED (24h for the day the placeholder stands for + 6h late-finish grace) rather than guessed. 48 allowed a full extra day after the day had already ended</t>
  </si>
  <si>
    <t>Self-monitoring added: _warn_if_stale_fixtures_remain counts fixtures the sweep should have caught and logs WARNING to Sentry. All three recurrences were invisible to us — a too-generous threshold looks exactly like a working sweep unless something counts leftovers</t>
  </si>
  <si>
    <t>NOTE: the provider was NOT the answer this time — BallDontLie still reported the cancelled match as scheduled 36h on, unlike earlier cases that 404d. "Ask the provider" would have been a fix that fixed nothing</t>
  </si>
  <si>
    <t>ROLLING WINDOW measured for the first time (3/5/10). It had never been tested: 5 came from a COLUMN NAME (form_pts_5) and NBA/tennis 10 from matching each other. n=10 wins on 7 of 8 measures — accuracy 0.5034-&gt;0.5096, gap +5.91-&gt;+6.53pp, scoreline LL 2.9406-&gt;2.9381. Live as football_xgb_v20260812204116</t>
  </si>
  <si>
    <t>windows</t>
  </si>
  <si>
    <t>n=3 loses outright and breaks under-3.5 bucket monotonicity (.744-&gt;.676) — the "shorter window is fresher" intuition is dead</t>
  </si>
  <si>
    <t>DEVIATION RECORDED: n=10 lost the ONE pre-registered criterion (RPS 0.2097-&gt;0.2098, 0.05% relative). The rule carried no tolerance and was badly specified; overriding it was a deliberate user-approved call, documented as an override rather than reinterpreted</t>
  </si>
  <si>
    <t>OPEN: NBA and tennis still use LAST_N_FORM=10 by inheritance, untested. Tennis is the more suspect — players compete in bursts, so 10 matches can span surfaces and months</t>
  </si>
  <si>
    <t>External APIs, Quotas &amp; Expiry</t>
  </si>
  <si>
    <t>All figures read live from each provider at 2026-08-09. No credentials are stored in this file.</t>
  </si>
  <si>
    <t>Provider</t>
  </si>
  <si>
    <t>What we get from it</t>
  </si>
  <si>
    <t>Plan / tier</t>
  </si>
  <si>
    <t>Quota</t>
  </si>
  <si>
    <t>Used (as checked)</t>
  </si>
  <si>
    <t>Remaining</t>
  </si>
  <si>
    <t>Expiry / reset</t>
  </si>
  <si>
    <t>Notes &amp; constraints</t>
  </si>
  <si>
    <t>API-Football (v3, direct host)</t>
  </si>
  <si>
    <t>Football fixtures, team stats, injuries, lineups, corners, H2H, and Brasileirao odds. The primary football provider.</t>
  </si>
  <si>
    <t>Ultra</t>
  </si>
  <si>
    <t>75,000 / day (450 / minute)</t>
  </si>
  <si>
    <t>23,783 today</t>
  </si>
  <si>
    <t>51,217 today</t>
  </si>
  <si>
    <t>SUBSCRIPTION ENDS 2026-09-29</t>
  </si>
  <si>
    <t>HEALTHY</t>
  </si>
  <si>
    <t>Read live from GET /status on 2026-08-10: plan=Ultra, active=true, end=2026-09-29. CORRECTION: the sheet previously said Pro / 7,500 per day / ends 2026-08-29 and called it a 20-day hard deadline - the real end date is a month later. The 450/minute cap is the one that actually bites: a bulk collection run saturates it and then every OTHER caller gets HTTP 200 with an empty response and results=0, which reads exactly like 'this league has no data'. Do not run a live probe against a background collection.</t>
  </si>
  <si>
    <t>TheRundown (via RapidAPI)</t>
  </si>
  <si>
    <t>Odds: NBA, the 5 European football leagues, MLS, and ATP/WTA tennis. Only real source of game-totals lines.</t>
  </si>
  <si>
    <t>Pro</t>
  </si>
  <si>
    <t>5,000 / month</t>
  </si>
  <si>
    <t>68 this period</t>
  </si>
  <si>
    <t>4,932</t>
  </si>
  <si>
    <t>resets in ~27 days</t>
  </si>
  <si>
    <t>Upgraded from 1,000/month. Odds job stays at 6h: worst case at 3h is 134% of quota. No Brazil, Scotland or China coverage at all. Only 3 of ~15 affiliates return real prices; the rest send a 0.0001 masked sentinel.</t>
  </si>
  <si>
    <t>BallDontLie - ATP tennis</t>
  </si>
  <si>
    <t>Tennis fixtures, matches, match_stats (serve/return), odds (DraftKings + FanDuel), rankings, H2H.</t>
  </si>
  <si>
    <t>GOAT</t>
  </si>
  <si>
    <t>600 / minute</t>
  </si>
  <si>
    <t>1 (probe)</t>
  </si>
  <si>
    <t>599</t>
  </si>
  <si>
    <t>no expiry observed</t>
  </si>
  <si>
    <t>10x the ALL-STAR limit. /match_stats paginates by SEASON not per fixture, so bulk history is minutes not days. NOTE: season and match_ids filters are SILENTLY IGNORED on some endpoints - always test with a nonsense value.</t>
  </si>
  <si>
    <t>BallDontLie - WTA tennis</t>
  </si>
  <si>
    <t>Nothing usable. /rankings only.</t>
  </si>
  <si>
    <t>Free (not subscribed)</t>
  </si>
  <si>
    <t>5 / minute</t>
  </si>
  <si>
    <t>BLOCKED</t>
  </si>
  <si>
    <t>Every endpoint except /rankings returns 401. GOAT covers ATP ONLY - WTA needs its own subscription. Code is written and unit-tested; just point league='wta' once subscribed.</t>
  </si>
  <si>
    <t>BallDontLie - NBA</t>
  </si>
  <si>
    <t>NBA fixtures and team stats for live serving.</t>
  </si>
  <si>
    <t>Free</t>
  </si>
  <si>
    <t>4</t>
  </si>
  <si>
    <t>no expiry</t>
  </si>
  <si>
    <t>TIGHT</t>
  </si>
  <si>
    <t>/season_averages, /standings and /player_injuries all 401 on this tier. 5/min is why ingest caches per-run; fine for 30 teams, would not scale.</t>
  </si>
  <si>
    <t>TheStatsAPI</t>
  </si>
  <si>
    <t>Expected goals (xG) for football - the only xG source; API-Football supplies none at any tier.</t>
  </si>
  <si>
    <t>paid</t>
  </si>
  <si>
    <t>120 / minute (+ a monthly cap)</t>
  </si>
  <si>
    <t>0 (probe)</t>
  </si>
  <si>
    <t>120 this minute</t>
  </si>
  <si>
    <t>monthly cap not exposed in headers</t>
  </si>
  <si>
    <t>WATCH</t>
  </si>
  <si>
    <t>Monthly quota is real and has been hit before - it reports as 'season not found', which is misleading. Per-minute limit was raised 12 -&gt; 120; the collector now reads pacing from x-ratelimit-limit rather than a constant.</t>
  </si>
  <si>
    <t>nba_api (stats.nba.com)</t>
  </si>
  <si>
    <t>NBA historical training data only.</t>
  </si>
  <si>
    <t>free</t>
  </si>
  <si>
    <t>unthrottled</t>
  </si>
  <si>
    <t>none</t>
  </si>
  <si>
    <t>LOCAL ONLY</t>
  </si>
  <si>
    <t>Blocks ALL cloud-provider IPs at the network level. Must never be called from a production worker - offline training only.</t>
  </si>
  <si>
    <t>Expo Push API</t>
  </si>
  <si>
    <t>Delivering push notifications to devices.</t>
  </si>
  <si>
    <t>unauthenticated</t>
  </si>
  <si>
    <t>lower unauthenticated rate limit</t>
  </si>
  <si>
    <t>WORKS</t>
  </si>
  <si>
    <t>No EXPO_ACCESS_TOKEN provisioned. Sends work and were verified on a real device. Ticket is returned but the RECEIPT is never checked, so delivery failures are currently invisible.</t>
  </si>
  <si>
    <t>RotoWire</t>
  </si>
  <si>
    <t>NBA injuries (intended).</t>
  </si>
  <si>
    <t>never provisioned</t>
  </si>
  <si>
    <t>NOT PROVISIONED</t>
  </si>
  <si>
    <t>No key was ever obtained. Adapter is a stub, so NBA player_injury_status stays empty. Football injuries come from API-Football and are real.</t>
  </si>
  <si>
    <t>SportsDataIO</t>
  </si>
  <si>
    <t>Phase 2 US sports (NFL/NHL/MLB).</t>
  </si>
  <si>
    <t>Adapter is a stub. Not needed until Phase 2.</t>
  </si>
  <si>
    <t>Re-check by calling each provider's own status endpoint; do not trust these figures after the dates above. API-Football: GET /status. TheRundown: x-ratelimit-requests-* response headers. BallDontLie / TheStatsAPI: x-ratelimit-* response headers.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</si>
</sst>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 mmm"/>
    <numFmt numFmtId="165" formatCode="yyyy\-mm\-dd\ h:mm:ss"/>
  </numFmts>
  <fonts count="87" x14ac:knownFonts="1">
    <font>
      <sz val="11"/>
      <color theme="1"/>
      <name val="Calibri"/>
      <family val="2"/>
      <scheme val="minor"/>
    </font>
    <font>
      <b/>
      <sz val="16"/>
      <color rgb="FFFFFFFF"/>
      <name val="Calibri"/>
    </font>
    <font>
      <sz val="9"/>
      <color rgb="FF4B5563"/>
      <name val="Calibri"/>
    </font>
    <font>
      <b/>
      <sz val="10"/>
      <color rgb="FFFFFFFF"/>
      <name val="Calibri"/>
    </font>
    <font>
      <b/>
      <sz val="8"/>
      <color rgb="FFFFFFFF"/>
      <name val="Calibri"/>
    </font>
    <font>
      <b/>
      <sz val="9"/>
      <color rgb="FF111827"/>
      <name val="Calibri"/>
    </font>
    <font>
      <sz val="9"/>
      <color rgb="FF111827"/>
      <name val="Calibri"/>
    </font>
    <font>
      <sz val="8"/>
      <color rgb="FF6B7280"/>
      <name val="Calibri"/>
    </font>
    <font>
      <b/>
      <sz val="9"/>
      <color rgb="FFFFFFFF"/>
      <name val="Calibri"/>
    </font>
    <font>
      <sz val="10"/>
      <color rgb="FF111827"/>
      <name val="Calibri"/>
    </font>
    <font>
      <b/>
      <sz val="10"/>
      <color rgb="FF111827"/>
      <name val="Calibri"/>
    </font>
    <font>
      <b/>
      <sz val="15"/>
      <color rgb="FFFFFFFF"/>
      <name val="Calibri"/>
    </font>
    <font>
      <b/>
      <sz val="11"/>
      <color rgb="FF111827"/>
      <name val="Calibri"/>
    </font>
    <font>
      <sz val="9"/>
      <color rgb="FF475569"/>
      <name val="Calibri"/>
    </font>
    <font>
      <b/>
      <sz val="9"/>
      <color rgb="FF374151"/>
      <name val="Calibri"/>
    </font>
    <font>
      <b/>
      <sz val="8.5"/>
      <color rgb="FFFFFFFF"/>
      <name val="Calibri"/>
    </font>
    <font>
      <b/>
      <sz val="10"/>
      <color rgb="FF64748B"/>
      <name val="Calibri"/>
    </font>
    <font>
      <sz val="9"/>
      <color rgb="FF334155"/>
      <name val="Calibri"/>
    </font>
    <font>
      <b/>
      <sz val="9"/>
      <color rgb="FFB91C1C"/>
      <name val="Calibri"/>
    </font>
    <font>
      <b/>
      <sz val="10"/>
      <name val="Calibri"/>
    </font>
    <font>
      <b/>
      <sz val="8"/>
      <color rgb="FF6B7280"/>
      <name val="Calibri"/>
    </font>
    <font>
      <b/>
      <sz val="9"/>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sz val="9"/>
      <color rgb="FF111827"/>
      <name val="Calibri"/>
    </font>
    <font>
      <b/>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14"/>
      <name val="Calibri"/>
    </font>
    <font>
      <i/>
      <sz val="9"/>
      <name val="Calibri"/>
    </font>
    <font>
      <b/>
      <sz val="11"/>
      <color rgb="FFFFFFFF"/>
      <name val="Calibri"/>
    </font>
    <font>
      <b/>
      <sz val="11"/>
      <name val="Calibri"/>
    </font>
    <font>
      <b/>
      <sz val="14"/>
      <name val="Calibri"/>
    </font>
    <font>
      <sz val="9"/>
      <name val="Calibri"/>
    </font>
    <font>
      <b/>
      <sz val="11"/>
      <color rgb="FFFFFFFF"/>
      <name val="Calibri"/>
    </font>
    <font>
      <b/>
      <sz val="11"/>
      <color rgb="FFFFFFFF"/>
      <name val="Calibri"/>
    </font>
    <font>
      <b/>
      <sz val="11"/>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name val="Calibri"/>
    </font>
  </fonts>
  <fills count="76">
    <fill>
      <patternFill patternType="none"/>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DC2626"/>
      </patternFill>
    </fill>
    <fill>
      <patternFill patternType="solid">
        <fgColor rgb="FF94A3B8"/>
      </patternFill>
    </fill>
    <fill>
      <patternFill patternType="solid">
        <fgColor rgb="FFF8FAFC"/>
      </patternFill>
    </fill>
    <fill>
      <patternFill patternType="solid">
        <fgColor rgb="FFFFFFFF"/>
      </patternFill>
    </fill>
    <fill>
      <patternFill patternType="solid">
        <fgColor rgb="FF94A3B8"/>
      </patternFill>
    </fill>
    <fill>
      <patternFill patternType="solid">
        <fgColor rgb="FFB45309"/>
      </patternFill>
    </fill>
    <fill>
      <patternFill patternType="solid">
        <fgColor rgb="FFF8FAFC"/>
      </patternFill>
    </fill>
    <fill>
      <patternFill patternType="solid">
        <fgColor rgb="FF16A34A"/>
      </patternFill>
    </fill>
    <fill>
      <patternFill patternType="solid">
        <fgColor rgb="FFB45309"/>
      </patternFill>
    </fill>
    <fill>
      <patternFill patternType="solid">
        <fgColor rgb="FFFFFFFF"/>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DC2626"/>
      </patternFill>
    </fill>
    <fill>
      <patternFill patternType="solid">
        <fgColor rgb="FF1F3864"/>
      </patternFill>
    </fill>
    <fill>
      <patternFill patternType="solid">
        <fgColor rgb="FFF8CBAD"/>
      </patternFill>
    </fill>
    <fill>
      <patternFill patternType="solid">
        <fgColor rgb="FFE2EFDA"/>
      </patternFill>
    </fill>
    <fill>
      <patternFill patternType="solid">
        <fgColor rgb="FFFFF2CC"/>
      </patternFill>
    </fill>
    <fill>
      <patternFill patternType="solid">
        <fgColor rgb="FF64748B"/>
      </patternFill>
    </fill>
    <fill>
      <patternFill patternType="solid">
        <fgColor rgb="FF334155"/>
      </patternFill>
    </fill>
  </fills>
  <borders count="19">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s>
  <cellStyleXfs count="1">
    <xf numFmtId="0" fontId="0" fillId="0" borderId="0"/>
  </cellStyleXfs>
  <cellXfs count="305">
    <xf numFmtId="0" fontId="0" fillId="0" borderId="0" xfId="0"/>
    <xf numFmtId="0" fontId="3" fillId="4" borderId="1" xfId="0" applyFont="1" applyFill="1" applyBorder="1" applyAlignment="1">
      <alignment horizontal="center" vertical="center" wrapText="1"/>
    </xf>
    <xf numFmtId="0" fontId="4" fillId="4" borderId="1" xfId="0" applyFont="1" applyFill="1" applyBorder="1" applyAlignment="1">
      <alignment horizontal="center" vertical="center"/>
    </xf>
    <xf numFmtId="0" fontId="5" fillId="5" borderId="1" xfId="0" applyFont="1" applyFill="1" applyBorder="1" applyAlignment="1">
      <alignment horizontal="left" vertical="center"/>
    </xf>
    <xf numFmtId="0" fontId="6" fillId="5" borderId="1" xfId="0" applyFont="1" applyFill="1" applyBorder="1" applyAlignment="1">
      <alignment horizontal="left" vertical="center"/>
    </xf>
    <xf numFmtId="0" fontId="4" fillId="6" borderId="1" xfId="0" applyFont="1" applyFill="1" applyBorder="1" applyAlignment="1">
      <alignment horizontal="center" vertical="center"/>
    </xf>
    <xf numFmtId="0" fontId="6" fillId="5" borderId="1" xfId="0" applyFont="1" applyFill="1" applyBorder="1" applyAlignment="1">
      <alignment horizontal="center" vertical="center"/>
    </xf>
    <xf numFmtId="164" fontId="6" fillId="5" borderId="1" xfId="0" applyNumberFormat="1" applyFont="1" applyFill="1" applyBorder="1" applyAlignment="1">
      <alignment horizontal="center" vertical="center"/>
    </xf>
    <xf numFmtId="0" fontId="8" fillId="6" borderId="1" xfId="0" applyFont="1" applyFill="1" applyBorder="1" applyAlignment="1">
      <alignment horizontal="center" vertical="center"/>
    </xf>
    <xf numFmtId="0" fontId="9" fillId="5" borderId="1" xfId="0" applyFont="1" applyFill="1" applyBorder="1" applyAlignment="1">
      <alignment horizontal="left" vertical="center"/>
    </xf>
    <xf numFmtId="0" fontId="6" fillId="7" borderId="1" xfId="0" applyFont="1" applyFill="1" applyBorder="1" applyAlignment="1">
      <alignment horizontal="left" vertical="center"/>
    </xf>
    <xf numFmtId="0" fontId="6" fillId="7" borderId="1" xfId="0" applyFont="1" applyFill="1" applyBorder="1" applyAlignment="1">
      <alignment horizontal="center" vertical="center"/>
    </xf>
    <xf numFmtId="164" fontId="6" fillId="7" borderId="1" xfId="0" applyNumberFormat="1" applyFont="1" applyFill="1" applyBorder="1" applyAlignment="1">
      <alignment horizontal="center" vertical="center"/>
    </xf>
    <xf numFmtId="0" fontId="9" fillId="7" borderId="1" xfId="0" applyFont="1" applyFill="1" applyBorder="1" applyAlignment="1">
      <alignment horizontal="left" vertical="center"/>
    </xf>
    <xf numFmtId="0" fontId="5" fillId="7" borderId="1" xfId="0" applyFont="1" applyFill="1" applyBorder="1" applyAlignment="1">
      <alignment horizontal="left" vertical="center"/>
    </xf>
    <xf numFmtId="0" fontId="4" fillId="8" borderId="1" xfId="0" applyFont="1" applyFill="1" applyBorder="1" applyAlignment="1">
      <alignment horizontal="center" vertical="center"/>
    </xf>
    <xf numFmtId="0" fontId="8" fillId="8" borderId="1" xfId="0" applyFont="1" applyFill="1" applyBorder="1" applyAlignment="1">
      <alignment horizontal="center" vertical="center"/>
    </xf>
    <xf numFmtId="0" fontId="4" fillId="9" borderId="1" xfId="0" applyFont="1" applyFill="1" applyBorder="1" applyAlignment="1">
      <alignment horizontal="center" vertical="center"/>
    </xf>
    <xf numFmtId="0" fontId="8" fillId="9" borderId="1" xfId="0" applyFont="1" applyFill="1" applyBorder="1" applyAlignment="1">
      <alignment horizontal="center" vertical="center"/>
    </xf>
    <xf numFmtId="0" fontId="4" fillId="10" borderId="1" xfId="0" applyFont="1" applyFill="1" applyBorder="1" applyAlignment="1">
      <alignment horizontal="center" vertical="center"/>
    </xf>
    <xf numFmtId="0" fontId="8" fillId="10" borderId="1" xfId="0" applyFont="1" applyFill="1" applyBorder="1" applyAlignment="1">
      <alignment horizontal="center" vertical="center"/>
    </xf>
    <xf numFmtId="0" fontId="4" fillId="11" borderId="1" xfId="0" applyFont="1" applyFill="1" applyBorder="1" applyAlignment="1">
      <alignment horizontal="center" vertical="center"/>
    </xf>
    <xf numFmtId="0" fontId="8" fillId="11" borderId="1" xfId="0" applyFont="1" applyFill="1" applyBorder="1" applyAlignment="1">
      <alignment horizontal="center" vertical="center"/>
    </xf>
    <xf numFmtId="0" fontId="10" fillId="0" borderId="1" xfId="0" applyFont="1" applyBorder="1" applyAlignment="1">
      <alignment horizontal="left" vertical="center"/>
    </xf>
    <xf numFmtId="0" fontId="9" fillId="0" borderId="1" xfId="0" applyFont="1" applyBorder="1" applyAlignment="1">
      <alignment horizontal="center" vertical="center"/>
    </xf>
    <xf numFmtId="9" fontId="10" fillId="0" borderId="1" xfId="0" applyNumberFormat="1" applyFont="1" applyBorder="1" applyAlignment="1">
      <alignment horizontal="center" vertical="center"/>
    </xf>
    <xf numFmtId="0" fontId="12" fillId="3" borderId="1" xfId="0" applyFont="1" applyFill="1" applyBorder="1" applyAlignment="1">
      <alignment horizontal="left" vertical="center"/>
    </xf>
    <xf numFmtId="0" fontId="10" fillId="3" borderId="1" xfId="0" applyFont="1" applyFill="1" applyBorder="1" applyAlignment="1">
      <alignment horizontal="center" vertical="center"/>
    </xf>
    <xf numFmtId="9" fontId="12" fillId="3" borderId="1"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5" fillId="7" borderId="1" xfId="0" applyFont="1" applyFill="1" applyBorder="1" applyAlignment="1">
      <alignment horizontal="left" vertical="center" wrapText="1"/>
    </xf>
    <xf numFmtId="0" fontId="6" fillId="7"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6" fillId="5" borderId="1" xfId="0" applyFont="1" applyFill="1" applyBorder="1" applyAlignment="1">
      <alignment horizontal="left" vertical="center" wrapText="1"/>
    </xf>
    <xf numFmtId="0" fontId="4" fillId="12" borderId="1" xfId="0" applyFont="1" applyFill="1" applyBorder="1" applyAlignment="1">
      <alignment horizontal="center" vertical="center"/>
    </xf>
    <xf numFmtId="0" fontId="14" fillId="3" borderId="4" xfId="0" applyFont="1" applyFill="1" applyBorder="1" applyAlignment="1">
      <alignment horizontal="right" vertical="center" wrapText="1" indent="1"/>
    </xf>
    <xf numFmtId="0" fontId="19" fillId="0" borderId="0" xfId="0" applyFont="1"/>
    <xf numFmtId="0" fontId="6" fillId="6" borderId="1" xfId="0" applyFont="1" applyFill="1" applyBorder="1" applyAlignment="1">
      <alignment horizontal="left" vertical="center"/>
    </xf>
    <xf numFmtId="0" fontId="6" fillId="10" borderId="1" xfId="0" applyFont="1" applyFill="1" applyBorder="1" applyAlignment="1">
      <alignment horizontal="left" vertical="center"/>
    </xf>
    <xf numFmtId="0" fontId="6" fillId="9" borderId="1" xfId="0" applyFont="1" applyFill="1" applyBorder="1" applyAlignment="1">
      <alignment horizontal="left" vertical="center"/>
    </xf>
    <xf numFmtId="0" fontId="20" fillId="0" borderId="1" xfId="0" applyFont="1" applyBorder="1" applyAlignment="1">
      <alignment horizontal="left" vertical="center"/>
    </xf>
    <xf numFmtId="0" fontId="21" fillId="0" borderId="1" xfId="0" applyFont="1" applyBorder="1" applyAlignment="1">
      <alignment horizontal="left" vertical="center"/>
    </xf>
    <xf numFmtId="0" fontId="6" fillId="0" borderId="1" xfId="0" applyFont="1" applyBorder="1" applyAlignment="1">
      <alignment horizontal="center" vertical="center"/>
    </xf>
    <xf numFmtId="0" fontId="7" fillId="0" borderId="1" xfId="0" applyFont="1" applyBorder="1" applyAlignment="1">
      <alignment horizontal="left" vertical="center"/>
    </xf>
    <xf numFmtId="0" fontId="22" fillId="16" borderId="7" xfId="0" applyFont="1" applyFill="1" applyBorder="1" applyAlignment="1">
      <alignment horizontal="left" vertical="center"/>
    </xf>
    <xf numFmtId="0" fontId="23" fillId="16" borderId="7" xfId="0" applyFont="1" applyFill="1" applyBorder="1" applyAlignment="1">
      <alignment horizontal="left" vertical="center"/>
    </xf>
    <xf numFmtId="0" fontId="23" fillId="16" borderId="7" xfId="0" applyFont="1" applyFill="1" applyBorder="1" applyAlignment="1">
      <alignment horizontal="center" vertical="center"/>
    </xf>
    <xf numFmtId="164" fontId="23" fillId="16" borderId="7" xfId="0" applyNumberFormat="1" applyFont="1" applyFill="1" applyBorder="1" applyAlignment="1">
      <alignment horizontal="center" vertical="center"/>
    </xf>
    <xf numFmtId="0" fontId="23" fillId="17" borderId="7" xfId="0" applyFont="1" applyFill="1" applyBorder="1" applyAlignment="1">
      <alignment horizontal="left" vertical="center"/>
    </xf>
    <xf numFmtId="0" fontId="22" fillId="18" borderId="7" xfId="0" applyFont="1" applyFill="1" applyBorder="1" applyAlignment="1">
      <alignment horizontal="left" vertical="center"/>
    </xf>
    <xf numFmtId="0" fontId="23" fillId="18" borderId="7" xfId="0" applyFont="1" applyFill="1" applyBorder="1" applyAlignment="1">
      <alignment horizontal="left" vertical="center"/>
    </xf>
    <xf numFmtId="0" fontId="23" fillId="18" borderId="7" xfId="0" applyFont="1" applyFill="1" applyBorder="1" applyAlignment="1">
      <alignment horizontal="center" vertical="center"/>
    </xf>
    <xf numFmtId="164" fontId="23" fillId="18" borderId="7" xfId="0" applyNumberFormat="1" applyFont="1" applyFill="1" applyBorder="1" applyAlignment="1">
      <alignment horizontal="center" vertical="center"/>
    </xf>
    <xf numFmtId="0" fontId="22" fillId="18" borderId="7" xfId="0" applyFont="1" applyFill="1" applyBorder="1" applyAlignment="1">
      <alignment horizontal="left" vertical="center" wrapText="1"/>
    </xf>
    <xf numFmtId="0" fontId="24" fillId="19" borderId="7" xfId="0" applyFont="1" applyFill="1" applyBorder="1" applyAlignment="1">
      <alignment horizontal="center" vertical="center"/>
    </xf>
    <xf numFmtId="0" fontId="23" fillId="18" borderId="7" xfId="0" applyFont="1" applyFill="1" applyBorder="1" applyAlignment="1">
      <alignment horizontal="left" vertical="center" wrapText="1"/>
    </xf>
    <xf numFmtId="0" fontId="22" fillId="16" borderId="7" xfId="0" applyFont="1" applyFill="1" applyBorder="1" applyAlignment="1">
      <alignment horizontal="left" vertical="center" wrapText="1"/>
    </xf>
    <xf numFmtId="0" fontId="23" fillId="16" borderId="7" xfId="0" applyFont="1" applyFill="1" applyBorder="1" applyAlignment="1">
      <alignment horizontal="left" vertical="center" wrapText="1"/>
    </xf>
    <xf numFmtId="0" fontId="26" fillId="20" borderId="8" xfId="0" applyFont="1" applyFill="1" applyBorder="1" applyAlignment="1">
      <alignment horizontal="left" vertical="center"/>
    </xf>
    <xf numFmtId="0" fontId="27" fillId="20" borderId="8" xfId="0" applyFont="1" applyFill="1" applyBorder="1" applyAlignment="1">
      <alignment horizontal="left" vertical="center"/>
    </xf>
    <xf numFmtId="0" fontId="27" fillId="20" borderId="8" xfId="0" applyFont="1" applyFill="1" applyBorder="1" applyAlignment="1">
      <alignment horizontal="center" vertical="center"/>
    </xf>
    <xf numFmtId="164" fontId="27" fillId="20" borderId="8" xfId="0" applyNumberFormat="1" applyFont="1" applyFill="1" applyBorder="1" applyAlignment="1">
      <alignment horizontal="center" vertical="center"/>
    </xf>
    <xf numFmtId="0" fontId="27" fillId="21" borderId="8" xfId="0" applyFont="1" applyFill="1" applyBorder="1" applyAlignment="1">
      <alignment horizontal="left" vertical="center"/>
    </xf>
    <xf numFmtId="0" fontId="26" fillId="22" borderId="8" xfId="0" applyFont="1" applyFill="1" applyBorder="1" applyAlignment="1">
      <alignment horizontal="left" vertical="center"/>
    </xf>
    <xf numFmtId="0" fontId="27" fillId="22" borderId="8" xfId="0" applyFont="1" applyFill="1" applyBorder="1" applyAlignment="1">
      <alignment horizontal="left" vertical="center"/>
    </xf>
    <xf numFmtId="0" fontId="27" fillId="22" borderId="8" xfId="0" applyFont="1" applyFill="1" applyBorder="1" applyAlignment="1">
      <alignment horizontal="center" vertical="center"/>
    </xf>
    <xf numFmtId="164" fontId="27" fillId="22" borderId="8" xfId="0" applyNumberFormat="1" applyFont="1" applyFill="1" applyBorder="1" applyAlignment="1">
      <alignment horizontal="center" vertical="center"/>
    </xf>
    <xf numFmtId="0" fontId="28" fillId="23" borderId="8" xfId="0" applyFont="1" applyFill="1" applyBorder="1" applyAlignment="1">
      <alignment horizontal="center" vertical="center"/>
    </xf>
    <xf numFmtId="0" fontId="27" fillId="23" borderId="8" xfId="0" applyFont="1" applyFill="1" applyBorder="1" applyAlignment="1">
      <alignment horizontal="left" vertical="center"/>
    </xf>
    <xf numFmtId="0" fontId="28" fillId="24" borderId="8" xfId="0" applyFont="1" applyFill="1" applyBorder="1" applyAlignment="1">
      <alignment horizontal="center" vertical="center"/>
    </xf>
    <xf numFmtId="0" fontId="27" fillId="24" borderId="8" xfId="0" applyFont="1" applyFill="1" applyBorder="1" applyAlignment="1">
      <alignment horizontal="left" vertical="center"/>
    </xf>
    <xf numFmtId="0" fontId="26" fillId="20" borderId="8" xfId="0" applyFont="1" applyFill="1" applyBorder="1" applyAlignment="1">
      <alignment horizontal="left" vertical="center" wrapText="1"/>
    </xf>
    <xf numFmtId="0" fontId="26" fillId="22" borderId="8" xfId="0" applyFont="1" applyFill="1" applyBorder="1" applyAlignment="1">
      <alignment horizontal="left" vertical="center" wrapText="1"/>
    </xf>
    <xf numFmtId="0" fontId="30" fillId="25" borderId="9" xfId="0" applyFont="1" applyFill="1" applyBorder="1" applyAlignment="1">
      <alignment horizontal="left" vertical="center"/>
    </xf>
    <xf numFmtId="0" fontId="31" fillId="25" borderId="9" xfId="0" applyFont="1" applyFill="1" applyBorder="1" applyAlignment="1">
      <alignment horizontal="left" vertical="center"/>
    </xf>
    <xf numFmtId="0" fontId="31" fillId="25" borderId="9" xfId="0" applyFont="1" applyFill="1" applyBorder="1" applyAlignment="1">
      <alignment horizontal="center" vertical="center"/>
    </xf>
    <xf numFmtId="164" fontId="31" fillId="25" borderId="9" xfId="0" applyNumberFormat="1" applyFont="1" applyFill="1" applyBorder="1" applyAlignment="1">
      <alignment horizontal="center" vertical="center"/>
    </xf>
    <xf numFmtId="0" fontId="31" fillId="26" borderId="9" xfId="0" applyFont="1" applyFill="1" applyBorder="1" applyAlignment="1">
      <alignment horizontal="left" vertical="center"/>
    </xf>
    <xf numFmtId="0" fontId="30" fillId="25" borderId="9" xfId="0" applyFont="1" applyFill="1" applyBorder="1" applyAlignment="1">
      <alignment horizontal="left" vertical="center" wrapText="1"/>
    </xf>
    <xf numFmtId="0" fontId="32" fillId="27" borderId="9" xfId="0" applyFont="1" applyFill="1" applyBorder="1" applyAlignment="1">
      <alignment horizontal="center" vertical="center"/>
    </xf>
    <xf numFmtId="0" fontId="31" fillId="25" borderId="9" xfId="0" applyFont="1" applyFill="1" applyBorder="1" applyAlignment="1">
      <alignment horizontal="left" vertical="center" wrapText="1"/>
    </xf>
    <xf numFmtId="0" fontId="34" fillId="28" borderId="10" xfId="0" applyFont="1" applyFill="1" applyBorder="1" applyAlignment="1">
      <alignment horizontal="left" vertical="center"/>
    </xf>
    <xf numFmtId="0" fontId="35" fillId="28" borderId="10" xfId="0" applyFont="1" applyFill="1" applyBorder="1" applyAlignment="1">
      <alignment horizontal="left" vertical="center"/>
    </xf>
    <xf numFmtId="0" fontId="35" fillId="28" borderId="10" xfId="0" applyFont="1" applyFill="1" applyBorder="1" applyAlignment="1">
      <alignment horizontal="center" vertical="center"/>
    </xf>
    <xf numFmtId="164" fontId="35" fillId="28" borderId="10" xfId="0" applyNumberFormat="1" applyFont="1" applyFill="1" applyBorder="1" applyAlignment="1">
      <alignment horizontal="center" vertical="center"/>
    </xf>
    <xf numFmtId="0" fontId="35" fillId="29" borderId="10" xfId="0" applyFont="1" applyFill="1" applyBorder="1" applyAlignment="1">
      <alignment horizontal="left" vertical="center"/>
    </xf>
    <xf numFmtId="0" fontId="34" fillId="30" borderId="10" xfId="0" applyFont="1" applyFill="1" applyBorder="1" applyAlignment="1">
      <alignment horizontal="left" vertical="center"/>
    </xf>
    <xf numFmtId="0" fontId="35" fillId="30" borderId="10" xfId="0" applyFont="1" applyFill="1" applyBorder="1" applyAlignment="1">
      <alignment horizontal="left" vertical="center"/>
    </xf>
    <xf numFmtId="0" fontId="35" fillId="30" borderId="10" xfId="0" applyFont="1" applyFill="1" applyBorder="1" applyAlignment="1">
      <alignment horizontal="center" vertical="center"/>
    </xf>
    <xf numFmtId="164" fontId="35" fillId="30" borderId="10" xfId="0" applyNumberFormat="1" applyFont="1" applyFill="1" applyBorder="1" applyAlignment="1">
      <alignment horizontal="center" vertical="center"/>
    </xf>
    <xf numFmtId="0" fontId="36" fillId="31" borderId="10" xfId="0" applyFont="1" applyFill="1" applyBorder="1" applyAlignment="1">
      <alignment horizontal="center" vertical="center"/>
    </xf>
    <xf numFmtId="0" fontId="35" fillId="31" borderId="10" xfId="0" applyFont="1" applyFill="1" applyBorder="1" applyAlignment="1">
      <alignment horizontal="left" vertical="center"/>
    </xf>
    <xf numFmtId="0" fontId="34" fillId="28" borderId="10" xfId="0" applyFont="1" applyFill="1" applyBorder="1" applyAlignment="1">
      <alignment horizontal="left" vertical="center" wrapText="1"/>
    </xf>
    <xf numFmtId="0" fontId="35" fillId="28" borderId="10" xfId="0" applyFont="1" applyFill="1" applyBorder="1" applyAlignment="1">
      <alignment horizontal="left" vertical="center" wrapText="1"/>
    </xf>
    <xf numFmtId="0" fontId="35" fillId="30" borderId="10" xfId="0" applyFont="1" applyFill="1" applyBorder="1" applyAlignment="1">
      <alignment horizontal="left" vertical="center" wrapText="1"/>
    </xf>
    <xf numFmtId="0" fontId="38" fillId="32" borderId="11" xfId="0" applyFont="1" applyFill="1" applyBorder="1" applyAlignment="1">
      <alignment horizontal="left" vertical="center"/>
    </xf>
    <xf numFmtId="0" fontId="39" fillId="32" borderId="11" xfId="0" applyFont="1" applyFill="1" applyBorder="1" applyAlignment="1">
      <alignment horizontal="left" vertical="center"/>
    </xf>
    <xf numFmtId="0" fontId="39" fillId="32" borderId="11" xfId="0" applyFont="1" applyFill="1" applyBorder="1" applyAlignment="1">
      <alignment horizontal="center" vertical="center"/>
    </xf>
    <xf numFmtId="164" fontId="39" fillId="32" borderId="11" xfId="0" applyNumberFormat="1" applyFont="1" applyFill="1" applyBorder="1" applyAlignment="1">
      <alignment horizontal="center" vertical="center"/>
    </xf>
    <xf numFmtId="0" fontId="39" fillId="33" borderId="11" xfId="0" applyFont="1" applyFill="1" applyBorder="1" applyAlignment="1">
      <alignment horizontal="left" vertical="center"/>
    </xf>
    <xf numFmtId="0" fontId="38" fillId="34" borderId="11" xfId="0" applyFont="1" applyFill="1" applyBorder="1" applyAlignment="1">
      <alignment horizontal="left" vertical="center"/>
    </xf>
    <xf numFmtId="0" fontId="39" fillId="34" borderId="11" xfId="0" applyFont="1" applyFill="1" applyBorder="1" applyAlignment="1">
      <alignment horizontal="left" vertical="center"/>
    </xf>
    <xf numFmtId="0" fontId="39" fillId="34" borderId="11" xfId="0" applyFont="1" applyFill="1" applyBorder="1" applyAlignment="1">
      <alignment horizontal="center" vertical="center"/>
    </xf>
    <xf numFmtId="164" fontId="39" fillId="34" borderId="11" xfId="0" applyNumberFormat="1" applyFont="1" applyFill="1" applyBorder="1" applyAlignment="1">
      <alignment horizontal="center" vertical="center"/>
    </xf>
    <xf numFmtId="0" fontId="40" fillId="35" borderId="11" xfId="0" applyFont="1" applyFill="1" applyBorder="1" applyAlignment="1">
      <alignment horizontal="center" vertical="center"/>
    </xf>
    <xf numFmtId="0" fontId="39" fillId="35" borderId="11" xfId="0" applyFont="1" applyFill="1" applyBorder="1" applyAlignment="1">
      <alignment horizontal="left" vertical="center"/>
    </xf>
    <xf numFmtId="0" fontId="38" fillId="34" borderId="11" xfId="0" applyFont="1" applyFill="1" applyBorder="1" applyAlignment="1">
      <alignment horizontal="left" vertical="center" wrapText="1"/>
    </xf>
    <xf numFmtId="0" fontId="39" fillId="34" borderId="11" xfId="0" applyFont="1" applyFill="1" applyBorder="1" applyAlignment="1">
      <alignment horizontal="left" vertical="center" wrapText="1"/>
    </xf>
    <xf numFmtId="0" fontId="38" fillId="32" borderId="11" xfId="0" applyFont="1" applyFill="1" applyBorder="1" applyAlignment="1">
      <alignment horizontal="left" vertical="center" wrapText="1"/>
    </xf>
    <xf numFmtId="0" fontId="39" fillId="32" borderId="11" xfId="0" applyFont="1" applyFill="1" applyBorder="1" applyAlignment="1">
      <alignment horizontal="left" vertical="center" wrapText="1"/>
    </xf>
    <xf numFmtId="0" fontId="42" fillId="36" borderId="12" xfId="0" applyFont="1" applyFill="1" applyBorder="1" applyAlignment="1">
      <alignment horizontal="left" vertical="center"/>
    </xf>
    <xf numFmtId="0" fontId="43" fillId="36" borderId="12" xfId="0" applyFont="1" applyFill="1" applyBorder="1" applyAlignment="1">
      <alignment horizontal="left" vertical="center"/>
    </xf>
    <xf numFmtId="0" fontId="43" fillId="36" borderId="12" xfId="0" applyFont="1" applyFill="1" applyBorder="1" applyAlignment="1">
      <alignment horizontal="center" vertical="center"/>
    </xf>
    <xf numFmtId="164" fontId="43" fillId="36" borderId="12" xfId="0" applyNumberFormat="1" applyFont="1" applyFill="1" applyBorder="1" applyAlignment="1">
      <alignment horizontal="center" vertical="center"/>
    </xf>
    <xf numFmtId="0" fontId="43" fillId="37" borderId="12" xfId="0" applyFont="1" applyFill="1" applyBorder="1" applyAlignment="1">
      <alignment horizontal="left" vertical="center"/>
    </xf>
    <xf numFmtId="0" fontId="42" fillId="38" borderId="12" xfId="0" applyFont="1" applyFill="1" applyBorder="1" applyAlignment="1">
      <alignment horizontal="left" vertical="center"/>
    </xf>
    <xf numFmtId="0" fontId="43" fillId="38" borderId="12" xfId="0" applyFont="1" applyFill="1" applyBorder="1" applyAlignment="1">
      <alignment horizontal="left" vertical="center"/>
    </xf>
    <xf numFmtId="0" fontId="44" fillId="39" borderId="12" xfId="0" applyFont="1" applyFill="1" applyBorder="1" applyAlignment="1">
      <alignment horizontal="center" vertical="center"/>
    </xf>
    <xf numFmtId="0" fontId="43" fillId="38" borderId="12" xfId="0" applyFont="1" applyFill="1" applyBorder="1" applyAlignment="1">
      <alignment horizontal="center" vertical="center"/>
    </xf>
    <xf numFmtId="164" fontId="43" fillId="38" borderId="12" xfId="0" applyNumberFormat="1" applyFont="1" applyFill="1" applyBorder="1" applyAlignment="1">
      <alignment horizontal="center" vertical="center"/>
    </xf>
    <xf numFmtId="0" fontId="43" fillId="39" borderId="12" xfId="0" applyFont="1" applyFill="1" applyBorder="1" applyAlignment="1">
      <alignment horizontal="left" vertical="center"/>
    </xf>
    <xf numFmtId="0" fontId="46" fillId="40" borderId="13" xfId="0" applyFont="1" applyFill="1" applyBorder="1" applyAlignment="1">
      <alignment horizontal="left" vertical="center"/>
    </xf>
    <xf numFmtId="0" fontId="47" fillId="40" borderId="13" xfId="0" applyFont="1" applyFill="1" applyBorder="1" applyAlignment="1">
      <alignment horizontal="left" vertical="center"/>
    </xf>
    <xf numFmtId="0" fontId="48" fillId="41" borderId="13" xfId="0" applyFont="1" applyFill="1" applyBorder="1" applyAlignment="1">
      <alignment horizontal="center" vertical="center"/>
    </xf>
    <xf numFmtId="0" fontId="47" fillId="40" borderId="13" xfId="0" applyFont="1" applyFill="1" applyBorder="1" applyAlignment="1">
      <alignment horizontal="center" vertical="center"/>
    </xf>
    <xf numFmtId="164" fontId="47" fillId="40" borderId="13" xfId="0" applyNumberFormat="1" applyFont="1" applyFill="1" applyBorder="1" applyAlignment="1">
      <alignment horizontal="center" vertical="center"/>
    </xf>
    <xf numFmtId="0" fontId="47" fillId="41" borderId="13" xfId="0" applyFont="1" applyFill="1" applyBorder="1" applyAlignment="1">
      <alignment horizontal="left" vertical="center"/>
    </xf>
    <xf numFmtId="0" fontId="46" fillId="42" borderId="13" xfId="0" applyFont="1" applyFill="1" applyBorder="1" applyAlignment="1">
      <alignment horizontal="left" vertical="center"/>
    </xf>
    <xf numFmtId="0" fontId="47" fillId="42" borderId="13" xfId="0" applyFont="1" applyFill="1" applyBorder="1" applyAlignment="1">
      <alignment horizontal="left" vertical="center"/>
    </xf>
    <xf numFmtId="0" fontId="47" fillId="42" borderId="13" xfId="0" applyFont="1" applyFill="1" applyBorder="1" applyAlignment="1">
      <alignment horizontal="center" vertical="center"/>
    </xf>
    <xf numFmtId="164" fontId="47" fillId="42" borderId="13" xfId="0" applyNumberFormat="1" applyFont="1" applyFill="1" applyBorder="1" applyAlignment="1">
      <alignment horizontal="center" vertical="center"/>
    </xf>
    <xf numFmtId="0" fontId="47" fillId="43" borderId="13" xfId="0" applyFont="1" applyFill="1" applyBorder="1" applyAlignment="1">
      <alignment horizontal="left" vertical="center"/>
    </xf>
    <xf numFmtId="0" fontId="48" fillId="44" borderId="13" xfId="0" applyFont="1" applyFill="1" applyBorder="1" applyAlignment="1">
      <alignment horizontal="center" vertical="center"/>
    </xf>
    <xf numFmtId="0" fontId="47" fillId="44" borderId="13" xfId="0" applyFont="1" applyFill="1" applyBorder="1" applyAlignment="1">
      <alignment horizontal="left" vertical="center"/>
    </xf>
    <xf numFmtId="0" fontId="46" fillId="42" borderId="13" xfId="0" applyFont="1" applyFill="1" applyBorder="1" applyAlignment="1">
      <alignment horizontal="left" vertical="center" wrapText="1"/>
    </xf>
    <xf numFmtId="0" fontId="47" fillId="42" borderId="13" xfId="0" applyFont="1" applyFill="1" applyBorder="1" applyAlignment="1">
      <alignment horizontal="left" vertical="center" wrapText="1"/>
    </xf>
    <xf numFmtId="0" fontId="46" fillId="40" borderId="13" xfId="0" applyFont="1" applyFill="1" applyBorder="1" applyAlignment="1">
      <alignment horizontal="left" vertical="center" wrapText="1"/>
    </xf>
    <xf numFmtId="0" fontId="47" fillId="40" borderId="13" xfId="0" applyFont="1" applyFill="1" applyBorder="1" applyAlignment="1">
      <alignment horizontal="left" vertical="center" wrapText="1"/>
    </xf>
    <xf numFmtId="0" fontId="50" fillId="45" borderId="14" xfId="0" applyFont="1" applyFill="1" applyBorder="1" applyAlignment="1">
      <alignment horizontal="left" vertical="center"/>
    </xf>
    <xf numFmtId="0" fontId="51" fillId="45" borderId="14" xfId="0" applyFont="1" applyFill="1" applyBorder="1" applyAlignment="1">
      <alignment horizontal="left" vertical="center"/>
    </xf>
    <xf numFmtId="0" fontId="51" fillId="45" borderId="14" xfId="0" applyFont="1" applyFill="1" applyBorder="1" applyAlignment="1">
      <alignment horizontal="center" vertical="center"/>
    </xf>
    <xf numFmtId="164" fontId="51" fillId="45" borderId="14" xfId="0" applyNumberFormat="1" applyFont="1" applyFill="1" applyBorder="1" applyAlignment="1">
      <alignment horizontal="center" vertical="center"/>
    </xf>
    <xf numFmtId="0" fontId="51" fillId="46" borderId="14" xfId="0" applyFont="1" applyFill="1" applyBorder="1" applyAlignment="1">
      <alignment horizontal="left" vertical="center"/>
    </xf>
    <xf numFmtId="0" fontId="50" fillId="47" borderId="14" xfId="0" applyFont="1" applyFill="1" applyBorder="1" applyAlignment="1">
      <alignment horizontal="left" vertical="center"/>
    </xf>
    <xf numFmtId="0" fontId="51" fillId="47" borderId="14" xfId="0" applyFont="1" applyFill="1" applyBorder="1" applyAlignment="1">
      <alignment horizontal="left" vertical="center"/>
    </xf>
    <xf numFmtId="0" fontId="51" fillId="47" borderId="14" xfId="0" applyFont="1" applyFill="1" applyBorder="1" applyAlignment="1">
      <alignment horizontal="center" vertical="center"/>
    </xf>
    <xf numFmtId="164" fontId="51" fillId="47" borderId="14" xfId="0" applyNumberFormat="1" applyFont="1" applyFill="1" applyBorder="1" applyAlignment="1">
      <alignment horizontal="center" vertical="center"/>
    </xf>
    <xf numFmtId="0" fontId="50" fillId="47" borderId="14" xfId="0" applyFont="1" applyFill="1" applyBorder="1" applyAlignment="1">
      <alignment horizontal="left" vertical="center" wrapText="1"/>
    </xf>
    <xf numFmtId="0" fontId="52" fillId="48" borderId="14" xfId="0" applyFont="1" applyFill="1" applyBorder="1" applyAlignment="1">
      <alignment horizontal="center" vertical="center"/>
    </xf>
    <xf numFmtId="0" fontId="51" fillId="47" borderId="14" xfId="0" applyFont="1" applyFill="1" applyBorder="1" applyAlignment="1">
      <alignment horizontal="left" vertical="center" wrapText="1"/>
    </xf>
    <xf numFmtId="0" fontId="50" fillId="45" borderId="14" xfId="0" applyFont="1" applyFill="1" applyBorder="1" applyAlignment="1">
      <alignment horizontal="left" vertical="center" wrapText="1"/>
    </xf>
    <xf numFmtId="0" fontId="52" fillId="49" borderId="14" xfId="0" applyFont="1" applyFill="1" applyBorder="1" applyAlignment="1">
      <alignment horizontal="center" vertical="center"/>
    </xf>
    <xf numFmtId="0" fontId="51" fillId="45" borderId="14" xfId="0" applyFont="1" applyFill="1" applyBorder="1" applyAlignment="1">
      <alignment horizontal="left" vertical="center" wrapText="1"/>
    </xf>
    <xf numFmtId="0" fontId="54" fillId="50" borderId="15" xfId="0" applyFont="1" applyFill="1" applyBorder="1" applyAlignment="1">
      <alignment horizontal="left" vertical="center" wrapText="1"/>
    </xf>
    <xf numFmtId="0" fontId="55" fillId="51" borderId="15" xfId="0" applyFont="1" applyFill="1" applyBorder="1" applyAlignment="1">
      <alignment horizontal="left" vertical="center"/>
    </xf>
    <xf numFmtId="0" fontId="54" fillId="51" borderId="15" xfId="0" applyFont="1" applyFill="1" applyBorder="1" applyAlignment="1">
      <alignment horizontal="left" vertical="center"/>
    </xf>
    <xf numFmtId="0" fontId="56" fillId="52" borderId="15" xfId="0" applyFont="1" applyFill="1" applyBorder="1" applyAlignment="1">
      <alignment horizontal="center" vertical="center"/>
    </xf>
    <xf numFmtId="0" fontId="54" fillId="51" borderId="15" xfId="0" applyFont="1" applyFill="1" applyBorder="1" applyAlignment="1">
      <alignment horizontal="center" vertical="center"/>
    </xf>
    <xf numFmtId="164" fontId="54" fillId="51" borderId="15" xfId="0" applyNumberFormat="1" applyFont="1" applyFill="1" applyBorder="1" applyAlignment="1">
      <alignment horizontal="center" vertical="center"/>
    </xf>
    <xf numFmtId="0" fontId="54" fillId="52" borderId="15" xfId="0" applyFont="1" applyFill="1" applyBorder="1" applyAlignment="1">
      <alignment horizontal="left" vertical="center"/>
    </xf>
    <xf numFmtId="0" fontId="55" fillId="51" borderId="15" xfId="0" applyFont="1" applyFill="1" applyBorder="1" applyAlignment="1">
      <alignment horizontal="left" vertical="center" wrapText="1"/>
    </xf>
    <xf numFmtId="0" fontId="56" fillId="53" borderId="15" xfId="0" applyFont="1" applyFill="1" applyBorder="1" applyAlignment="1">
      <alignment horizontal="center" vertical="center"/>
    </xf>
    <xf numFmtId="0" fontId="54" fillId="51" borderId="15" xfId="0" applyFont="1" applyFill="1" applyBorder="1" applyAlignment="1">
      <alignment horizontal="left" vertical="center" wrapText="1"/>
    </xf>
    <xf numFmtId="0" fontId="58" fillId="54" borderId="16" xfId="0" applyFont="1" applyFill="1" applyBorder="1" applyAlignment="1">
      <alignment horizontal="left" vertical="center"/>
    </xf>
    <xf numFmtId="0" fontId="59" fillId="54" borderId="16" xfId="0" applyFont="1" applyFill="1" applyBorder="1" applyAlignment="1">
      <alignment horizontal="left" vertical="center"/>
    </xf>
    <xf numFmtId="0" fontId="59" fillId="54" borderId="16" xfId="0" applyFont="1" applyFill="1" applyBorder="1" applyAlignment="1">
      <alignment horizontal="center" vertical="center"/>
    </xf>
    <xf numFmtId="164" fontId="59" fillId="54" borderId="16" xfId="0" applyNumberFormat="1" applyFont="1" applyFill="1" applyBorder="1" applyAlignment="1">
      <alignment horizontal="center" vertical="center"/>
    </xf>
    <xf numFmtId="0" fontId="59" fillId="55" borderId="16" xfId="0" applyFont="1" applyFill="1" applyBorder="1" applyAlignment="1">
      <alignment horizontal="left" vertical="center"/>
    </xf>
    <xf numFmtId="0" fontId="58" fillId="54" borderId="16" xfId="0" applyFont="1" applyFill="1" applyBorder="1" applyAlignment="1">
      <alignment horizontal="left" vertical="center" wrapText="1"/>
    </xf>
    <xf numFmtId="0" fontId="60" fillId="56" borderId="16" xfId="0" applyFont="1" applyFill="1" applyBorder="1" applyAlignment="1">
      <alignment horizontal="center" vertical="center"/>
    </xf>
    <xf numFmtId="0" fontId="59" fillId="54" borderId="16" xfId="0" applyFont="1" applyFill="1" applyBorder="1" applyAlignment="1">
      <alignment horizontal="left" vertical="center" wrapText="1"/>
    </xf>
    <xf numFmtId="0" fontId="58" fillId="57" borderId="16" xfId="0" applyFont="1" applyFill="1" applyBorder="1" applyAlignment="1">
      <alignment horizontal="left" vertical="center" wrapText="1"/>
    </xf>
    <xf numFmtId="0" fontId="59" fillId="57" borderId="16" xfId="0" applyFont="1" applyFill="1" applyBorder="1" applyAlignment="1">
      <alignment horizontal="center" vertical="center"/>
    </xf>
    <xf numFmtId="0" fontId="60" fillId="58" borderId="16" xfId="0" applyFont="1" applyFill="1" applyBorder="1" applyAlignment="1">
      <alignment horizontal="center" vertical="center"/>
    </xf>
    <xf numFmtId="0" fontId="59" fillId="57" borderId="16" xfId="0" applyFont="1" applyFill="1" applyBorder="1" applyAlignment="1">
      <alignment horizontal="left" vertical="center" wrapText="1"/>
    </xf>
    <xf numFmtId="0" fontId="62" fillId="59" borderId="17" xfId="0" applyFont="1" applyFill="1" applyBorder="1" applyAlignment="1">
      <alignment horizontal="left" vertical="center"/>
    </xf>
    <xf numFmtId="0" fontId="63" fillId="59" borderId="17" xfId="0" applyFont="1" applyFill="1" applyBorder="1" applyAlignment="1">
      <alignment horizontal="left" vertical="center"/>
    </xf>
    <xf numFmtId="0" fontId="64" fillId="60" borderId="17" xfId="0" applyFont="1" applyFill="1" applyBorder="1" applyAlignment="1">
      <alignment horizontal="center" vertical="center"/>
    </xf>
    <xf numFmtId="0" fontId="63" fillId="59" borderId="17" xfId="0" applyFont="1" applyFill="1" applyBorder="1" applyAlignment="1">
      <alignment horizontal="center" vertical="center"/>
    </xf>
    <xf numFmtId="164" fontId="63" fillId="59" borderId="17" xfId="0" applyNumberFormat="1" applyFont="1" applyFill="1" applyBorder="1" applyAlignment="1">
      <alignment horizontal="center" vertical="center"/>
    </xf>
    <xf numFmtId="0" fontId="63" fillId="60" borderId="17" xfId="0" applyFont="1" applyFill="1" applyBorder="1" applyAlignment="1">
      <alignment horizontal="left" vertical="center"/>
    </xf>
    <xf numFmtId="0" fontId="62" fillId="61" borderId="17" xfId="0" applyFont="1" applyFill="1" applyBorder="1" applyAlignment="1">
      <alignment horizontal="left" vertical="center"/>
    </xf>
    <xf numFmtId="0" fontId="63" fillId="61" borderId="17" xfId="0" applyFont="1" applyFill="1" applyBorder="1" applyAlignment="1">
      <alignment horizontal="left" vertical="center"/>
    </xf>
    <xf numFmtId="0" fontId="63" fillId="61" borderId="17" xfId="0" applyFont="1" applyFill="1" applyBorder="1" applyAlignment="1">
      <alignment horizontal="center" vertical="center"/>
    </xf>
    <xf numFmtId="164" fontId="63" fillId="61" borderId="17" xfId="0" applyNumberFormat="1" applyFont="1" applyFill="1" applyBorder="1" applyAlignment="1">
      <alignment horizontal="center" vertical="center"/>
    </xf>
    <xf numFmtId="0" fontId="63" fillId="62" borderId="17" xfId="0" applyFont="1" applyFill="1" applyBorder="1" applyAlignment="1">
      <alignment horizontal="left" vertical="center"/>
    </xf>
    <xf numFmtId="0" fontId="64" fillId="63" borderId="17" xfId="0" applyFont="1" applyFill="1" applyBorder="1" applyAlignment="1">
      <alignment horizontal="center" vertical="center"/>
    </xf>
    <xf numFmtId="0" fontId="63" fillId="63" borderId="17" xfId="0" applyFont="1" applyFill="1" applyBorder="1" applyAlignment="1">
      <alignment horizontal="left" vertical="center"/>
    </xf>
    <xf numFmtId="0" fontId="62" fillId="61" borderId="17" xfId="0" applyFont="1" applyFill="1" applyBorder="1" applyAlignment="1">
      <alignment horizontal="left" vertical="center" wrapText="1"/>
    </xf>
    <xf numFmtId="0" fontId="63" fillId="61" borderId="17" xfId="0" applyFont="1" applyFill="1" applyBorder="1" applyAlignment="1">
      <alignment horizontal="left" vertical="center" wrapText="1"/>
    </xf>
    <xf numFmtId="0" fontId="62" fillId="59" borderId="17" xfId="0" applyFont="1" applyFill="1" applyBorder="1" applyAlignment="1">
      <alignment horizontal="left" vertical="center" wrapText="1"/>
    </xf>
    <xf numFmtId="0" fontId="63" fillId="59" borderId="17" xfId="0" applyFont="1" applyFill="1" applyBorder="1" applyAlignment="1">
      <alignment horizontal="left" vertical="center" wrapText="1"/>
    </xf>
    <xf numFmtId="0" fontId="66" fillId="64" borderId="18" xfId="0" applyFont="1" applyFill="1" applyBorder="1" applyAlignment="1">
      <alignment horizontal="left" vertical="center"/>
    </xf>
    <xf numFmtId="0" fontId="67" fillId="64" borderId="18" xfId="0" applyFont="1" applyFill="1" applyBorder="1" applyAlignment="1">
      <alignment horizontal="left" vertical="center"/>
    </xf>
    <xf numFmtId="0" fontId="67" fillId="64" borderId="18" xfId="0" applyFont="1" applyFill="1" applyBorder="1" applyAlignment="1">
      <alignment horizontal="center" vertical="center"/>
    </xf>
    <xf numFmtId="164" fontId="67" fillId="64" borderId="18" xfId="0" applyNumberFormat="1" applyFont="1" applyFill="1" applyBorder="1" applyAlignment="1">
      <alignment horizontal="center" vertical="center"/>
    </xf>
    <xf numFmtId="0" fontId="67" fillId="65" borderId="18" xfId="0" applyFont="1" applyFill="1" applyBorder="1" applyAlignment="1">
      <alignment horizontal="left" vertical="center"/>
    </xf>
    <xf numFmtId="0" fontId="66" fillId="66" borderId="18" xfId="0" applyFont="1" applyFill="1" applyBorder="1" applyAlignment="1">
      <alignment horizontal="left" vertical="center"/>
    </xf>
    <xf numFmtId="0" fontId="67" fillId="66" borderId="18" xfId="0" applyFont="1" applyFill="1" applyBorder="1" applyAlignment="1">
      <alignment horizontal="left" vertical="center"/>
    </xf>
    <xf numFmtId="0" fontId="68" fillId="67" borderId="18" xfId="0" applyFont="1" applyFill="1" applyBorder="1" applyAlignment="1">
      <alignment horizontal="center" vertical="center"/>
    </xf>
    <xf numFmtId="0" fontId="67" fillId="66" borderId="18" xfId="0" applyFont="1" applyFill="1" applyBorder="1" applyAlignment="1">
      <alignment horizontal="center" vertical="center"/>
    </xf>
    <xf numFmtId="164" fontId="67" fillId="66" borderId="18" xfId="0" applyNumberFormat="1" applyFont="1" applyFill="1" applyBorder="1" applyAlignment="1">
      <alignment horizontal="center" vertical="center"/>
    </xf>
    <xf numFmtId="0" fontId="67" fillId="67" borderId="18" xfId="0" applyFont="1" applyFill="1" applyBorder="1" applyAlignment="1">
      <alignment horizontal="left" vertical="center"/>
    </xf>
    <xf numFmtId="0" fontId="68" fillId="68" borderId="18" xfId="0" applyFont="1" applyFill="1" applyBorder="1" applyAlignment="1">
      <alignment horizontal="center" vertical="center"/>
    </xf>
    <xf numFmtId="0" fontId="67" fillId="68" borderId="18" xfId="0" applyFont="1" applyFill="1" applyBorder="1" applyAlignment="1">
      <alignment horizontal="left" vertical="center"/>
    </xf>
    <xf numFmtId="0" fontId="67" fillId="69" borderId="18" xfId="0" applyFont="1" applyFill="1" applyBorder="1" applyAlignment="1">
      <alignment horizontal="left" vertical="center"/>
    </xf>
    <xf numFmtId="0" fontId="66" fillId="64" borderId="18" xfId="0" applyFont="1" applyFill="1" applyBorder="1" applyAlignment="1">
      <alignment horizontal="left" vertical="center" wrapText="1"/>
    </xf>
    <xf numFmtId="0" fontId="67" fillId="64" borderId="18" xfId="0" applyFont="1" applyFill="1" applyBorder="1" applyAlignment="1">
      <alignment horizontal="left" vertical="center" wrapText="1"/>
    </xf>
    <xf numFmtId="0" fontId="66" fillId="66" borderId="18" xfId="0" applyFont="1" applyFill="1" applyBorder="1" applyAlignment="1">
      <alignment horizontal="left" vertical="center" wrapText="1"/>
    </xf>
    <xf numFmtId="0" fontId="67" fillId="66" borderId="18" xfId="0" applyFont="1" applyFill="1" applyBorder="1" applyAlignment="1">
      <alignment horizontal="left" vertical="center" wrapText="1"/>
    </xf>
    <xf numFmtId="165" fontId="0" fillId="0" borderId="0" xfId="0" applyNumberFormat="1"/>
    <xf numFmtId="0" fontId="70" fillId="0" borderId="0" xfId="0" applyFont="1"/>
    <xf numFmtId="0" fontId="71" fillId="0" borderId="0" xfId="0" applyFont="1"/>
    <xf numFmtId="0" fontId="72" fillId="70" borderId="0" xfId="0" applyFont="1" applyFill="1" applyAlignment="1">
      <alignment vertical="center" wrapText="1"/>
    </xf>
    <xf numFmtId="0" fontId="73" fillId="0" borderId="0" xfId="0" applyFont="1" applyAlignment="1">
      <alignment vertical="top" wrapText="1"/>
    </xf>
    <xf numFmtId="0" fontId="0" fillId="0" borderId="0" xfId="0" applyAlignment="1">
      <alignment vertical="top" wrapText="1"/>
    </xf>
    <xf numFmtId="0" fontId="73" fillId="71" borderId="0" xfId="0" applyFont="1" applyFill="1" applyAlignment="1">
      <alignment vertical="top" wrapText="1"/>
    </xf>
    <xf numFmtId="0" fontId="73" fillId="72" borderId="0" xfId="0" applyFont="1" applyFill="1" applyAlignment="1">
      <alignment vertical="top" wrapText="1"/>
    </xf>
    <xf numFmtId="0" fontId="73" fillId="73" borderId="0" xfId="0" applyFont="1" applyFill="1" applyAlignment="1">
      <alignment vertical="top" wrapText="1"/>
    </xf>
    <xf numFmtId="0" fontId="74" fillId="0" borderId="0" xfId="0" applyFont="1"/>
    <xf numFmtId="0" fontId="76" fillId="70" borderId="0" xfId="0" applyFont="1" applyFill="1" applyAlignment="1">
      <alignment vertical="center"/>
    </xf>
    <xf numFmtId="0" fontId="77" fillId="69" borderId="0" xfId="0" applyFont="1" applyFill="1" applyAlignment="1">
      <alignment horizontal="center" vertical="top"/>
    </xf>
    <xf numFmtId="0" fontId="77" fillId="68" borderId="0" xfId="0" applyFont="1" applyFill="1" applyAlignment="1">
      <alignment horizontal="center" vertical="top"/>
    </xf>
    <xf numFmtId="0" fontId="77" fillId="67" borderId="0" xfId="0" applyFont="1" applyFill="1" applyAlignment="1">
      <alignment horizontal="center" vertical="top"/>
    </xf>
    <xf numFmtId="0" fontId="77" fillId="8" borderId="0" xfId="0" applyFont="1" applyFill="1" applyAlignment="1">
      <alignment horizontal="center" vertical="top"/>
    </xf>
    <xf numFmtId="0" fontId="77" fillId="74" borderId="0" xfId="0" applyFont="1" applyFill="1" applyAlignment="1">
      <alignment horizontal="center" vertical="top"/>
    </xf>
    <xf numFmtId="0" fontId="77" fillId="75" borderId="0" xfId="0" applyFont="1" applyFill="1" applyAlignment="1">
      <alignment horizontal="center" vertical="top"/>
    </xf>
    <xf numFmtId="0" fontId="78" fillId="0" borderId="0" xfId="0" applyFont="1"/>
    <xf numFmtId="0" fontId="79" fillId="65" borderId="0" xfId="0" applyFont="1" applyFill="1" applyAlignment="1">
      <alignment horizontal="center" vertical="top"/>
    </xf>
    <xf numFmtId="0" fontId="79" fillId="69" borderId="0" xfId="0" applyFont="1" applyFill="1" applyAlignment="1">
      <alignment horizontal="center" vertical="top"/>
    </xf>
    <xf numFmtId="0" fontId="79" fillId="67" borderId="0" xfId="0" applyFont="1" applyFill="1" applyAlignment="1">
      <alignment horizontal="center" vertical="top"/>
    </xf>
    <xf numFmtId="0" fontId="80" fillId="67" borderId="0" xfId="0" applyFont="1" applyFill="1" applyAlignment="1">
      <alignment horizontal="center" vertical="top"/>
    </xf>
    <xf numFmtId="0" fontId="80" fillId="65" borderId="0" xfId="0" applyFont="1" applyFill="1" applyAlignment="1">
      <alignment horizontal="center" vertical="top"/>
    </xf>
    <xf numFmtId="0" fontId="81" fillId="65" borderId="0" xfId="0" applyFont="1" applyFill="1" applyAlignment="1">
      <alignment horizontal="center" vertical="top"/>
    </xf>
    <xf numFmtId="0" fontId="82" fillId="65" borderId="0" xfId="0" applyFont="1" applyFill="1" applyAlignment="1">
      <alignment horizontal="center" vertical="top"/>
    </xf>
    <xf numFmtId="0" fontId="83" fillId="8" borderId="0" xfId="0" applyFont="1" applyFill="1" applyAlignment="1">
      <alignment horizontal="center" vertical="top"/>
    </xf>
    <xf numFmtId="0" fontId="83" fillId="65" borderId="0" xfId="0" applyFont="1" applyFill="1" applyAlignment="1">
      <alignment horizontal="center" vertical="top"/>
    </xf>
    <xf numFmtId="0" fontId="84" fillId="65" borderId="0" xfId="0" applyFont="1" applyFill="1" applyAlignment="1">
      <alignment horizontal="center" vertical="top"/>
    </xf>
    <xf numFmtId="0" fontId="85" fillId="65" borderId="1" xfId="0" applyFont="1" applyFill="1" applyBorder="1" applyAlignment="1">
      <alignment horizontal="center" vertical="top"/>
    </xf>
    <xf numFmtId="0" fontId="7" fillId="5" borderId="1" xfId="0" applyFont="1" applyFill="1" applyBorder="1" applyAlignment="1">
      <alignment vertical="top" wrapText="1"/>
    </xf>
    <xf numFmtId="0" fontId="7" fillId="7" borderId="1" xfId="0" applyFont="1" applyFill="1" applyBorder="1" applyAlignment="1">
      <alignment vertical="top" wrapText="1"/>
    </xf>
    <xf numFmtId="0" fontId="85" fillId="65" borderId="7" xfId="0" applyFont="1" applyFill="1" applyBorder="1" applyAlignment="1">
      <alignment horizontal="center" vertical="top"/>
    </xf>
    <xf numFmtId="0" fontId="25" fillId="16" borderId="7" xfId="0" applyFont="1" applyFill="1" applyBorder="1" applyAlignment="1">
      <alignment vertical="top" wrapText="1"/>
    </xf>
    <xf numFmtId="0" fontId="25" fillId="18" borderId="7" xfId="0" applyFont="1" applyFill="1" applyBorder="1" applyAlignment="1">
      <alignment vertical="top" wrapText="1"/>
    </xf>
    <xf numFmtId="0" fontId="85" fillId="65" borderId="8" xfId="0" applyFont="1" applyFill="1" applyBorder="1" applyAlignment="1">
      <alignment horizontal="center" vertical="top"/>
    </xf>
    <xf numFmtId="0" fontId="29" fillId="20" borderId="8" xfId="0" applyFont="1" applyFill="1" applyBorder="1" applyAlignment="1">
      <alignment vertical="top" wrapText="1"/>
    </xf>
    <xf numFmtId="0" fontId="29" fillId="22" borderId="8" xfId="0" applyFont="1" applyFill="1" applyBorder="1" applyAlignment="1">
      <alignment vertical="top" wrapText="1"/>
    </xf>
    <xf numFmtId="0" fontId="85" fillId="65" borderId="9" xfId="0" applyFont="1" applyFill="1" applyBorder="1" applyAlignment="1">
      <alignment horizontal="center" vertical="top"/>
    </xf>
    <xf numFmtId="0" fontId="33" fillId="25" borderId="9" xfId="0" applyFont="1" applyFill="1" applyBorder="1" applyAlignment="1">
      <alignment vertical="top" wrapText="1"/>
    </xf>
    <xf numFmtId="0" fontId="85" fillId="65" borderId="10" xfId="0" applyFont="1" applyFill="1" applyBorder="1" applyAlignment="1">
      <alignment horizontal="center" vertical="top"/>
    </xf>
    <xf numFmtId="0" fontId="37" fillId="28" borderId="10" xfId="0" applyFont="1" applyFill="1" applyBorder="1" applyAlignment="1">
      <alignment vertical="top" wrapText="1"/>
    </xf>
    <xf numFmtId="0" fontId="37" fillId="30" borderId="10" xfId="0" applyFont="1" applyFill="1" applyBorder="1" applyAlignment="1">
      <alignment vertical="top" wrapText="1"/>
    </xf>
    <xf numFmtId="0" fontId="85" fillId="65" borderId="11" xfId="0" applyFont="1" applyFill="1" applyBorder="1" applyAlignment="1">
      <alignment horizontal="center" vertical="top"/>
    </xf>
    <xf numFmtId="0" fontId="41" fillId="32" borderId="11" xfId="0" applyFont="1" applyFill="1" applyBorder="1" applyAlignment="1">
      <alignment vertical="top" wrapText="1"/>
    </xf>
    <xf numFmtId="0" fontId="41" fillId="34" borderId="11" xfId="0" applyFont="1" applyFill="1" applyBorder="1" applyAlignment="1">
      <alignment vertical="top" wrapText="1"/>
    </xf>
    <xf numFmtId="0" fontId="85" fillId="65" borderId="12" xfId="0" applyFont="1" applyFill="1" applyBorder="1" applyAlignment="1">
      <alignment horizontal="center" vertical="top"/>
    </xf>
    <xf numFmtId="0" fontId="45" fillId="36" borderId="12" xfId="0" applyFont="1" applyFill="1" applyBorder="1" applyAlignment="1">
      <alignment vertical="top" wrapText="1"/>
    </xf>
    <xf numFmtId="0" fontId="45" fillId="38" borderId="12" xfId="0" applyFont="1" applyFill="1" applyBorder="1" applyAlignment="1">
      <alignment vertical="top" wrapText="1"/>
    </xf>
    <xf numFmtId="0" fontId="49" fillId="40" borderId="13" xfId="0" applyFont="1" applyFill="1" applyBorder="1" applyAlignment="1">
      <alignment vertical="top" wrapText="1"/>
    </xf>
    <xf numFmtId="0" fontId="85" fillId="65" borderId="13" xfId="0" applyFont="1" applyFill="1" applyBorder="1" applyAlignment="1">
      <alignment horizontal="center" vertical="top"/>
    </xf>
    <xf numFmtId="0" fontId="49" fillId="42" borderId="13" xfId="0" applyFont="1" applyFill="1" applyBorder="1" applyAlignment="1">
      <alignment vertical="top" wrapText="1"/>
    </xf>
    <xf numFmtId="0" fontId="85" fillId="65" borderId="14" xfId="0" applyFont="1" applyFill="1" applyBorder="1" applyAlignment="1">
      <alignment horizontal="center" vertical="top"/>
    </xf>
    <xf numFmtId="0" fontId="53" fillId="45" borderId="14" xfId="0" applyFont="1" applyFill="1" applyBorder="1" applyAlignment="1">
      <alignment vertical="top" wrapText="1"/>
    </xf>
    <xf numFmtId="0" fontId="53" fillId="47" borderId="14" xfId="0" applyFont="1" applyFill="1" applyBorder="1" applyAlignment="1">
      <alignment vertical="top" wrapText="1"/>
    </xf>
    <xf numFmtId="0" fontId="57" fillId="51" borderId="15" xfId="0" applyFont="1" applyFill="1" applyBorder="1" applyAlignment="1">
      <alignment vertical="top" wrapText="1"/>
    </xf>
    <xf numFmtId="0" fontId="85" fillId="65" borderId="16" xfId="0" applyFont="1" applyFill="1" applyBorder="1" applyAlignment="1">
      <alignment horizontal="center" vertical="top"/>
    </xf>
    <xf numFmtId="0" fontId="61" fillId="54" borderId="16" xfId="0" applyFont="1" applyFill="1" applyBorder="1" applyAlignment="1">
      <alignment vertical="top" wrapText="1"/>
    </xf>
    <xf numFmtId="0" fontId="65" fillId="59" borderId="17" xfId="0" applyFont="1" applyFill="1" applyBorder="1" applyAlignment="1">
      <alignment vertical="top" wrapText="1"/>
    </xf>
    <xf numFmtId="0" fontId="85" fillId="65" borderId="17" xfId="0" applyFont="1" applyFill="1" applyBorder="1" applyAlignment="1">
      <alignment horizontal="center" vertical="top"/>
    </xf>
    <xf numFmtId="0" fontId="65" fillId="61" borderId="17" xfId="0" applyFont="1" applyFill="1" applyBorder="1" applyAlignment="1">
      <alignment vertical="top" wrapText="1"/>
    </xf>
    <xf numFmtId="0" fontId="85" fillId="65" borderId="18" xfId="0" applyFont="1" applyFill="1" applyBorder="1" applyAlignment="1">
      <alignment horizontal="center" vertical="top"/>
    </xf>
    <xf numFmtId="0" fontId="69" fillId="64" borderId="18" xfId="0" applyFont="1" applyFill="1" applyBorder="1" applyAlignment="1">
      <alignment vertical="top" wrapText="1"/>
    </xf>
    <xf numFmtId="0" fontId="69" fillId="66" borderId="18" xfId="0" applyFont="1" applyFill="1" applyBorder="1" applyAlignment="1">
      <alignment vertical="top" wrapText="1"/>
    </xf>
    <xf numFmtId="0" fontId="85" fillId="65" borderId="0" xfId="0" applyFont="1" applyFill="1" applyAlignment="1">
      <alignment horizontal="center" vertical="top"/>
    </xf>
    <xf numFmtId="0" fontId="86" fillId="0" borderId="0" xfId="0" applyFont="1"/>
    <xf numFmtId="0" fontId="2" fillId="3" borderId="18" xfId="0" applyFont="1" applyFill="1" applyBorder="1" applyAlignment="1">
      <alignment horizontal="left" vertical="center"/>
    </xf>
    <xf numFmtId="0" fontId="0" fillId="0" borderId="2" xfId="0" applyBorder="1"/>
    <xf numFmtId="0" fontId="0" fillId="0" borderId="3" xfId="0" applyBorder="1"/>
    <xf numFmtId="0" fontId="1" fillId="2" borderId="18" xfId="0" applyFont="1" applyFill="1" applyBorder="1" applyAlignment="1">
      <alignment horizontal="left" vertical="center"/>
    </xf>
    <xf numFmtId="0" fontId="15" fillId="6" borderId="4" xfId="0" applyFont="1" applyFill="1" applyBorder="1" applyAlignment="1">
      <alignment horizontal="center" vertical="center" wrapText="1"/>
    </xf>
    <xf numFmtId="0" fontId="0" fillId="0" borderId="5" xfId="0" applyBorder="1"/>
    <xf numFmtId="0" fontId="0" fillId="0" borderId="6" xfId="0" applyBorder="1"/>
    <xf numFmtId="0" fontId="16" fillId="0" borderId="0" xfId="0" applyFont="1" applyAlignment="1">
      <alignment horizontal="center" vertical="center"/>
    </xf>
    <xf numFmtId="0" fontId="0" fillId="0" borderId="0" xfId="0"/>
    <xf numFmtId="0" fontId="15" fillId="13" borderId="4" xfId="0" applyFont="1" applyFill="1" applyBorder="1" applyAlignment="1">
      <alignment horizontal="center" vertical="center" wrapText="1"/>
    </xf>
    <xf numFmtId="0" fontId="17" fillId="0" borderId="0" xfId="0" applyFont="1" applyAlignment="1">
      <alignment horizontal="left" vertical="center" indent="1"/>
    </xf>
    <xf numFmtId="0" fontId="15" fillId="11" borderId="4" xfId="0" applyFont="1" applyFill="1" applyBorder="1" applyAlignment="1">
      <alignment horizontal="center" vertical="center" wrapText="1"/>
    </xf>
    <xf numFmtId="0" fontId="15" fillId="14" borderId="4" xfId="0" applyFont="1" applyFill="1" applyBorder="1" applyAlignment="1">
      <alignment horizontal="center" vertical="center" wrapText="1"/>
    </xf>
    <xf numFmtId="0" fontId="15" fillId="15" borderId="4" xfId="0" applyFont="1" applyFill="1" applyBorder="1" applyAlignment="1">
      <alignment horizontal="center" vertical="center" wrapText="1"/>
    </xf>
    <xf numFmtId="0" fontId="3" fillId="4" borderId="0" xfId="0" applyFont="1" applyFill="1" applyAlignment="1">
      <alignment horizontal="left" vertical="center" indent="1"/>
    </xf>
    <xf numFmtId="0" fontId="15" fillId="8" borderId="4" xfId="0" applyFont="1" applyFill="1" applyBorder="1" applyAlignment="1">
      <alignment horizontal="center" vertical="center" wrapText="1"/>
    </xf>
    <xf numFmtId="0" fontId="15" fillId="15" borderId="0" xfId="0" applyFont="1" applyFill="1" applyAlignment="1">
      <alignment horizontal="center" vertical="center"/>
    </xf>
    <xf numFmtId="0" fontId="15" fillId="4" borderId="4" xfId="0" applyFont="1" applyFill="1" applyBorder="1" applyAlignment="1">
      <alignment horizontal="center" vertical="center" wrapText="1"/>
    </xf>
    <xf numFmtId="0" fontId="15" fillId="14" borderId="0" xfId="0" applyFont="1" applyFill="1" applyAlignment="1">
      <alignment horizontal="center" vertical="center"/>
    </xf>
    <xf numFmtId="0" fontId="1" fillId="2" borderId="0" xfId="0" applyFont="1" applyFill="1" applyAlignment="1">
      <alignment horizontal="left" vertical="center" indent="1"/>
    </xf>
    <xf numFmtId="0" fontId="3" fillId="2" borderId="0" xfId="0" applyFont="1" applyFill="1" applyAlignment="1">
      <alignment horizontal="left" vertical="center" indent="1"/>
    </xf>
    <xf numFmtId="0" fontId="18" fillId="0" borderId="0" xfId="0" applyFont="1" applyAlignment="1">
      <alignment horizontal="left" vertical="center" indent="1"/>
    </xf>
    <xf numFmtId="0" fontId="15" fillId="13" borderId="0" xfId="0" applyFont="1" applyFill="1" applyAlignment="1">
      <alignment horizontal="center" vertical="center"/>
    </xf>
    <xf numFmtId="0" fontId="15" fillId="8" borderId="0" xfId="0" applyFont="1" applyFill="1" applyAlignment="1">
      <alignment horizontal="center" vertical="center"/>
    </xf>
    <xf numFmtId="0" fontId="15" fillId="6" borderId="0" xfId="0" applyFont="1" applyFill="1" applyAlignment="1">
      <alignment horizontal="center" vertical="center"/>
    </xf>
    <xf numFmtId="0" fontId="15" fillId="11" borderId="0" xfId="0" applyFont="1" applyFill="1" applyAlignment="1">
      <alignment horizontal="center" vertical="center"/>
    </xf>
    <xf numFmtId="0" fontId="13" fillId="3" borderId="0" xfId="0" applyFont="1" applyFill="1" applyAlignment="1">
      <alignment horizontal="left" vertical="center" indent="1"/>
    </xf>
    <xf numFmtId="0" fontId="11" fillId="2" borderId="18" xfId="0" applyFont="1" applyFill="1" applyBorder="1" applyAlignment="1">
      <alignment horizontal="left" vertical="center"/>
    </xf>
    <xf numFmtId="0" fontId="75" fillId="0" borderId="0" xfId="0" applyFont="1" applyAlignment="1">
      <alignment vertical="top" wrapText="1"/>
    </xf>
    <xf numFmtId="0" fontId="71" fillId="0" borderId="0" xfId="0" applyFont="1"/>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20"/>
  <sheetViews>
    <sheetView tabSelected="1" workbookViewId="0">
      <pane xSplit="7" ySplit="4" topLeftCell="H98" activePane="bottomRight" state="frozen"/>
      <selection pane="topRight"/>
      <selection pane="bottomLeft"/>
      <selection pane="bottomRight" activeCell="A108" sqref="A108:XFD108"/>
    </sheetView>
  </sheetViews>
  <sheetFormatPr defaultRowHeight="14.4" x14ac:dyDescent="0.55000000000000004"/>
  <cols>
    <col min="1" max="1" width="20" customWidth="1"/>
    <col min="2" max="2" width="44" customWidth="1"/>
    <col min="3" max="3" width="12" customWidth="1"/>
    <col min="4" max="4" width="10" customWidth="1"/>
    <col min="5" max="6" width="9" customWidth="1"/>
    <col min="7" max="7" width="56.3671875" bestFit="1" customWidth="1"/>
    <col min="8" max="17" width="5.41796875" customWidth="1"/>
    <col min="18" max="18" width="13" hidden="1" customWidth="1"/>
  </cols>
  <sheetData>
    <row r="1" spans="1:18" ht="30" customHeight="1" x14ac:dyDescent="0.55000000000000004">
      <c r="A1" s="278" t="s">
        <v>0</v>
      </c>
      <c r="B1" s="276"/>
      <c r="C1" s="276"/>
      <c r="D1" s="276"/>
      <c r="E1" s="276"/>
      <c r="F1" s="276"/>
      <c r="G1" s="276"/>
      <c r="H1" s="276"/>
      <c r="I1" s="276"/>
      <c r="J1" s="276"/>
      <c r="K1" s="276"/>
      <c r="L1" s="276"/>
      <c r="M1" s="276"/>
      <c r="N1" s="276"/>
      <c r="O1" s="276"/>
      <c r="P1" s="276"/>
      <c r="Q1" s="277"/>
    </row>
    <row r="2" spans="1:18" ht="18" customHeight="1" x14ac:dyDescent="0.55000000000000004">
      <c r="A2" s="275" t="s">
        <v>1</v>
      </c>
      <c r="B2" s="276"/>
      <c r="C2" s="276"/>
      <c r="D2" s="276"/>
      <c r="E2" s="276"/>
      <c r="F2" s="276"/>
      <c r="G2" s="276"/>
      <c r="H2" s="276"/>
      <c r="I2" s="276"/>
      <c r="J2" s="276"/>
      <c r="K2" s="276"/>
      <c r="L2" s="276"/>
      <c r="M2" s="276"/>
      <c r="N2" s="276"/>
      <c r="O2" s="276"/>
      <c r="P2" s="276"/>
      <c r="Q2" s="277"/>
    </row>
    <row r="4" spans="1:18" x14ac:dyDescent="0.55000000000000004">
      <c r="A4" s="1" t="s">
        <v>2</v>
      </c>
      <c r="B4" s="1" t="s">
        <v>3</v>
      </c>
      <c r="C4" s="1" t="s">
        <v>4</v>
      </c>
      <c r="D4" s="1" t="s">
        <v>5</v>
      </c>
      <c r="E4" s="1" t="s">
        <v>6</v>
      </c>
      <c r="F4" s="1" t="s">
        <v>7</v>
      </c>
      <c r="G4" s="1" t="s">
        <v>8</v>
      </c>
      <c r="H4" s="2" t="s">
        <v>9</v>
      </c>
      <c r="I4" s="2" t="s">
        <v>10</v>
      </c>
      <c r="J4" s="2" t="s">
        <v>11</v>
      </c>
      <c r="K4" s="2" t="s">
        <v>12</v>
      </c>
      <c r="L4" s="2" t="s">
        <v>13</v>
      </c>
      <c r="M4" s="2" t="s">
        <v>14</v>
      </c>
      <c r="N4" s="2" t="s">
        <v>15</v>
      </c>
      <c r="O4" s="2" t="s">
        <v>16</v>
      </c>
      <c r="P4" s="2" t="s">
        <v>17</v>
      </c>
      <c r="Q4" s="2" t="s">
        <v>18</v>
      </c>
      <c r="R4" s="40" t="s">
        <v>19</v>
      </c>
    </row>
    <row r="5" spans="1:18" x14ac:dyDescent="0.55000000000000004">
      <c r="A5" s="3" t="s">
        <v>20</v>
      </c>
      <c r="B5" s="4" t="s">
        <v>21</v>
      </c>
      <c r="C5" s="238" t="s">
        <v>22</v>
      </c>
      <c r="D5" s="6" t="s">
        <v>23</v>
      </c>
      <c r="E5" s="7">
        <v>46231</v>
      </c>
      <c r="F5" s="7">
        <v>46231</v>
      </c>
      <c r="G5" s="239" t="s">
        <v>24</v>
      </c>
      <c r="H5" s="8"/>
      <c r="I5" s="9"/>
      <c r="J5" s="9"/>
      <c r="K5" s="9"/>
      <c r="L5" s="9"/>
      <c r="M5" s="9"/>
      <c r="N5" s="9"/>
      <c r="O5" s="9"/>
      <c r="P5" s="9"/>
      <c r="Q5" s="9"/>
      <c r="R5" t="str">
        <f>$A5</f>
        <v>E1 Foundation</v>
      </c>
    </row>
    <row r="6" spans="1:18" x14ac:dyDescent="0.55000000000000004">
      <c r="A6" s="10"/>
      <c r="B6" s="10" t="s">
        <v>25</v>
      </c>
      <c r="C6" s="238" t="s">
        <v>22</v>
      </c>
      <c r="D6" s="11" t="s">
        <v>23</v>
      </c>
      <c r="E6" s="12">
        <v>46231</v>
      </c>
      <c r="F6" s="12">
        <v>46232</v>
      </c>
      <c r="G6" s="240" t="s">
        <v>26</v>
      </c>
      <c r="H6" s="8"/>
      <c r="I6" s="13"/>
      <c r="J6" s="13"/>
      <c r="K6" s="13"/>
      <c r="L6" s="13"/>
      <c r="M6" s="13"/>
      <c r="N6" s="13"/>
      <c r="O6" s="13"/>
      <c r="P6" s="13"/>
      <c r="Q6" s="13"/>
      <c r="R6" t="str">
        <f t="shared" ref="R6:R69" si="0">IF($A6&lt;&gt;"",$A6,R5)</f>
        <v>E1 Foundation</v>
      </c>
    </row>
    <row r="7" spans="1:18" x14ac:dyDescent="0.55000000000000004">
      <c r="A7" s="4"/>
      <c r="B7" s="4" t="s">
        <v>27</v>
      </c>
      <c r="C7" s="238" t="s">
        <v>22</v>
      </c>
      <c r="D7" s="6" t="s">
        <v>23</v>
      </c>
      <c r="E7" s="7">
        <v>46231</v>
      </c>
      <c r="F7" s="7">
        <v>46231</v>
      </c>
      <c r="G7" s="239" t="s">
        <v>28</v>
      </c>
      <c r="H7" s="8"/>
      <c r="I7" s="9"/>
      <c r="J7" s="9"/>
      <c r="K7" s="9"/>
      <c r="L7" s="9"/>
      <c r="M7" s="9"/>
      <c r="N7" s="9"/>
      <c r="O7" s="9"/>
      <c r="P7" s="9"/>
      <c r="Q7" s="9"/>
      <c r="R7" t="str">
        <f t="shared" si="0"/>
        <v>E1 Foundation</v>
      </c>
    </row>
    <row r="8" spans="1:18" x14ac:dyDescent="0.55000000000000004">
      <c r="A8" s="10"/>
      <c r="B8" s="10" t="s">
        <v>29</v>
      </c>
      <c r="C8" s="238" t="s">
        <v>22</v>
      </c>
      <c r="D8" s="11" t="s">
        <v>23</v>
      </c>
      <c r="E8" s="12">
        <v>46233</v>
      </c>
      <c r="F8" s="12">
        <v>46233</v>
      </c>
      <c r="G8" s="240" t="s">
        <v>30</v>
      </c>
      <c r="H8" s="8"/>
      <c r="I8" s="13"/>
      <c r="J8" s="13"/>
      <c r="K8" s="13"/>
      <c r="L8" s="13"/>
      <c r="M8" s="13"/>
      <c r="N8" s="13"/>
      <c r="O8" s="13"/>
      <c r="P8" s="13"/>
      <c r="Q8" s="13"/>
      <c r="R8" t="str">
        <f t="shared" si="0"/>
        <v>E1 Foundation</v>
      </c>
    </row>
    <row r="9" spans="1:18" x14ac:dyDescent="0.55000000000000004">
      <c r="A9" s="3" t="s">
        <v>31</v>
      </c>
      <c r="B9" s="4" t="s">
        <v>32</v>
      </c>
      <c r="C9" s="238" t="s">
        <v>22</v>
      </c>
      <c r="D9" s="6" t="s">
        <v>33</v>
      </c>
      <c r="E9" s="7">
        <v>46231</v>
      </c>
      <c r="F9" s="7">
        <v>46231</v>
      </c>
      <c r="G9" s="239" t="s">
        <v>34</v>
      </c>
      <c r="H9" s="8"/>
      <c r="I9" s="9"/>
      <c r="J9" s="9"/>
      <c r="K9" s="9"/>
      <c r="L9" s="9"/>
      <c r="M9" s="9"/>
      <c r="N9" s="9"/>
      <c r="O9" s="9"/>
      <c r="P9" s="9"/>
      <c r="Q9" s="9"/>
      <c r="R9" t="str">
        <f t="shared" si="0"/>
        <v>E2 Ingestion</v>
      </c>
    </row>
    <row r="10" spans="1:18" x14ac:dyDescent="0.55000000000000004">
      <c r="A10" s="10"/>
      <c r="B10" s="10" t="s">
        <v>35</v>
      </c>
      <c r="C10" s="238" t="s">
        <v>22</v>
      </c>
      <c r="D10" s="11" t="s">
        <v>33</v>
      </c>
      <c r="E10" s="12">
        <v>46232</v>
      </c>
      <c r="F10" s="12">
        <v>46232</v>
      </c>
      <c r="G10" s="240" t="s">
        <v>36</v>
      </c>
      <c r="H10" s="8"/>
      <c r="I10" s="13"/>
      <c r="J10" s="13"/>
      <c r="K10" s="13"/>
      <c r="L10" s="13"/>
      <c r="M10" s="13"/>
      <c r="N10" s="13"/>
      <c r="O10" s="13"/>
      <c r="P10" s="13"/>
      <c r="Q10" s="13"/>
      <c r="R10" t="str">
        <f t="shared" si="0"/>
        <v>E2 Ingestion</v>
      </c>
    </row>
    <row r="11" spans="1:18" x14ac:dyDescent="0.55000000000000004">
      <c r="A11" s="4"/>
      <c r="B11" s="4" t="s">
        <v>37</v>
      </c>
      <c r="C11" s="238" t="s">
        <v>22</v>
      </c>
      <c r="D11" s="6" t="s">
        <v>33</v>
      </c>
      <c r="E11" s="7">
        <v>46232</v>
      </c>
      <c r="F11" s="7">
        <v>46233</v>
      </c>
      <c r="G11" s="239" t="s">
        <v>38</v>
      </c>
      <c r="H11" s="8"/>
      <c r="I11" s="9"/>
      <c r="J11" s="9"/>
      <c r="K11" s="9"/>
      <c r="L11" s="9"/>
      <c r="M11" s="9"/>
      <c r="N11" s="9"/>
      <c r="O11" s="9"/>
      <c r="P11" s="9"/>
      <c r="Q11" s="9"/>
      <c r="R11" t="str">
        <f t="shared" si="0"/>
        <v>E2 Ingestion</v>
      </c>
    </row>
    <row r="12" spans="1:18" x14ac:dyDescent="0.55000000000000004">
      <c r="A12" s="10"/>
      <c r="B12" s="10" t="s">
        <v>39</v>
      </c>
      <c r="C12" s="238" t="s">
        <v>22</v>
      </c>
      <c r="D12" s="11" t="s">
        <v>33</v>
      </c>
      <c r="E12" s="12">
        <v>46233</v>
      </c>
      <c r="F12" s="12">
        <v>46234</v>
      </c>
      <c r="G12" s="240" t="s">
        <v>40</v>
      </c>
      <c r="H12" s="8"/>
      <c r="I12" s="13"/>
      <c r="J12" s="13"/>
      <c r="K12" s="13"/>
      <c r="L12" s="13"/>
      <c r="M12" s="13"/>
      <c r="N12" s="13"/>
      <c r="O12" s="13"/>
      <c r="P12" s="13"/>
      <c r="Q12" s="13"/>
      <c r="R12" t="str">
        <f t="shared" si="0"/>
        <v>E2 Ingestion</v>
      </c>
    </row>
    <row r="13" spans="1:18" x14ac:dyDescent="0.55000000000000004">
      <c r="A13" s="4"/>
      <c r="B13" s="4" t="s">
        <v>41</v>
      </c>
      <c r="C13" s="238" t="s">
        <v>22</v>
      </c>
      <c r="D13" s="6" t="s">
        <v>33</v>
      </c>
      <c r="E13" s="7">
        <v>46236</v>
      </c>
      <c r="F13" s="7">
        <v>46237</v>
      </c>
      <c r="G13" s="239" t="s">
        <v>42</v>
      </c>
      <c r="H13" s="8"/>
      <c r="I13" s="8"/>
      <c r="J13" s="9"/>
      <c r="K13" s="9"/>
      <c r="L13" s="9"/>
      <c r="M13" s="9"/>
      <c r="N13" s="9"/>
      <c r="O13" s="9"/>
      <c r="P13" s="9"/>
      <c r="Q13" s="9"/>
      <c r="R13" t="str">
        <f t="shared" si="0"/>
        <v>E2 Ingestion</v>
      </c>
    </row>
    <row r="14" spans="1:18" x14ac:dyDescent="0.55000000000000004">
      <c r="A14" s="14" t="s">
        <v>43</v>
      </c>
      <c r="B14" s="10" t="s">
        <v>44</v>
      </c>
      <c r="C14" s="238" t="s">
        <v>22</v>
      </c>
      <c r="D14" s="11" t="s">
        <v>45</v>
      </c>
      <c r="E14" s="12">
        <v>46231</v>
      </c>
      <c r="F14" s="12">
        <v>46232</v>
      </c>
      <c r="G14" s="240" t="s">
        <v>46</v>
      </c>
      <c r="H14" s="8"/>
      <c r="I14" s="13"/>
      <c r="J14" s="13"/>
      <c r="K14" s="13"/>
      <c r="L14" s="13"/>
      <c r="M14" s="13"/>
      <c r="N14" s="13"/>
      <c r="O14" s="13"/>
      <c r="P14" s="13"/>
      <c r="Q14" s="13"/>
      <c r="R14" t="str">
        <f t="shared" si="0"/>
        <v>E3 ML NBA</v>
      </c>
    </row>
    <row r="15" spans="1:18" x14ac:dyDescent="0.55000000000000004">
      <c r="A15" s="4"/>
      <c r="B15" s="4" t="s">
        <v>47</v>
      </c>
      <c r="C15" s="238" t="s">
        <v>22</v>
      </c>
      <c r="D15" s="6" t="s">
        <v>45</v>
      </c>
      <c r="E15" s="7">
        <v>46232</v>
      </c>
      <c r="F15" s="7">
        <v>46232</v>
      </c>
      <c r="G15" s="239" t="s">
        <v>48</v>
      </c>
      <c r="H15" s="8"/>
      <c r="I15" s="9"/>
      <c r="J15" s="9"/>
      <c r="K15" s="9"/>
      <c r="L15" s="9"/>
      <c r="M15" s="9"/>
      <c r="N15" s="9"/>
      <c r="O15" s="9"/>
      <c r="P15" s="9"/>
      <c r="Q15" s="9"/>
      <c r="R15" t="str">
        <f t="shared" si="0"/>
        <v>E3 ML NBA</v>
      </c>
    </row>
    <row r="16" spans="1:18" x14ac:dyDescent="0.55000000000000004">
      <c r="A16" s="10"/>
      <c r="B16" s="10" t="s">
        <v>49</v>
      </c>
      <c r="C16" s="238" t="s">
        <v>22</v>
      </c>
      <c r="D16" s="11" t="s">
        <v>45</v>
      </c>
      <c r="E16" s="12">
        <v>46232</v>
      </c>
      <c r="F16" s="12">
        <v>46233</v>
      </c>
      <c r="G16" s="240" t="s">
        <v>50</v>
      </c>
      <c r="H16" s="8"/>
      <c r="I16" s="13"/>
      <c r="J16" s="13"/>
      <c r="K16" s="13"/>
      <c r="L16" s="13"/>
      <c r="M16" s="13"/>
      <c r="N16" s="13"/>
      <c r="O16" s="13"/>
      <c r="P16" s="13"/>
      <c r="Q16" s="13"/>
      <c r="R16" t="str">
        <f t="shared" si="0"/>
        <v>E3 ML NBA</v>
      </c>
    </row>
    <row r="17" spans="1:18" x14ac:dyDescent="0.55000000000000004">
      <c r="A17" s="3" t="s">
        <v>51</v>
      </c>
      <c r="B17" s="4" t="s">
        <v>52</v>
      </c>
      <c r="C17" s="238" t="s">
        <v>22</v>
      </c>
      <c r="D17" s="6" t="s">
        <v>45</v>
      </c>
      <c r="E17" s="7">
        <v>46232</v>
      </c>
      <c r="F17" s="7">
        <v>46233</v>
      </c>
      <c r="G17" s="239" t="s">
        <v>53</v>
      </c>
      <c r="H17" s="8"/>
      <c r="I17" s="9"/>
      <c r="J17" s="9"/>
      <c r="K17" s="9"/>
      <c r="L17" s="9"/>
      <c r="M17" s="9"/>
      <c r="N17" s="9"/>
      <c r="O17" s="9"/>
      <c r="P17" s="9"/>
      <c r="Q17" s="9"/>
      <c r="R17" t="str">
        <f t="shared" si="0"/>
        <v>E4 ML Football</v>
      </c>
    </row>
    <row r="18" spans="1:18" x14ac:dyDescent="0.55000000000000004">
      <c r="A18" s="10"/>
      <c r="B18" s="10" t="s">
        <v>54</v>
      </c>
      <c r="C18" s="238" t="s">
        <v>22</v>
      </c>
      <c r="D18" s="11" t="s">
        <v>45</v>
      </c>
      <c r="E18" s="12">
        <v>46233</v>
      </c>
      <c r="F18" s="12">
        <v>46233</v>
      </c>
      <c r="G18" s="240" t="s">
        <v>55</v>
      </c>
      <c r="H18" s="8"/>
      <c r="I18" s="13"/>
      <c r="J18" s="13"/>
      <c r="K18" s="13"/>
      <c r="L18" s="13"/>
      <c r="M18" s="13"/>
      <c r="N18" s="13"/>
      <c r="O18" s="13"/>
      <c r="P18" s="13"/>
      <c r="Q18" s="13"/>
      <c r="R18" t="str">
        <f t="shared" si="0"/>
        <v>E4 ML Football</v>
      </c>
    </row>
    <row r="19" spans="1:18" x14ac:dyDescent="0.55000000000000004">
      <c r="A19" s="4"/>
      <c r="B19" s="4" t="s">
        <v>56</v>
      </c>
      <c r="C19" s="238" t="s">
        <v>22</v>
      </c>
      <c r="D19" s="6" t="s">
        <v>45</v>
      </c>
      <c r="E19" s="7">
        <v>46233</v>
      </c>
      <c r="F19" s="7">
        <v>46233</v>
      </c>
      <c r="G19" s="239" t="s">
        <v>57</v>
      </c>
      <c r="H19" s="8"/>
      <c r="I19" s="9"/>
      <c r="J19" s="9"/>
      <c r="K19" s="9"/>
      <c r="L19" s="9"/>
      <c r="M19" s="9"/>
      <c r="N19" s="9"/>
      <c r="O19" s="9"/>
      <c r="P19" s="9"/>
      <c r="Q19" s="9"/>
      <c r="R19" t="str">
        <f t="shared" si="0"/>
        <v>E4 ML Football</v>
      </c>
    </row>
    <row r="20" spans="1:18" x14ac:dyDescent="0.55000000000000004">
      <c r="A20" s="10"/>
      <c r="B20" s="10" t="s">
        <v>58</v>
      </c>
      <c r="C20" s="238" t="s">
        <v>22</v>
      </c>
      <c r="D20" s="11" t="s">
        <v>45</v>
      </c>
      <c r="E20" s="12">
        <v>46236</v>
      </c>
      <c r="F20" s="12">
        <v>46236</v>
      </c>
      <c r="G20" s="240" t="s">
        <v>59</v>
      </c>
      <c r="H20" s="8"/>
      <c r="I20" s="13"/>
      <c r="J20" s="13"/>
      <c r="K20" s="13"/>
      <c r="L20" s="13"/>
      <c r="M20" s="13"/>
      <c r="N20" s="13"/>
      <c r="O20" s="13"/>
      <c r="P20" s="13"/>
      <c r="Q20" s="13"/>
      <c r="R20" t="str">
        <f t="shared" si="0"/>
        <v>E4 ML Football</v>
      </c>
    </row>
    <row r="21" spans="1:18" x14ac:dyDescent="0.55000000000000004">
      <c r="A21" s="4"/>
      <c r="B21" s="4" t="s">
        <v>60</v>
      </c>
      <c r="C21" s="238" t="s">
        <v>22</v>
      </c>
      <c r="D21" s="6" t="s">
        <v>45</v>
      </c>
      <c r="E21" s="7">
        <v>46234</v>
      </c>
      <c r="F21" s="7">
        <v>46234</v>
      </c>
      <c r="G21" s="239" t="s">
        <v>61</v>
      </c>
      <c r="H21" s="8"/>
      <c r="I21" s="9"/>
      <c r="J21" s="9"/>
      <c r="K21" s="9"/>
      <c r="L21" s="9"/>
      <c r="M21" s="9"/>
      <c r="N21" s="9"/>
      <c r="O21" s="9"/>
      <c r="P21" s="9"/>
      <c r="Q21" s="9"/>
      <c r="R21" t="str">
        <f t="shared" si="0"/>
        <v>E4 ML Football</v>
      </c>
    </row>
    <row r="22" spans="1:18" x14ac:dyDescent="0.55000000000000004">
      <c r="A22" s="14" t="s">
        <v>62</v>
      </c>
      <c r="B22" s="10" t="s">
        <v>63</v>
      </c>
      <c r="C22" s="238" t="s">
        <v>22</v>
      </c>
      <c r="D22" s="11" t="s">
        <v>45</v>
      </c>
      <c r="E22" s="12">
        <v>46235</v>
      </c>
      <c r="F22" s="12">
        <v>46235</v>
      </c>
      <c r="G22" s="240" t="s">
        <v>64</v>
      </c>
      <c r="H22" s="8"/>
      <c r="I22" s="13"/>
      <c r="J22" s="13"/>
      <c r="K22" s="13"/>
      <c r="L22" s="13"/>
      <c r="M22" s="13"/>
      <c r="N22" s="13"/>
      <c r="O22" s="13"/>
      <c r="P22" s="13"/>
      <c r="Q22" s="13"/>
      <c r="R22" t="str">
        <f t="shared" si="0"/>
        <v>E5 ML Tennis</v>
      </c>
    </row>
    <row r="23" spans="1:18" x14ac:dyDescent="0.55000000000000004">
      <c r="A23" s="4"/>
      <c r="B23" s="4" t="s">
        <v>65</v>
      </c>
      <c r="C23" s="238" t="s">
        <v>22</v>
      </c>
      <c r="D23" s="6" t="s">
        <v>45</v>
      </c>
      <c r="E23" s="7">
        <v>46235</v>
      </c>
      <c r="F23" s="7">
        <v>46235</v>
      </c>
      <c r="G23" s="239" t="s">
        <v>66</v>
      </c>
      <c r="H23" s="8"/>
      <c r="I23" s="9"/>
      <c r="J23" s="9"/>
      <c r="K23" s="9"/>
      <c r="L23" s="9"/>
      <c r="M23" s="9"/>
      <c r="N23" s="9"/>
      <c r="O23" s="9"/>
      <c r="P23" s="9"/>
      <c r="Q23" s="9"/>
      <c r="R23" t="str">
        <f t="shared" si="0"/>
        <v>E5 ML Tennis</v>
      </c>
    </row>
    <row r="24" spans="1:18" x14ac:dyDescent="0.55000000000000004">
      <c r="A24" s="10"/>
      <c r="B24" s="10" t="s">
        <v>67</v>
      </c>
      <c r="C24" s="238" t="s">
        <v>22</v>
      </c>
      <c r="D24" s="11" t="s">
        <v>45</v>
      </c>
      <c r="E24" s="12">
        <v>46235</v>
      </c>
      <c r="F24" s="12">
        <v>46235</v>
      </c>
      <c r="G24" s="240" t="s">
        <v>68</v>
      </c>
      <c r="H24" s="8"/>
      <c r="I24" s="13"/>
      <c r="J24" s="13"/>
      <c r="K24" s="13"/>
      <c r="L24" s="13"/>
      <c r="M24" s="13"/>
      <c r="N24" s="13"/>
      <c r="O24" s="13"/>
      <c r="P24" s="13"/>
      <c r="Q24" s="13"/>
      <c r="R24" t="str">
        <f t="shared" si="0"/>
        <v>E5 ML Tennis</v>
      </c>
    </row>
    <row r="25" spans="1:18" x14ac:dyDescent="0.55000000000000004">
      <c r="A25" s="4"/>
      <c r="B25" s="4" t="s">
        <v>69</v>
      </c>
      <c r="C25" s="238" t="s">
        <v>22</v>
      </c>
      <c r="D25" s="6" t="s">
        <v>45</v>
      </c>
      <c r="E25" s="7">
        <v>46236</v>
      </c>
      <c r="F25" s="7">
        <v>46236</v>
      </c>
      <c r="G25" s="239" t="s">
        <v>70</v>
      </c>
      <c r="H25" s="8"/>
      <c r="I25" s="9"/>
      <c r="J25" s="9"/>
      <c r="K25" s="9"/>
      <c r="L25" s="9"/>
      <c r="M25" s="9"/>
      <c r="N25" s="9"/>
      <c r="O25" s="9"/>
      <c r="P25" s="9"/>
      <c r="Q25" s="9"/>
      <c r="R25" t="str">
        <f t="shared" si="0"/>
        <v>E5 ML Tennis</v>
      </c>
    </row>
    <row r="26" spans="1:18" x14ac:dyDescent="0.55000000000000004">
      <c r="A26" s="10"/>
      <c r="B26" s="10" t="s">
        <v>71</v>
      </c>
      <c r="C26" s="238" t="s">
        <v>22</v>
      </c>
      <c r="D26" s="11" t="s">
        <v>33</v>
      </c>
      <c r="E26" s="12">
        <v>46237</v>
      </c>
      <c r="F26" s="12">
        <v>46237</v>
      </c>
      <c r="G26" s="240" t="s">
        <v>72</v>
      </c>
      <c r="H26" s="13"/>
      <c r="I26" s="8"/>
      <c r="J26" s="13"/>
      <c r="K26" s="13"/>
      <c r="L26" s="13"/>
      <c r="M26" s="13"/>
      <c r="N26" s="13"/>
      <c r="O26" s="13"/>
      <c r="P26" s="13"/>
      <c r="Q26" s="13"/>
      <c r="R26" t="str">
        <f t="shared" si="0"/>
        <v>E5 ML Tennis</v>
      </c>
    </row>
    <row r="27" spans="1:18" x14ac:dyDescent="0.55000000000000004">
      <c r="A27" s="3" t="s">
        <v>73</v>
      </c>
      <c r="B27" s="4" t="s">
        <v>74</v>
      </c>
      <c r="C27" s="238" t="s">
        <v>22</v>
      </c>
      <c r="D27" s="6" t="s">
        <v>75</v>
      </c>
      <c r="E27" s="7">
        <v>46232</v>
      </c>
      <c r="F27" s="7">
        <v>46233</v>
      </c>
      <c r="G27" s="239" t="s">
        <v>76</v>
      </c>
      <c r="H27" s="8"/>
      <c r="I27" s="9"/>
      <c r="J27" s="9"/>
      <c r="K27" s="9"/>
      <c r="L27" s="9"/>
      <c r="M27" s="9"/>
      <c r="N27" s="9"/>
      <c r="O27" s="9"/>
      <c r="P27" s="9"/>
      <c r="Q27" s="9"/>
      <c r="R27" t="str">
        <f t="shared" si="0"/>
        <v>E6 Picks</v>
      </c>
    </row>
    <row r="28" spans="1:18" x14ac:dyDescent="0.55000000000000004">
      <c r="A28" s="10"/>
      <c r="B28" s="10" t="s">
        <v>77</v>
      </c>
      <c r="C28" s="238" t="s">
        <v>22</v>
      </c>
      <c r="D28" s="11" t="s">
        <v>75</v>
      </c>
      <c r="E28" s="12">
        <v>46234</v>
      </c>
      <c r="F28" s="12">
        <v>46235</v>
      </c>
      <c r="G28" s="240" t="s">
        <v>78</v>
      </c>
      <c r="H28" s="8"/>
      <c r="I28" s="13"/>
      <c r="J28" s="13"/>
      <c r="K28" s="13"/>
      <c r="L28" s="13"/>
      <c r="M28" s="13"/>
      <c r="N28" s="13"/>
      <c r="O28" s="13"/>
      <c r="P28" s="13"/>
      <c r="Q28" s="13"/>
      <c r="R28" t="str">
        <f t="shared" si="0"/>
        <v>E6 Picks</v>
      </c>
    </row>
    <row r="29" spans="1:18" x14ac:dyDescent="0.55000000000000004">
      <c r="A29" s="4"/>
      <c r="B29" s="4" t="s">
        <v>79</v>
      </c>
      <c r="C29" s="238" t="s">
        <v>22</v>
      </c>
      <c r="D29" s="6" t="s">
        <v>75</v>
      </c>
      <c r="E29" s="7">
        <v>46236</v>
      </c>
      <c r="F29" s="7">
        <v>46236</v>
      </c>
      <c r="G29" s="239" t="s">
        <v>80</v>
      </c>
      <c r="H29" s="8"/>
      <c r="I29" s="9"/>
      <c r="J29" s="9"/>
      <c r="K29" s="9"/>
      <c r="L29" s="9"/>
      <c r="M29" s="9"/>
      <c r="N29" s="9"/>
      <c r="O29" s="9"/>
      <c r="P29" s="9"/>
      <c r="Q29" s="9"/>
      <c r="R29" t="str">
        <f t="shared" si="0"/>
        <v>E6 Picks</v>
      </c>
    </row>
    <row r="30" spans="1:18" x14ac:dyDescent="0.55000000000000004">
      <c r="A30" s="10"/>
      <c r="B30" s="10" t="s">
        <v>81</v>
      </c>
      <c r="C30" s="238" t="s">
        <v>22</v>
      </c>
      <c r="D30" s="11" t="s">
        <v>75</v>
      </c>
      <c r="E30" s="12">
        <v>46236</v>
      </c>
      <c r="F30" s="12">
        <v>46236</v>
      </c>
      <c r="G30" s="240" t="s">
        <v>82</v>
      </c>
      <c r="H30" s="8"/>
      <c r="I30" s="13"/>
      <c r="J30" s="13"/>
      <c r="K30" s="13"/>
      <c r="L30" s="13"/>
      <c r="M30" s="13"/>
      <c r="N30" s="13"/>
      <c r="O30" s="13"/>
      <c r="P30" s="13"/>
      <c r="Q30" s="13"/>
      <c r="R30" t="str">
        <f t="shared" si="0"/>
        <v>E6 Picks</v>
      </c>
    </row>
    <row r="31" spans="1:18" x14ac:dyDescent="0.55000000000000004">
      <c r="A31" s="3" t="s">
        <v>83</v>
      </c>
      <c r="B31" s="4" t="s">
        <v>84</v>
      </c>
      <c r="C31" s="238" t="s">
        <v>22</v>
      </c>
      <c r="D31" s="6" t="s">
        <v>85</v>
      </c>
      <c r="E31" s="7">
        <v>46233</v>
      </c>
      <c r="F31" s="7">
        <v>46234</v>
      </c>
      <c r="G31" s="239" t="s">
        <v>86</v>
      </c>
      <c r="H31" s="8"/>
      <c r="I31" s="9"/>
      <c r="J31" s="9"/>
      <c r="K31" s="9"/>
      <c r="L31" s="9"/>
      <c r="M31" s="9"/>
      <c r="N31" s="9"/>
      <c r="O31" s="9"/>
      <c r="P31" s="9"/>
      <c r="Q31" s="9"/>
      <c r="R31" t="str">
        <f t="shared" si="0"/>
        <v>E7 Mobile</v>
      </c>
    </row>
    <row r="32" spans="1:18" x14ac:dyDescent="0.55000000000000004">
      <c r="A32" s="10"/>
      <c r="B32" s="10" t="s">
        <v>87</v>
      </c>
      <c r="C32" s="238" t="s">
        <v>22</v>
      </c>
      <c r="D32" s="11" t="s">
        <v>85</v>
      </c>
      <c r="E32" s="12">
        <v>46234</v>
      </c>
      <c r="F32" s="12">
        <v>46234</v>
      </c>
      <c r="G32" s="240" t="s">
        <v>88</v>
      </c>
      <c r="H32" s="8"/>
      <c r="I32" s="13"/>
      <c r="J32" s="13"/>
      <c r="K32" s="13"/>
      <c r="L32" s="13"/>
      <c r="M32" s="13"/>
      <c r="N32" s="13"/>
      <c r="O32" s="13"/>
      <c r="P32" s="13"/>
      <c r="Q32" s="13"/>
      <c r="R32" t="str">
        <f t="shared" si="0"/>
        <v>E7 Mobile</v>
      </c>
    </row>
    <row r="33" spans="1:18" x14ac:dyDescent="0.55000000000000004">
      <c r="A33" s="4"/>
      <c r="B33" s="4" t="s">
        <v>89</v>
      </c>
      <c r="C33" s="238" t="s">
        <v>22</v>
      </c>
      <c r="D33" s="6" t="s">
        <v>85</v>
      </c>
      <c r="E33" s="7">
        <v>46235</v>
      </c>
      <c r="F33" s="7">
        <v>46236</v>
      </c>
      <c r="G33" s="239" t="s">
        <v>90</v>
      </c>
      <c r="H33" s="8"/>
      <c r="I33" s="9"/>
      <c r="J33" s="9"/>
      <c r="K33" s="9"/>
      <c r="L33" s="9"/>
      <c r="M33" s="9"/>
      <c r="N33" s="9"/>
      <c r="O33" s="9"/>
      <c r="P33" s="9"/>
      <c r="Q33" s="9"/>
      <c r="R33" t="str">
        <f t="shared" si="0"/>
        <v>E7 Mobile</v>
      </c>
    </row>
    <row r="34" spans="1:18" x14ac:dyDescent="0.55000000000000004">
      <c r="A34" s="10"/>
      <c r="B34" s="10" t="s">
        <v>91</v>
      </c>
      <c r="C34" s="238" t="s">
        <v>22</v>
      </c>
      <c r="D34" s="11" t="s">
        <v>85</v>
      </c>
      <c r="E34" s="12">
        <v>46237</v>
      </c>
      <c r="F34" s="12">
        <v>46237</v>
      </c>
      <c r="G34" s="240" t="s">
        <v>92</v>
      </c>
      <c r="H34" s="13"/>
      <c r="I34" s="8"/>
      <c r="J34" s="13"/>
      <c r="K34" s="13"/>
      <c r="L34" s="13"/>
      <c r="M34" s="13"/>
      <c r="N34" s="13"/>
      <c r="O34" s="13"/>
      <c r="P34" s="13"/>
      <c r="Q34" s="13"/>
      <c r="R34" t="str">
        <f t="shared" si="0"/>
        <v>E7 Mobile</v>
      </c>
    </row>
    <row r="35" spans="1:18" x14ac:dyDescent="0.55000000000000004">
      <c r="A35" s="4"/>
      <c r="B35" s="4" t="s">
        <v>93</v>
      </c>
      <c r="C35" s="238" t="s">
        <v>22</v>
      </c>
      <c r="D35" s="6" t="s">
        <v>85</v>
      </c>
      <c r="E35" s="7">
        <v>46237</v>
      </c>
      <c r="F35" s="7">
        <v>46237</v>
      </c>
      <c r="G35" s="239" t="s">
        <v>94</v>
      </c>
      <c r="H35" s="9"/>
      <c r="I35" s="8"/>
      <c r="J35" s="9"/>
      <c r="K35" s="9"/>
      <c r="L35" s="9"/>
      <c r="M35" s="9"/>
      <c r="N35" s="9"/>
      <c r="O35" s="9"/>
      <c r="P35" s="9"/>
      <c r="Q35" s="9"/>
      <c r="R35" t="str">
        <f t="shared" si="0"/>
        <v>E7 Mobile</v>
      </c>
    </row>
    <row r="36" spans="1:18" x14ac:dyDescent="0.55000000000000004">
      <c r="A36" s="10"/>
      <c r="B36" s="10" t="s">
        <v>95</v>
      </c>
      <c r="C36" s="238" t="s">
        <v>22</v>
      </c>
      <c r="D36" s="11" t="s">
        <v>85</v>
      </c>
      <c r="E36" s="12">
        <v>46238</v>
      </c>
      <c r="F36" s="12">
        <v>46238</v>
      </c>
      <c r="G36" s="240" t="s">
        <v>96</v>
      </c>
      <c r="H36" s="13"/>
      <c r="I36" s="8"/>
      <c r="J36" s="13"/>
      <c r="K36" s="13"/>
      <c r="L36" s="13"/>
      <c r="M36" s="13"/>
      <c r="N36" s="13"/>
      <c r="O36" s="13"/>
      <c r="P36" s="13"/>
      <c r="Q36" s="13"/>
      <c r="R36" t="str">
        <f t="shared" si="0"/>
        <v>E7 Mobile</v>
      </c>
    </row>
    <row r="37" spans="1:18" x14ac:dyDescent="0.55000000000000004">
      <c r="A37" s="4"/>
      <c r="B37" s="4" t="s">
        <v>97</v>
      </c>
      <c r="C37" s="238" t="s">
        <v>22</v>
      </c>
      <c r="D37" s="6" t="s">
        <v>85</v>
      </c>
      <c r="E37" s="7">
        <v>46238</v>
      </c>
      <c r="F37" s="7">
        <v>46238</v>
      </c>
      <c r="G37" s="239" t="s">
        <v>98</v>
      </c>
      <c r="H37" s="9"/>
      <c r="I37" s="8"/>
      <c r="J37" s="9"/>
      <c r="K37" s="9"/>
      <c r="L37" s="9"/>
      <c r="M37" s="9"/>
      <c r="N37" s="9"/>
      <c r="O37" s="9"/>
      <c r="P37" s="9"/>
      <c r="Q37" s="9"/>
      <c r="R37" t="str">
        <f t="shared" si="0"/>
        <v>E7 Mobile</v>
      </c>
    </row>
    <row r="38" spans="1:18" x14ac:dyDescent="0.55000000000000004">
      <c r="A38" s="14" t="s">
        <v>99</v>
      </c>
      <c r="B38" s="10" t="s">
        <v>100</v>
      </c>
      <c r="C38" s="238" t="s">
        <v>22</v>
      </c>
      <c r="D38" s="11" t="s">
        <v>45</v>
      </c>
      <c r="E38" s="12">
        <v>46236</v>
      </c>
      <c r="F38" s="12">
        <v>46236</v>
      </c>
      <c r="G38" s="240" t="s">
        <v>101</v>
      </c>
      <c r="H38" s="8"/>
      <c r="I38" s="13"/>
      <c r="J38" s="13"/>
      <c r="K38" s="13"/>
      <c r="L38" s="13"/>
      <c r="M38" s="13"/>
      <c r="N38" s="13"/>
      <c r="O38" s="13"/>
      <c r="P38" s="13"/>
      <c r="Q38" s="13"/>
      <c r="R38" t="str">
        <f t="shared" si="0"/>
        <v>E8 Model Quality</v>
      </c>
    </row>
    <row r="39" spans="1:18" x14ac:dyDescent="0.55000000000000004">
      <c r="A39" s="4"/>
      <c r="B39" s="4" t="s">
        <v>102</v>
      </c>
      <c r="C39" s="238" t="s">
        <v>22</v>
      </c>
      <c r="D39" s="6" t="s">
        <v>45</v>
      </c>
      <c r="E39" s="7">
        <v>46236</v>
      </c>
      <c r="F39" s="7">
        <v>46236</v>
      </c>
      <c r="G39" s="239" t="s">
        <v>103</v>
      </c>
      <c r="H39" s="8"/>
      <c r="I39" s="9"/>
      <c r="J39" s="9"/>
      <c r="K39" s="9"/>
      <c r="L39" s="9"/>
      <c r="M39" s="9"/>
      <c r="N39" s="9"/>
      <c r="O39" s="9"/>
      <c r="P39" s="9"/>
      <c r="Q39" s="9"/>
      <c r="R39" t="str">
        <f t="shared" si="0"/>
        <v>E8 Model Quality</v>
      </c>
    </row>
    <row r="40" spans="1:18" x14ac:dyDescent="0.55000000000000004">
      <c r="A40" s="10"/>
      <c r="B40" s="10" t="s">
        <v>104</v>
      </c>
      <c r="C40" s="238" t="s">
        <v>22</v>
      </c>
      <c r="D40" s="11" t="s">
        <v>45</v>
      </c>
      <c r="E40" s="12">
        <v>46237</v>
      </c>
      <c r="F40" s="12">
        <v>46237</v>
      </c>
      <c r="G40" s="240" t="s">
        <v>105</v>
      </c>
      <c r="H40" s="13"/>
      <c r="I40" s="8"/>
      <c r="J40" s="13"/>
      <c r="K40" s="13"/>
      <c r="L40" s="13"/>
      <c r="M40" s="13"/>
      <c r="N40" s="13"/>
      <c r="O40" s="13"/>
      <c r="P40" s="13"/>
      <c r="Q40" s="13"/>
      <c r="R40" t="str">
        <f t="shared" si="0"/>
        <v>E8 Model Quality</v>
      </c>
    </row>
    <row r="41" spans="1:18" x14ac:dyDescent="0.55000000000000004">
      <c r="A41" s="4"/>
      <c r="B41" s="4" t="s">
        <v>106</v>
      </c>
      <c r="C41" s="238" t="s">
        <v>22</v>
      </c>
      <c r="D41" s="6" t="s">
        <v>45</v>
      </c>
      <c r="E41" s="7">
        <v>46237</v>
      </c>
      <c r="F41" s="7">
        <v>46238</v>
      </c>
      <c r="G41" s="239" t="s">
        <v>107</v>
      </c>
      <c r="H41" s="9"/>
      <c r="I41" s="16"/>
      <c r="J41" s="9"/>
      <c r="K41" s="9"/>
      <c r="L41" s="9"/>
      <c r="M41" s="9"/>
      <c r="N41" s="9"/>
      <c r="O41" s="9"/>
      <c r="P41" s="9"/>
      <c r="Q41" s="9"/>
      <c r="R41" t="str">
        <f t="shared" si="0"/>
        <v>E8 Model Quality</v>
      </c>
    </row>
    <row r="42" spans="1:18" x14ac:dyDescent="0.55000000000000004">
      <c r="A42" s="10"/>
      <c r="B42" s="10" t="s">
        <v>108</v>
      </c>
      <c r="C42" s="238" t="s">
        <v>22</v>
      </c>
      <c r="D42" s="11" t="s">
        <v>45</v>
      </c>
      <c r="E42" s="12">
        <v>46238</v>
      </c>
      <c r="F42" s="12">
        <v>46239</v>
      </c>
      <c r="G42" s="240" t="s">
        <v>109</v>
      </c>
      <c r="H42" s="13"/>
      <c r="I42" s="18"/>
      <c r="J42" s="13"/>
      <c r="K42" s="13"/>
      <c r="L42" s="13"/>
      <c r="M42" s="13"/>
      <c r="N42" s="13"/>
      <c r="O42" s="13"/>
      <c r="P42" s="13"/>
      <c r="Q42" s="13"/>
      <c r="R42" t="str">
        <f t="shared" si="0"/>
        <v>E8 Model Quality</v>
      </c>
    </row>
    <row r="43" spans="1:18" x14ac:dyDescent="0.55000000000000004">
      <c r="A43" s="4"/>
      <c r="B43" s="4" t="s">
        <v>110</v>
      </c>
      <c r="C43" s="238" t="s">
        <v>22</v>
      </c>
      <c r="D43" s="6" t="s">
        <v>45</v>
      </c>
      <c r="E43" s="7">
        <v>46239</v>
      </c>
      <c r="F43" s="7">
        <v>46241</v>
      </c>
      <c r="G43" s="239" t="s">
        <v>111</v>
      </c>
      <c r="H43" s="9"/>
      <c r="I43" s="18"/>
      <c r="J43" s="9"/>
      <c r="K43" s="9"/>
      <c r="L43" s="9"/>
      <c r="M43" s="9"/>
      <c r="N43" s="9"/>
      <c r="O43" s="9"/>
      <c r="P43" s="9"/>
      <c r="Q43" s="9"/>
      <c r="R43" t="str">
        <f t="shared" si="0"/>
        <v>E8 Model Quality</v>
      </c>
    </row>
    <row r="44" spans="1:18" x14ac:dyDescent="0.55000000000000004">
      <c r="A44" s="10"/>
      <c r="B44" s="10" t="s">
        <v>112</v>
      </c>
      <c r="C44" s="238" t="s">
        <v>22</v>
      </c>
      <c r="D44" s="11" t="s">
        <v>45</v>
      </c>
      <c r="E44" s="12">
        <v>46240</v>
      </c>
      <c r="F44" s="12">
        <v>46243</v>
      </c>
      <c r="G44" s="240" t="s">
        <v>113</v>
      </c>
      <c r="H44" s="13"/>
      <c r="I44" s="18"/>
      <c r="J44" s="13"/>
      <c r="K44" s="13"/>
      <c r="L44" s="13"/>
      <c r="M44" s="13"/>
      <c r="N44" s="13"/>
      <c r="O44" s="13"/>
      <c r="P44" s="13"/>
      <c r="Q44" s="13"/>
      <c r="R44" t="str">
        <f t="shared" si="0"/>
        <v>E8 Model Quality</v>
      </c>
    </row>
    <row r="45" spans="1:18" x14ac:dyDescent="0.55000000000000004">
      <c r="A45" s="4"/>
      <c r="B45" s="4" t="s">
        <v>114</v>
      </c>
      <c r="C45" s="238" t="s">
        <v>22</v>
      </c>
      <c r="D45" s="6" t="s">
        <v>45</v>
      </c>
      <c r="E45" s="7">
        <v>46241</v>
      </c>
      <c r="F45" s="7">
        <v>46244</v>
      </c>
      <c r="G45" s="239" t="s">
        <v>115</v>
      </c>
      <c r="H45" s="9"/>
      <c r="I45" s="18"/>
      <c r="J45" s="18"/>
      <c r="K45" s="9"/>
      <c r="L45" s="9"/>
      <c r="M45" s="9"/>
      <c r="N45" s="9"/>
      <c r="O45" s="9"/>
      <c r="P45" s="9"/>
      <c r="Q45" s="9"/>
      <c r="R45" t="str">
        <f t="shared" si="0"/>
        <v>E8 Model Quality</v>
      </c>
    </row>
    <row r="46" spans="1:18" x14ac:dyDescent="0.55000000000000004">
      <c r="A46" s="10"/>
      <c r="B46" s="10" t="s">
        <v>116</v>
      </c>
      <c r="C46" s="238" t="s">
        <v>22</v>
      </c>
      <c r="D46" s="11" t="s">
        <v>45</v>
      </c>
      <c r="E46" s="12">
        <v>46244</v>
      </c>
      <c r="F46" s="12">
        <v>46244</v>
      </c>
      <c r="G46" s="240" t="s">
        <v>117</v>
      </c>
      <c r="H46" s="13"/>
      <c r="I46" s="13"/>
      <c r="J46" s="20" t="s">
        <v>118</v>
      </c>
      <c r="K46" s="13"/>
      <c r="L46" s="13"/>
      <c r="M46" s="13"/>
      <c r="N46" s="13"/>
      <c r="O46" s="13"/>
      <c r="P46" s="13"/>
      <c r="Q46" s="13"/>
      <c r="R46" t="str">
        <f t="shared" si="0"/>
        <v>E8 Model Quality</v>
      </c>
    </row>
    <row r="47" spans="1:18" x14ac:dyDescent="0.55000000000000004">
      <c r="A47" s="4"/>
      <c r="B47" s="4" t="s">
        <v>119</v>
      </c>
      <c r="C47" s="238" t="s">
        <v>22</v>
      </c>
      <c r="D47" s="6" t="s">
        <v>45</v>
      </c>
      <c r="E47" s="7">
        <v>46237</v>
      </c>
      <c r="F47" s="7">
        <v>46238</v>
      </c>
      <c r="G47" s="239" t="s">
        <v>120</v>
      </c>
      <c r="H47" s="9"/>
      <c r="I47" s="8"/>
      <c r="J47" s="9"/>
      <c r="K47" s="9"/>
      <c r="L47" s="9"/>
      <c r="M47" s="9"/>
      <c r="N47" s="9"/>
      <c r="O47" s="9"/>
      <c r="P47" s="9"/>
      <c r="Q47" s="9"/>
      <c r="R47" t="str">
        <f t="shared" si="0"/>
        <v>E8 Model Quality</v>
      </c>
    </row>
    <row r="48" spans="1:18" x14ac:dyDescent="0.55000000000000004">
      <c r="A48" s="10"/>
      <c r="B48" s="10" t="s">
        <v>121</v>
      </c>
      <c r="C48" s="238" t="s">
        <v>22</v>
      </c>
      <c r="D48" s="11" t="s">
        <v>45</v>
      </c>
      <c r="E48" s="12">
        <v>46238</v>
      </c>
      <c r="F48" s="12">
        <v>46238</v>
      </c>
      <c r="G48" s="240" t="s">
        <v>122</v>
      </c>
      <c r="H48" s="13"/>
      <c r="I48" s="8"/>
      <c r="J48" s="13"/>
      <c r="K48" s="13"/>
      <c r="L48" s="13"/>
      <c r="M48" s="13"/>
      <c r="N48" s="13"/>
      <c r="O48" s="13"/>
      <c r="P48" s="13"/>
      <c r="Q48" s="13"/>
      <c r="R48" t="str">
        <f t="shared" si="0"/>
        <v>E8 Model Quality</v>
      </c>
    </row>
    <row r="49" spans="1:18" x14ac:dyDescent="0.55000000000000004">
      <c r="A49" s="4"/>
      <c r="B49" s="4" t="s">
        <v>123</v>
      </c>
      <c r="C49" s="238" t="s">
        <v>22</v>
      </c>
      <c r="D49" s="6" t="s">
        <v>45</v>
      </c>
      <c r="E49" s="7">
        <v>46238</v>
      </c>
      <c r="F49" s="7">
        <v>46238</v>
      </c>
      <c r="G49" s="239" t="s">
        <v>124</v>
      </c>
      <c r="H49" s="9"/>
      <c r="I49" s="8"/>
      <c r="J49" s="9"/>
      <c r="K49" s="9"/>
      <c r="L49" s="9"/>
      <c r="M49" s="9"/>
      <c r="N49" s="9"/>
      <c r="O49" s="9"/>
      <c r="P49" s="9"/>
      <c r="Q49" s="9"/>
      <c r="R49" t="str">
        <f t="shared" si="0"/>
        <v>E8 Model Quality</v>
      </c>
    </row>
    <row r="50" spans="1:18" x14ac:dyDescent="0.55000000000000004">
      <c r="A50" s="10"/>
      <c r="B50" s="10" t="s">
        <v>125</v>
      </c>
      <c r="C50" s="238" t="s">
        <v>22</v>
      </c>
      <c r="D50" s="11" t="s">
        <v>45</v>
      </c>
      <c r="E50" s="12">
        <v>46238</v>
      </c>
      <c r="F50" s="12">
        <v>46238</v>
      </c>
      <c r="G50" s="240" t="s">
        <v>126</v>
      </c>
      <c r="H50" s="13"/>
      <c r="I50" s="8"/>
      <c r="J50" s="13"/>
      <c r="K50" s="13"/>
      <c r="L50" s="13"/>
      <c r="M50" s="13"/>
      <c r="N50" s="13"/>
      <c r="O50" s="13"/>
      <c r="P50" s="13"/>
      <c r="Q50" s="13"/>
      <c r="R50" t="str">
        <f t="shared" si="0"/>
        <v>E8 Model Quality</v>
      </c>
    </row>
    <row r="51" spans="1:18" x14ac:dyDescent="0.55000000000000004">
      <c r="A51" s="4"/>
      <c r="B51" s="4" t="s">
        <v>127</v>
      </c>
      <c r="C51" s="17" t="s">
        <v>128</v>
      </c>
      <c r="D51" s="6" t="s">
        <v>45</v>
      </c>
      <c r="E51" s="7">
        <v>46239</v>
      </c>
      <c r="F51" s="7">
        <v>46242</v>
      </c>
      <c r="G51" s="239" t="s">
        <v>129</v>
      </c>
      <c r="H51" s="9"/>
      <c r="I51" s="18"/>
      <c r="J51" s="9"/>
      <c r="K51" s="9"/>
      <c r="L51" s="9"/>
      <c r="M51" s="9"/>
      <c r="N51" s="9"/>
      <c r="O51" s="9"/>
      <c r="P51" s="9"/>
      <c r="Q51" s="9"/>
      <c r="R51" t="str">
        <f t="shared" si="0"/>
        <v>E8 Model Quality</v>
      </c>
    </row>
    <row r="52" spans="1:18" ht="21" customHeight="1" x14ac:dyDescent="0.55000000000000004">
      <c r="A52" s="14" t="s">
        <v>130</v>
      </c>
      <c r="B52" s="10" t="s">
        <v>131</v>
      </c>
      <c r="C52" s="238" t="s">
        <v>22</v>
      </c>
      <c r="D52" s="11" t="s">
        <v>33</v>
      </c>
      <c r="E52" s="12">
        <v>46244</v>
      </c>
      <c r="F52" s="12">
        <v>46245</v>
      </c>
      <c r="G52" s="240" t="s">
        <v>132</v>
      </c>
      <c r="H52" s="13"/>
      <c r="I52" s="13"/>
      <c r="J52" s="18"/>
      <c r="K52" s="13"/>
      <c r="L52" s="13"/>
      <c r="M52" s="13"/>
      <c r="N52" s="13"/>
      <c r="O52" s="13"/>
      <c r="P52" s="13"/>
      <c r="Q52" s="13"/>
      <c r="R52" t="str">
        <f t="shared" si="0"/>
        <v>E9 Data Ops</v>
      </c>
    </row>
    <row r="53" spans="1:18" x14ac:dyDescent="0.55000000000000004">
      <c r="A53" s="4"/>
      <c r="B53" s="4" t="s">
        <v>133</v>
      </c>
      <c r="C53" s="17" t="s">
        <v>128</v>
      </c>
      <c r="D53" s="6" t="s">
        <v>33</v>
      </c>
      <c r="E53" s="7">
        <v>46239</v>
      </c>
      <c r="F53" s="7">
        <v>46240</v>
      </c>
      <c r="G53" s="239" t="s">
        <v>134</v>
      </c>
      <c r="H53" s="9"/>
      <c r="I53" s="18"/>
      <c r="J53" s="9"/>
      <c r="K53" s="9"/>
      <c r="L53" s="9"/>
      <c r="M53" s="9"/>
      <c r="N53" s="9"/>
      <c r="O53" s="9"/>
      <c r="P53" s="9"/>
      <c r="Q53" s="9"/>
      <c r="R53" t="str">
        <f t="shared" si="0"/>
        <v>E9 Data Ops</v>
      </c>
    </row>
    <row r="54" spans="1:18" x14ac:dyDescent="0.55000000000000004">
      <c r="A54" s="10"/>
      <c r="B54" s="10" t="s">
        <v>135</v>
      </c>
      <c r="C54" s="238" t="s">
        <v>22</v>
      </c>
      <c r="D54" s="11" t="s">
        <v>33</v>
      </c>
      <c r="E54" s="12">
        <v>46255</v>
      </c>
      <c r="F54" s="12">
        <v>46255</v>
      </c>
      <c r="G54" s="240" t="s">
        <v>136</v>
      </c>
      <c r="H54" s="13"/>
      <c r="I54" s="13"/>
      <c r="J54" s="13"/>
      <c r="K54" s="20" t="s">
        <v>118</v>
      </c>
      <c r="L54" s="13"/>
      <c r="M54" s="13"/>
      <c r="N54" s="13"/>
      <c r="O54" s="13"/>
      <c r="P54" s="13"/>
      <c r="Q54" s="13"/>
      <c r="R54" t="str">
        <f t="shared" si="0"/>
        <v>E9 Data Ops</v>
      </c>
    </row>
    <row r="55" spans="1:18" x14ac:dyDescent="0.55000000000000004">
      <c r="A55" s="4"/>
      <c r="B55" s="4" t="s">
        <v>137</v>
      </c>
      <c r="C55" s="19" t="s">
        <v>138</v>
      </c>
      <c r="D55" s="6" t="s">
        <v>33</v>
      </c>
      <c r="E55" s="7">
        <v>46255</v>
      </c>
      <c r="F55" s="7">
        <v>46255</v>
      </c>
      <c r="G55" s="239" t="s">
        <v>139</v>
      </c>
      <c r="H55" s="9"/>
      <c r="I55" s="9"/>
      <c r="J55" s="9"/>
      <c r="K55" s="20" t="s">
        <v>118</v>
      </c>
      <c r="L55" s="9"/>
      <c r="M55" s="9"/>
      <c r="N55" s="9"/>
      <c r="O55" s="9"/>
      <c r="P55" s="9"/>
      <c r="Q55" s="9"/>
      <c r="R55" t="str">
        <f t="shared" si="0"/>
        <v>E9 Data Ops</v>
      </c>
    </row>
    <row r="56" spans="1:18" x14ac:dyDescent="0.55000000000000004">
      <c r="A56" s="10"/>
      <c r="B56" s="10" t="s">
        <v>140</v>
      </c>
      <c r="C56" s="19" t="s">
        <v>138</v>
      </c>
      <c r="D56" s="11" t="s">
        <v>33</v>
      </c>
      <c r="E56" s="12">
        <v>46263</v>
      </c>
      <c r="F56" s="12">
        <v>46263</v>
      </c>
      <c r="G56" s="240" t="s">
        <v>141</v>
      </c>
      <c r="H56" s="13"/>
      <c r="I56" s="13"/>
      <c r="J56" s="13"/>
      <c r="K56" s="13"/>
      <c r="L56" s="20" t="s">
        <v>118</v>
      </c>
      <c r="M56" s="13"/>
      <c r="N56" s="13"/>
      <c r="O56" s="13"/>
      <c r="P56" s="13"/>
      <c r="Q56" s="13"/>
      <c r="R56" t="str">
        <f t="shared" si="0"/>
        <v>E9 Data Ops</v>
      </c>
    </row>
    <row r="57" spans="1:18" x14ac:dyDescent="0.55000000000000004">
      <c r="A57" s="4"/>
      <c r="B57" s="4" t="s">
        <v>142</v>
      </c>
      <c r="C57" s="17" t="s">
        <v>128</v>
      </c>
      <c r="D57" s="6" t="s">
        <v>75</v>
      </c>
      <c r="E57" s="7">
        <v>46238</v>
      </c>
      <c r="F57" s="7">
        <v>46238</v>
      </c>
      <c r="G57" s="239" t="s">
        <v>143</v>
      </c>
      <c r="H57" s="9"/>
      <c r="I57" s="18"/>
      <c r="J57" s="9"/>
      <c r="K57" s="9"/>
      <c r="L57" s="9"/>
      <c r="M57" s="9"/>
      <c r="N57" s="9"/>
      <c r="O57" s="9"/>
      <c r="P57" s="9"/>
      <c r="Q57" s="9"/>
      <c r="R57" t="str">
        <f t="shared" si="0"/>
        <v>E9 Data Ops</v>
      </c>
    </row>
    <row r="58" spans="1:18" x14ac:dyDescent="0.55000000000000004">
      <c r="A58" s="10"/>
      <c r="B58" s="10" t="s">
        <v>144</v>
      </c>
      <c r="C58" s="21" t="s">
        <v>145</v>
      </c>
      <c r="D58" s="11" t="s">
        <v>45</v>
      </c>
      <c r="E58" s="12">
        <v>46246</v>
      </c>
      <c r="F58" s="12">
        <v>46249</v>
      </c>
      <c r="G58" s="240" t="s">
        <v>146</v>
      </c>
      <c r="H58" s="13"/>
      <c r="I58" s="13"/>
      <c r="J58" s="22"/>
      <c r="K58" s="13"/>
      <c r="L58" s="13"/>
      <c r="M58" s="13"/>
      <c r="N58" s="13"/>
      <c r="O58" s="13"/>
      <c r="P58" s="13"/>
      <c r="Q58" s="13"/>
      <c r="R58" t="str">
        <f t="shared" si="0"/>
        <v>E9 Data Ops</v>
      </c>
    </row>
    <row r="59" spans="1:18" ht="21" customHeight="1" x14ac:dyDescent="0.55000000000000004">
      <c r="A59" s="4"/>
      <c r="B59" s="4" t="s">
        <v>147</v>
      </c>
      <c r="C59" s="238" t="s">
        <v>22</v>
      </c>
      <c r="D59" s="6" t="s">
        <v>33</v>
      </c>
      <c r="E59" s="7">
        <v>46249</v>
      </c>
      <c r="F59" s="7">
        <v>46252</v>
      </c>
      <c r="G59" s="239" t="s">
        <v>148</v>
      </c>
      <c r="H59" s="9"/>
      <c r="I59" s="9"/>
      <c r="J59" s="22"/>
      <c r="K59" s="22"/>
      <c r="L59" s="9"/>
      <c r="M59" s="9"/>
      <c r="N59" s="9"/>
      <c r="O59" s="9"/>
      <c r="P59" s="9"/>
      <c r="Q59" s="9"/>
      <c r="R59" t="str">
        <f t="shared" si="0"/>
        <v>E9 Data Ops</v>
      </c>
    </row>
    <row r="60" spans="1:18" x14ac:dyDescent="0.55000000000000004">
      <c r="A60" s="10"/>
      <c r="B60" s="10" t="s">
        <v>149</v>
      </c>
      <c r="C60" s="238" t="s">
        <v>22</v>
      </c>
      <c r="D60" s="11" t="s">
        <v>33</v>
      </c>
      <c r="E60" s="12">
        <v>46237</v>
      </c>
      <c r="F60" s="12">
        <v>46238</v>
      </c>
      <c r="G60" s="240" t="s">
        <v>150</v>
      </c>
      <c r="H60" s="13"/>
      <c r="I60" s="8"/>
      <c r="J60" s="13"/>
      <c r="K60" s="13"/>
      <c r="L60" s="13"/>
      <c r="M60" s="13"/>
      <c r="N60" s="13"/>
      <c r="O60" s="13"/>
      <c r="P60" s="13"/>
      <c r="Q60" s="13"/>
      <c r="R60" t="str">
        <f t="shared" si="0"/>
        <v>E9 Data Ops</v>
      </c>
    </row>
    <row r="61" spans="1:18" x14ac:dyDescent="0.55000000000000004">
      <c r="A61" s="4"/>
      <c r="B61" s="4" t="s">
        <v>151</v>
      </c>
      <c r="C61" s="238" t="s">
        <v>22</v>
      </c>
      <c r="D61" s="6" t="s">
        <v>75</v>
      </c>
      <c r="E61" s="7">
        <v>46237</v>
      </c>
      <c r="F61" s="7">
        <v>46238</v>
      </c>
      <c r="G61" s="239" t="s">
        <v>152</v>
      </c>
      <c r="H61" s="9"/>
      <c r="I61" s="8"/>
      <c r="J61" s="9"/>
      <c r="K61" s="9"/>
      <c r="L61" s="9"/>
      <c r="M61" s="9"/>
      <c r="N61" s="9"/>
      <c r="O61" s="9"/>
      <c r="P61" s="9"/>
      <c r="Q61" s="9"/>
      <c r="R61" t="str">
        <f t="shared" si="0"/>
        <v>E9 Data Ops</v>
      </c>
    </row>
    <row r="62" spans="1:18" x14ac:dyDescent="0.55000000000000004">
      <c r="A62" s="10"/>
      <c r="B62" s="10" t="s">
        <v>153</v>
      </c>
      <c r="C62" s="238" t="s">
        <v>22</v>
      </c>
      <c r="D62" s="11" t="s">
        <v>23</v>
      </c>
      <c r="E62" s="12">
        <v>46239</v>
      </c>
      <c r="F62" s="12">
        <v>46239</v>
      </c>
      <c r="G62" s="240" t="s">
        <v>154</v>
      </c>
      <c r="H62" s="13"/>
      <c r="I62" s="18"/>
      <c r="J62" s="13"/>
      <c r="K62" s="13"/>
      <c r="L62" s="13"/>
      <c r="M62" s="13"/>
      <c r="N62" s="13"/>
      <c r="O62" s="13"/>
      <c r="P62" s="13"/>
      <c r="Q62" s="13"/>
      <c r="R62" t="str">
        <f t="shared" si="0"/>
        <v>E9 Data Ops</v>
      </c>
    </row>
    <row r="63" spans="1:18" x14ac:dyDescent="0.55000000000000004">
      <c r="A63" s="4"/>
      <c r="B63" s="4" t="s">
        <v>155</v>
      </c>
      <c r="C63" s="238" t="s">
        <v>22</v>
      </c>
      <c r="D63" s="6" t="s">
        <v>23</v>
      </c>
      <c r="E63" s="7">
        <v>46239</v>
      </c>
      <c r="F63" s="7">
        <v>46240</v>
      </c>
      <c r="G63" s="239" t="s">
        <v>156</v>
      </c>
      <c r="H63" s="9"/>
      <c r="I63" s="18"/>
      <c r="J63" s="9"/>
      <c r="K63" s="9"/>
      <c r="L63" s="9"/>
      <c r="M63" s="9"/>
      <c r="N63" s="9"/>
      <c r="O63" s="9"/>
      <c r="P63" s="9"/>
      <c r="Q63" s="9"/>
      <c r="R63" t="str">
        <f t="shared" si="0"/>
        <v>E9 Data Ops</v>
      </c>
    </row>
    <row r="64" spans="1:18" x14ac:dyDescent="0.55000000000000004">
      <c r="A64" s="10"/>
      <c r="B64" s="10" t="s">
        <v>157</v>
      </c>
      <c r="C64" s="238" t="s">
        <v>22</v>
      </c>
      <c r="D64" s="11" t="s">
        <v>23</v>
      </c>
      <c r="E64" s="12">
        <v>46240</v>
      </c>
      <c r="F64" s="12">
        <v>46240</v>
      </c>
      <c r="G64" s="240" t="s">
        <v>158</v>
      </c>
      <c r="H64" s="13"/>
      <c r="I64" s="18"/>
      <c r="J64" s="13"/>
      <c r="K64" s="13"/>
      <c r="L64" s="13"/>
      <c r="M64" s="13"/>
      <c r="N64" s="13"/>
      <c r="O64" s="13"/>
      <c r="P64" s="13"/>
      <c r="Q64" s="13"/>
      <c r="R64" t="str">
        <f t="shared" si="0"/>
        <v>E9 Data Ops</v>
      </c>
    </row>
    <row r="65" spans="1:18" x14ac:dyDescent="0.55000000000000004">
      <c r="A65" s="4"/>
      <c r="B65" s="4" t="s">
        <v>159</v>
      </c>
      <c r="C65" s="19" t="s">
        <v>138</v>
      </c>
      <c r="D65" s="6" t="s">
        <v>160</v>
      </c>
      <c r="E65" s="7">
        <v>46246</v>
      </c>
      <c r="F65" s="7">
        <v>46246</v>
      </c>
      <c r="G65" s="239" t="s">
        <v>161</v>
      </c>
      <c r="H65" s="9"/>
      <c r="I65" s="9"/>
      <c r="J65" s="20" t="s">
        <v>118</v>
      </c>
      <c r="K65" s="9"/>
      <c r="L65" s="9"/>
      <c r="M65" s="9"/>
      <c r="N65" s="9"/>
      <c r="O65" s="9"/>
      <c r="P65" s="9"/>
      <c r="Q65" s="9"/>
      <c r="R65" t="str">
        <f t="shared" si="0"/>
        <v>E9 Data Ops</v>
      </c>
    </row>
    <row r="66" spans="1:18" x14ac:dyDescent="0.55000000000000004">
      <c r="A66" s="14" t="s">
        <v>162</v>
      </c>
      <c r="B66" s="10" t="s">
        <v>163</v>
      </c>
      <c r="C66" s="238" t="s">
        <v>22</v>
      </c>
      <c r="D66" s="11" t="s">
        <v>23</v>
      </c>
      <c r="E66" s="12">
        <v>46245</v>
      </c>
      <c r="F66" s="12">
        <v>46245</v>
      </c>
      <c r="G66" s="240" t="s">
        <v>164</v>
      </c>
      <c r="H66" s="13"/>
      <c r="I66" s="13"/>
      <c r="J66" s="18"/>
      <c r="K66" s="13"/>
      <c r="L66" s="13"/>
      <c r="M66" s="13"/>
      <c r="N66" s="13"/>
      <c r="O66" s="13"/>
      <c r="P66" s="13"/>
      <c r="Q66" s="13"/>
      <c r="R66" t="str">
        <f t="shared" si="0"/>
        <v>E10 Deploy</v>
      </c>
    </row>
    <row r="67" spans="1:18" x14ac:dyDescent="0.55000000000000004">
      <c r="A67" s="4"/>
      <c r="B67" s="4" t="s">
        <v>165</v>
      </c>
      <c r="C67" s="238" t="s">
        <v>22</v>
      </c>
      <c r="D67" s="6" t="s">
        <v>23</v>
      </c>
      <c r="E67" s="7">
        <v>46245</v>
      </c>
      <c r="F67" s="7">
        <v>46248</v>
      </c>
      <c r="G67" s="239" t="s">
        <v>166</v>
      </c>
      <c r="H67" s="9"/>
      <c r="I67" s="9"/>
      <c r="J67" s="18"/>
      <c r="K67" s="9"/>
      <c r="L67" s="9"/>
      <c r="M67" s="9"/>
      <c r="N67" s="9"/>
      <c r="O67" s="9"/>
      <c r="P67" s="9"/>
      <c r="Q67" s="9"/>
      <c r="R67" t="str">
        <f t="shared" si="0"/>
        <v>E10 Deploy</v>
      </c>
    </row>
    <row r="68" spans="1:18" x14ac:dyDescent="0.55000000000000004">
      <c r="A68" s="10"/>
      <c r="B68" s="10" t="s">
        <v>167</v>
      </c>
      <c r="C68" s="17" t="s">
        <v>128</v>
      </c>
      <c r="D68" s="11" t="s">
        <v>23</v>
      </c>
      <c r="E68" s="12">
        <v>46247</v>
      </c>
      <c r="F68" s="12">
        <v>46249</v>
      </c>
      <c r="G68" s="240" t="s">
        <v>168</v>
      </c>
      <c r="H68" s="13"/>
      <c r="I68" s="13"/>
      <c r="J68" s="18"/>
      <c r="K68" s="13"/>
      <c r="L68" s="13"/>
      <c r="M68" s="13"/>
      <c r="N68" s="13"/>
      <c r="O68" s="13"/>
      <c r="P68" s="13"/>
      <c r="Q68" s="13"/>
      <c r="R68" t="str">
        <f t="shared" si="0"/>
        <v>E10 Deploy</v>
      </c>
    </row>
    <row r="69" spans="1:18" x14ac:dyDescent="0.55000000000000004">
      <c r="A69" s="4"/>
      <c r="B69" s="4" t="s">
        <v>169</v>
      </c>
      <c r="C69" s="17" t="s">
        <v>128</v>
      </c>
      <c r="D69" s="6" t="s">
        <v>23</v>
      </c>
      <c r="E69" s="7">
        <v>46248</v>
      </c>
      <c r="F69" s="7">
        <v>46252</v>
      </c>
      <c r="G69" s="239" t="s">
        <v>170</v>
      </c>
      <c r="H69" s="9"/>
      <c r="I69" s="9"/>
      <c r="J69" s="18"/>
      <c r="K69" s="18"/>
      <c r="L69" s="9"/>
      <c r="M69" s="9"/>
      <c r="N69" s="9"/>
      <c r="O69" s="9"/>
      <c r="P69" s="9"/>
      <c r="Q69" s="9"/>
      <c r="R69" t="str">
        <f t="shared" si="0"/>
        <v>E10 Deploy</v>
      </c>
    </row>
    <row r="70" spans="1:18" x14ac:dyDescent="0.55000000000000004">
      <c r="A70" s="10"/>
      <c r="B70" s="10" t="s">
        <v>171</v>
      </c>
      <c r="C70" s="238" t="s">
        <v>22</v>
      </c>
      <c r="D70" s="11" t="s">
        <v>23</v>
      </c>
      <c r="E70" s="12">
        <v>46251</v>
      </c>
      <c r="F70" s="12">
        <v>46255</v>
      </c>
      <c r="G70" s="240" t="s">
        <v>172</v>
      </c>
      <c r="H70" s="13"/>
      <c r="I70" s="13"/>
      <c r="J70" s="13"/>
      <c r="K70" s="18"/>
      <c r="L70" s="13"/>
      <c r="M70" s="13"/>
      <c r="N70" s="13"/>
      <c r="O70" s="13"/>
      <c r="P70" s="13"/>
      <c r="Q70" s="13"/>
      <c r="R70" t="str">
        <f t="shared" ref="R70:R133" si="1">IF($A70&lt;&gt;"",$A70,R69)</f>
        <v>E10 Deploy</v>
      </c>
    </row>
    <row r="71" spans="1:18" x14ac:dyDescent="0.55000000000000004">
      <c r="A71" s="4"/>
      <c r="B71" s="4" t="s">
        <v>173</v>
      </c>
      <c r="C71" s="238" t="s">
        <v>22</v>
      </c>
      <c r="D71" s="6" t="s">
        <v>75</v>
      </c>
      <c r="E71" s="7">
        <v>46252</v>
      </c>
      <c r="F71" s="7">
        <v>46255</v>
      </c>
      <c r="G71" s="239" t="s">
        <v>174</v>
      </c>
      <c r="H71" s="9"/>
      <c r="I71" s="9"/>
      <c r="J71" s="9"/>
      <c r="K71" s="18"/>
      <c r="L71" s="9"/>
      <c r="M71" s="9"/>
      <c r="N71" s="9"/>
      <c r="O71" s="9"/>
      <c r="P71" s="9"/>
      <c r="Q71" s="9"/>
      <c r="R71" t="str">
        <f t="shared" si="1"/>
        <v>E10 Deploy</v>
      </c>
    </row>
    <row r="72" spans="1:18" x14ac:dyDescent="0.55000000000000004">
      <c r="A72" s="10"/>
      <c r="B72" s="10" t="s">
        <v>175</v>
      </c>
      <c r="C72" s="238" t="s">
        <v>22</v>
      </c>
      <c r="D72" s="11" t="s">
        <v>85</v>
      </c>
      <c r="E72" s="12">
        <v>46253</v>
      </c>
      <c r="F72" s="12">
        <v>46258</v>
      </c>
      <c r="G72" s="240" t="s">
        <v>176</v>
      </c>
      <c r="H72" s="13"/>
      <c r="I72" s="13"/>
      <c r="J72" s="13"/>
      <c r="K72" s="18"/>
      <c r="L72" s="18"/>
      <c r="M72" s="13"/>
      <c r="N72" s="13"/>
      <c r="O72" s="13"/>
      <c r="P72" s="13"/>
      <c r="Q72" s="13"/>
      <c r="R72" t="str">
        <f t="shared" si="1"/>
        <v>E10 Deploy</v>
      </c>
    </row>
    <row r="73" spans="1:18" ht="21" customHeight="1" x14ac:dyDescent="0.55000000000000004">
      <c r="A73" s="4"/>
      <c r="B73" s="4" t="s">
        <v>177</v>
      </c>
      <c r="C73" s="238" t="s">
        <v>22</v>
      </c>
      <c r="D73" s="6" t="s">
        <v>85</v>
      </c>
      <c r="E73" s="7">
        <v>46258</v>
      </c>
      <c r="F73" s="7">
        <v>46261</v>
      </c>
      <c r="G73" s="239" t="s">
        <v>178</v>
      </c>
      <c r="H73" s="9"/>
      <c r="I73" s="9"/>
      <c r="J73" s="9"/>
      <c r="K73" s="9"/>
      <c r="L73" s="18"/>
      <c r="M73" s="9"/>
      <c r="N73" s="9"/>
      <c r="O73" s="9"/>
      <c r="P73" s="9"/>
      <c r="Q73" s="9"/>
      <c r="R73" t="str">
        <f t="shared" si="1"/>
        <v>E10 Deploy</v>
      </c>
    </row>
    <row r="74" spans="1:18" x14ac:dyDescent="0.55000000000000004">
      <c r="A74" s="10"/>
      <c r="B74" s="10" t="s">
        <v>179</v>
      </c>
      <c r="C74" s="17" t="s">
        <v>128</v>
      </c>
      <c r="D74" s="11" t="s">
        <v>85</v>
      </c>
      <c r="E74" s="12">
        <v>46259</v>
      </c>
      <c r="F74" s="12">
        <v>46261</v>
      </c>
      <c r="G74" s="240" t="s">
        <v>180</v>
      </c>
      <c r="H74" s="13"/>
      <c r="I74" s="13"/>
      <c r="J74" s="13"/>
      <c r="K74" s="13"/>
      <c r="L74" s="18"/>
      <c r="M74" s="13"/>
      <c r="N74" s="13"/>
      <c r="O74" s="13"/>
      <c r="P74" s="13"/>
      <c r="Q74" s="13"/>
      <c r="R74" t="str">
        <f t="shared" si="1"/>
        <v>E10 Deploy</v>
      </c>
    </row>
    <row r="75" spans="1:18" x14ac:dyDescent="0.55000000000000004">
      <c r="A75" s="4"/>
      <c r="B75" s="4" t="s">
        <v>181</v>
      </c>
      <c r="C75" s="19" t="s">
        <v>138</v>
      </c>
      <c r="D75" s="6" t="s">
        <v>23</v>
      </c>
      <c r="E75" s="7">
        <v>46269</v>
      </c>
      <c r="F75" s="7">
        <v>46269</v>
      </c>
      <c r="G75" s="239" t="s">
        <v>182</v>
      </c>
      <c r="H75" s="9"/>
      <c r="I75" s="9"/>
      <c r="J75" s="9"/>
      <c r="K75" s="9"/>
      <c r="L75" s="9"/>
      <c r="M75" s="20" t="s">
        <v>118</v>
      </c>
      <c r="N75" s="9"/>
      <c r="O75" s="9"/>
      <c r="P75" s="9"/>
      <c r="Q75" s="9"/>
      <c r="R75" t="str">
        <f t="shared" si="1"/>
        <v>E10 Deploy</v>
      </c>
    </row>
    <row r="76" spans="1:18" x14ac:dyDescent="0.55000000000000004">
      <c r="A76" s="10"/>
      <c r="B76" s="10" t="s">
        <v>183</v>
      </c>
      <c r="C76" s="17" t="s">
        <v>128</v>
      </c>
      <c r="D76" s="11" t="s">
        <v>160</v>
      </c>
      <c r="E76" s="12">
        <v>46272</v>
      </c>
      <c r="F76" s="12">
        <v>46283</v>
      </c>
      <c r="G76" s="240" t="s">
        <v>184</v>
      </c>
      <c r="H76" s="13"/>
      <c r="I76" s="13"/>
      <c r="J76" s="13"/>
      <c r="K76" s="13"/>
      <c r="L76" s="13"/>
      <c r="M76" s="13"/>
      <c r="N76" s="18"/>
      <c r="O76" s="18"/>
      <c r="P76" s="13"/>
      <c r="Q76" s="13"/>
      <c r="R76" t="str">
        <f t="shared" si="1"/>
        <v>E10 Deploy</v>
      </c>
    </row>
    <row r="77" spans="1:18" x14ac:dyDescent="0.55000000000000004">
      <c r="A77" s="4"/>
      <c r="B77" s="4" t="s">
        <v>185</v>
      </c>
      <c r="C77" s="19" t="s">
        <v>138</v>
      </c>
      <c r="D77" s="6" t="s">
        <v>160</v>
      </c>
      <c r="E77" s="7">
        <v>46290</v>
      </c>
      <c r="F77" s="7">
        <v>46290</v>
      </c>
      <c r="G77" s="239" t="s">
        <v>186</v>
      </c>
      <c r="H77" s="9"/>
      <c r="I77" s="9"/>
      <c r="J77" s="9"/>
      <c r="K77" s="9"/>
      <c r="L77" s="9"/>
      <c r="M77" s="9"/>
      <c r="N77" s="9"/>
      <c r="O77" s="9"/>
      <c r="P77" s="20" t="s">
        <v>118</v>
      </c>
      <c r="Q77" s="9"/>
      <c r="R77" t="str">
        <f t="shared" si="1"/>
        <v>E10 Deploy</v>
      </c>
    </row>
    <row r="78" spans="1:18" x14ac:dyDescent="0.55000000000000004">
      <c r="A78" s="10"/>
      <c r="B78" s="10" t="s">
        <v>187</v>
      </c>
      <c r="C78" s="238" t="s">
        <v>22</v>
      </c>
      <c r="D78" s="11" t="s">
        <v>23</v>
      </c>
      <c r="E78" s="12">
        <v>46237</v>
      </c>
      <c r="F78" s="12">
        <v>46237</v>
      </c>
      <c r="G78" s="240" t="s">
        <v>188</v>
      </c>
      <c r="H78" s="13"/>
      <c r="I78" s="8"/>
      <c r="J78" s="13"/>
      <c r="K78" s="13"/>
      <c r="L78" s="13"/>
      <c r="M78" s="13"/>
      <c r="N78" s="13"/>
      <c r="O78" s="13"/>
      <c r="P78" s="13"/>
      <c r="Q78" s="13"/>
      <c r="R78" t="str">
        <f t="shared" si="1"/>
        <v>E10 Deploy</v>
      </c>
    </row>
    <row r="79" spans="1:18" x14ac:dyDescent="0.55000000000000004">
      <c r="A79" s="4"/>
      <c r="B79" s="4" t="s">
        <v>189</v>
      </c>
      <c r="C79" s="238" t="s">
        <v>22</v>
      </c>
      <c r="D79" s="6" t="s">
        <v>160</v>
      </c>
      <c r="E79" s="7">
        <v>46237</v>
      </c>
      <c r="F79" s="7">
        <v>46238</v>
      </c>
      <c r="G79" s="239" t="s">
        <v>190</v>
      </c>
      <c r="H79" s="9"/>
      <c r="I79" s="8"/>
      <c r="J79" s="9"/>
      <c r="K79" s="9"/>
      <c r="L79" s="9"/>
      <c r="M79" s="9"/>
      <c r="N79" s="9"/>
      <c r="O79" s="9"/>
      <c r="P79" s="9"/>
      <c r="Q79" s="9"/>
      <c r="R79" t="str">
        <f t="shared" si="1"/>
        <v>E10 Deploy</v>
      </c>
    </row>
    <row r="80" spans="1:18" x14ac:dyDescent="0.55000000000000004">
      <c r="A80" s="14" t="s">
        <v>191</v>
      </c>
      <c r="B80" s="10" t="s">
        <v>192</v>
      </c>
      <c r="C80" s="238" t="s">
        <v>22</v>
      </c>
      <c r="D80" s="11" t="s">
        <v>23</v>
      </c>
      <c r="E80" s="12">
        <v>46238</v>
      </c>
      <c r="F80" s="12">
        <v>46238</v>
      </c>
      <c r="G80" s="240" t="s">
        <v>193</v>
      </c>
      <c r="H80" s="13"/>
      <c r="I80" s="8"/>
      <c r="J80" s="13"/>
      <c r="K80" s="13"/>
      <c r="L80" s="13"/>
      <c r="M80" s="13"/>
      <c r="N80" s="13"/>
      <c r="O80" s="13"/>
      <c r="P80" s="13"/>
      <c r="Q80" s="13"/>
      <c r="R80" t="str">
        <f t="shared" si="1"/>
        <v>E11 Ops Resilience</v>
      </c>
    </row>
    <row r="81" spans="1:18" x14ac:dyDescent="0.55000000000000004">
      <c r="A81" s="4"/>
      <c r="B81" s="4" t="s">
        <v>194</v>
      </c>
      <c r="C81" s="238" t="s">
        <v>22</v>
      </c>
      <c r="D81" s="6" t="s">
        <v>23</v>
      </c>
      <c r="E81" s="7">
        <v>46238</v>
      </c>
      <c r="F81" s="7">
        <v>46238</v>
      </c>
      <c r="G81" s="239" t="s">
        <v>195</v>
      </c>
      <c r="H81" s="9"/>
      <c r="I81" s="8"/>
      <c r="J81" s="9"/>
      <c r="K81" s="9"/>
      <c r="L81" s="9"/>
      <c r="M81" s="9"/>
      <c r="N81" s="9"/>
      <c r="O81" s="9"/>
      <c r="P81" s="9"/>
      <c r="Q81" s="9"/>
      <c r="R81" t="str">
        <f t="shared" si="1"/>
        <v>E11 Ops Resilience</v>
      </c>
    </row>
    <row r="82" spans="1:18" x14ac:dyDescent="0.55000000000000004">
      <c r="A82" s="10"/>
      <c r="B82" s="10" t="s">
        <v>196</v>
      </c>
      <c r="C82" s="17" t="s">
        <v>128</v>
      </c>
      <c r="D82" s="11" t="s">
        <v>23</v>
      </c>
      <c r="E82" s="12">
        <v>46246</v>
      </c>
      <c r="F82" s="12">
        <v>46247</v>
      </c>
      <c r="G82" s="240" t="s">
        <v>197</v>
      </c>
      <c r="H82" s="13"/>
      <c r="I82" s="13"/>
      <c r="J82" s="18"/>
      <c r="K82" s="13"/>
      <c r="L82" s="13"/>
      <c r="M82" s="13"/>
      <c r="N82" s="13"/>
      <c r="O82" s="13"/>
      <c r="P82" s="13"/>
      <c r="Q82" s="13"/>
      <c r="R82" t="str">
        <f t="shared" si="1"/>
        <v>E11 Ops Resilience</v>
      </c>
    </row>
    <row r="83" spans="1:18" x14ac:dyDescent="0.55000000000000004">
      <c r="A83" s="4"/>
      <c r="B83" s="4" t="s">
        <v>198</v>
      </c>
      <c r="C83" s="17" t="s">
        <v>128</v>
      </c>
      <c r="D83" s="6" t="s">
        <v>23</v>
      </c>
      <c r="E83" s="7">
        <v>46247</v>
      </c>
      <c r="F83" s="7">
        <v>46247</v>
      </c>
      <c r="G83" s="239" t="s">
        <v>199</v>
      </c>
      <c r="H83" s="9"/>
      <c r="I83" s="9"/>
      <c r="J83" s="18"/>
      <c r="K83" s="9"/>
      <c r="L83" s="9"/>
      <c r="M83" s="9"/>
      <c r="N83" s="9"/>
      <c r="O83" s="9"/>
      <c r="P83" s="9"/>
      <c r="Q83" s="9"/>
      <c r="R83" t="str">
        <f t="shared" si="1"/>
        <v>E11 Ops Resilience</v>
      </c>
    </row>
    <row r="84" spans="1:18" x14ac:dyDescent="0.55000000000000004">
      <c r="A84" s="10"/>
      <c r="B84" s="10" t="s">
        <v>200</v>
      </c>
      <c r="C84" s="17" t="s">
        <v>128</v>
      </c>
      <c r="D84" s="11" t="s">
        <v>23</v>
      </c>
      <c r="E84" s="12">
        <v>46248</v>
      </c>
      <c r="F84" s="12">
        <v>46252</v>
      </c>
      <c r="G84" s="240" t="s">
        <v>201</v>
      </c>
      <c r="H84" s="13"/>
      <c r="I84" s="13"/>
      <c r="J84" s="18"/>
      <c r="K84" s="18"/>
      <c r="L84" s="13"/>
      <c r="M84" s="13"/>
      <c r="N84" s="13"/>
      <c r="O84" s="13"/>
      <c r="P84" s="13"/>
      <c r="Q84" s="13"/>
      <c r="R84" t="str">
        <f t="shared" si="1"/>
        <v>E11 Ops Resilience</v>
      </c>
    </row>
    <row r="85" spans="1:18" x14ac:dyDescent="0.55000000000000004">
      <c r="A85" s="4"/>
      <c r="B85" s="4" t="s">
        <v>202</v>
      </c>
      <c r="C85" s="17" t="s">
        <v>128</v>
      </c>
      <c r="D85" s="6" t="s">
        <v>23</v>
      </c>
      <c r="E85" s="7">
        <v>46253</v>
      </c>
      <c r="F85" s="7">
        <v>46254</v>
      </c>
      <c r="G85" s="239" t="s">
        <v>203</v>
      </c>
      <c r="H85" s="9"/>
      <c r="I85" s="9"/>
      <c r="J85" s="9"/>
      <c r="K85" s="18"/>
      <c r="L85" s="9"/>
      <c r="M85" s="9"/>
      <c r="N85" s="9"/>
      <c r="O85" s="9"/>
      <c r="P85" s="9"/>
      <c r="Q85" s="9"/>
      <c r="R85" t="str">
        <f t="shared" si="1"/>
        <v>E11 Ops Resilience</v>
      </c>
    </row>
    <row r="86" spans="1:18" x14ac:dyDescent="0.55000000000000004">
      <c r="A86" s="14" t="s">
        <v>99</v>
      </c>
      <c r="B86" s="10" t="s">
        <v>204</v>
      </c>
      <c r="C86" s="238" t="s">
        <v>22</v>
      </c>
      <c r="D86" s="11" t="s">
        <v>45</v>
      </c>
      <c r="E86" s="12">
        <v>46238</v>
      </c>
      <c r="F86" s="12">
        <v>46238</v>
      </c>
      <c r="G86" s="240" t="s">
        <v>205</v>
      </c>
      <c r="H86" s="10"/>
      <c r="I86" s="37"/>
      <c r="J86" s="10"/>
      <c r="K86" s="10"/>
      <c r="L86" s="10"/>
      <c r="M86" s="10"/>
      <c r="N86" s="10"/>
      <c r="O86" s="10"/>
      <c r="P86" s="10"/>
      <c r="Q86" s="10"/>
      <c r="R86" t="str">
        <f t="shared" si="1"/>
        <v>E8 Model Quality</v>
      </c>
    </row>
    <row r="87" spans="1:18" x14ac:dyDescent="0.55000000000000004">
      <c r="A87" s="3" t="s">
        <v>99</v>
      </c>
      <c r="B87" s="4" t="s">
        <v>206</v>
      </c>
      <c r="C87" s="238" t="s">
        <v>22</v>
      </c>
      <c r="D87" s="6" t="s">
        <v>45</v>
      </c>
      <c r="E87" s="7">
        <v>46238</v>
      </c>
      <c r="F87" s="7">
        <v>46238</v>
      </c>
      <c r="G87" s="239" t="s">
        <v>207</v>
      </c>
      <c r="H87" s="4"/>
      <c r="I87" s="37"/>
      <c r="J87" s="4"/>
      <c r="K87" s="4"/>
      <c r="L87" s="4"/>
      <c r="M87" s="4"/>
      <c r="N87" s="4"/>
      <c r="O87" s="4"/>
      <c r="P87" s="4"/>
      <c r="Q87" s="4"/>
      <c r="R87" t="str">
        <f t="shared" si="1"/>
        <v>E8 Model Quality</v>
      </c>
    </row>
    <row r="88" spans="1:18" x14ac:dyDescent="0.55000000000000004">
      <c r="A88" s="14" t="s">
        <v>99</v>
      </c>
      <c r="B88" s="10" t="s">
        <v>208</v>
      </c>
      <c r="C88" s="238" t="s">
        <v>22</v>
      </c>
      <c r="D88" s="11" t="s">
        <v>45</v>
      </c>
      <c r="E88" s="12">
        <v>46238</v>
      </c>
      <c r="F88" s="12">
        <v>46238</v>
      </c>
      <c r="G88" s="240" t="s">
        <v>209</v>
      </c>
      <c r="H88" s="10"/>
      <c r="I88" s="37"/>
      <c r="J88" s="10"/>
      <c r="K88" s="10"/>
      <c r="L88" s="10"/>
      <c r="M88" s="10"/>
      <c r="N88" s="10"/>
      <c r="O88" s="10"/>
      <c r="P88" s="10"/>
      <c r="Q88" s="10"/>
      <c r="R88" t="str">
        <f t="shared" si="1"/>
        <v>E8 Model Quality</v>
      </c>
    </row>
    <row r="89" spans="1:18" x14ac:dyDescent="0.55000000000000004">
      <c r="A89" s="3" t="s">
        <v>99</v>
      </c>
      <c r="B89" s="4" t="s">
        <v>210</v>
      </c>
      <c r="C89" s="238" t="s">
        <v>22</v>
      </c>
      <c r="D89" s="6" t="s">
        <v>45</v>
      </c>
      <c r="E89" s="7">
        <v>46238</v>
      </c>
      <c r="F89" s="7">
        <v>46238</v>
      </c>
      <c r="G89" s="239" t="s">
        <v>211</v>
      </c>
      <c r="H89" s="4"/>
      <c r="I89" s="37"/>
      <c r="J89" s="4"/>
      <c r="K89" s="4"/>
      <c r="L89" s="4"/>
      <c r="M89" s="4"/>
      <c r="N89" s="4"/>
      <c r="O89" s="4"/>
      <c r="P89" s="4"/>
      <c r="Q89" s="4"/>
      <c r="R89" t="str">
        <f t="shared" si="1"/>
        <v>E8 Model Quality</v>
      </c>
    </row>
    <row r="90" spans="1:18" x14ac:dyDescent="0.55000000000000004">
      <c r="A90" s="14" t="s">
        <v>99</v>
      </c>
      <c r="B90" s="10" t="s">
        <v>212</v>
      </c>
      <c r="C90" s="238" t="s">
        <v>22</v>
      </c>
      <c r="D90" s="11" t="s">
        <v>45</v>
      </c>
      <c r="E90" s="12">
        <v>46238</v>
      </c>
      <c r="F90" s="12">
        <v>46238</v>
      </c>
      <c r="G90" s="240" t="s">
        <v>213</v>
      </c>
      <c r="H90" s="10"/>
      <c r="I90" s="37"/>
      <c r="J90" s="10"/>
      <c r="K90" s="10"/>
      <c r="L90" s="10"/>
      <c r="M90" s="10"/>
      <c r="N90" s="10"/>
      <c r="O90" s="10"/>
      <c r="P90" s="10"/>
      <c r="Q90" s="10"/>
      <c r="R90" t="str">
        <f t="shared" si="1"/>
        <v>E8 Model Quality</v>
      </c>
    </row>
    <row r="91" spans="1:18" x14ac:dyDescent="0.55000000000000004">
      <c r="A91" s="3" t="s">
        <v>99</v>
      </c>
      <c r="B91" s="4" t="s">
        <v>214</v>
      </c>
      <c r="C91" s="238" t="s">
        <v>22</v>
      </c>
      <c r="D91" s="6" t="s">
        <v>45</v>
      </c>
      <c r="E91" s="7">
        <v>46238</v>
      </c>
      <c r="F91" s="7">
        <v>46238</v>
      </c>
      <c r="G91" s="239" t="s">
        <v>215</v>
      </c>
      <c r="H91" s="4"/>
      <c r="I91" s="37"/>
      <c r="J91" s="4"/>
      <c r="K91" s="4"/>
      <c r="L91" s="4"/>
      <c r="M91" s="4"/>
      <c r="N91" s="4"/>
      <c r="O91" s="4"/>
      <c r="P91" s="4"/>
      <c r="Q91" s="4"/>
      <c r="R91" t="str">
        <f t="shared" si="1"/>
        <v>E8 Model Quality</v>
      </c>
    </row>
    <row r="92" spans="1:18" x14ac:dyDescent="0.55000000000000004">
      <c r="A92" s="14" t="s">
        <v>191</v>
      </c>
      <c r="B92" s="10" t="s">
        <v>216</v>
      </c>
      <c r="C92" s="238" t="s">
        <v>22</v>
      </c>
      <c r="D92" s="11" t="s">
        <v>23</v>
      </c>
      <c r="E92" s="12">
        <v>46238</v>
      </c>
      <c r="F92" s="12">
        <v>46238</v>
      </c>
      <c r="G92" s="240" t="s">
        <v>217</v>
      </c>
      <c r="H92" s="10"/>
      <c r="I92" s="37"/>
      <c r="J92" s="10"/>
      <c r="K92" s="10"/>
      <c r="L92" s="10"/>
      <c r="M92" s="10"/>
      <c r="N92" s="10"/>
      <c r="O92" s="10"/>
      <c r="P92" s="10"/>
      <c r="Q92" s="10"/>
      <c r="R92" t="str">
        <f t="shared" si="1"/>
        <v>E11 Ops Resilience</v>
      </c>
    </row>
    <row r="93" spans="1:18" x14ac:dyDescent="0.55000000000000004">
      <c r="A93" s="3" t="s">
        <v>130</v>
      </c>
      <c r="B93" s="4" t="s">
        <v>218</v>
      </c>
      <c r="C93" s="17" t="s">
        <v>128</v>
      </c>
      <c r="D93" s="6" t="s">
        <v>75</v>
      </c>
      <c r="E93" s="7">
        <v>46239</v>
      </c>
      <c r="F93" s="7">
        <v>46239</v>
      </c>
      <c r="G93" s="239" t="s">
        <v>219</v>
      </c>
      <c r="H93" s="4"/>
      <c r="I93" s="39"/>
      <c r="J93" s="4"/>
      <c r="K93" s="4"/>
      <c r="L93" s="4"/>
      <c r="M93" s="4"/>
      <c r="N93" s="4"/>
      <c r="O93" s="4"/>
      <c r="P93" s="4"/>
      <c r="Q93" s="4"/>
      <c r="R93" t="str">
        <f t="shared" si="1"/>
        <v>E9 Data Ops</v>
      </c>
    </row>
    <row r="94" spans="1:18" x14ac:dyDescent="0.55000000000000004">
      <c r="A94" s="14" t="s">
        <v>130</v>
      </c>
      <c r="B94" s="10" t="s">
        <v>220</v>
      </c>
      <c r="C94" s="238" t="s">
        <v>22</v>
      </c>
      <c r="D94" s="11" t="s">
        <v>23</v>
      </c>
      <c r="E94" s="12">
        <v>46239</v>
      </c>
      <c r="F94" s="12">
        <v>46239</v>
      </c>
      <c r="G94" s="240" t="s">
        <v>221</v>
      </c>
      <c r="H94" s="10"/>
      <c r="I94" s="37"/>
      <c r="J94" s="10"/>
      <c r="K94" s="10"/>
      <c r="L94" s="10"/>
      <c r="M94" s="10"/>
      <c r="N94" s="10"/>
      <c r="O94" s="10"/>
      <c r="P94" s="10"/>
      <c r="Q94" s="10"/>
      <c r="R94" t="str">
        <f t="shared" si="1"/>
        <v>E9 Data Ops</v>
      </c>
    </row>
    <row r="95" spans="1:18" x14ac:dyDescent="0.55000000000000004">
      <c r="A95" s="3" t="s">
        <v>99</v>
      </c>
      <c r="B95" s="4" t="s">
        <v>222</v>
      </c>
      <c r="C95" s="17" t="s">
        <v>128</v>
      </c>
      <c r="D95" s="6" t="s">
        <v>33</v>
      </c>
      <c r="E95" s="7">
        <v>46240</v>
      </c>
      <c r="F95" s="7">
        <v>46240</v>
      </c>
      <c r="G95" s="239" t="s">
        <v>223</v>
      </c>
      <c r="H95" s="4"/>
      <c r="I95" s="39"/>
      <c r="J95" s="4"/>
      <c r="K95" s="4"/>
      <c r="L95" s="4"/>
      <c r="M95" s="4"/>
      <c r="N95" s="4"/>
      <c r="O95" s="4"/>
      <c r="P95" s="4"/>
      <c r="Q95" s="4"/>
      <c r="R95" t="str">
        <f t="shared" si="1"/>
        <v>E8 Model Quality</v>
      </c>
    </row>
    <row r="96" spans="1:18" x14ac:dyDescent="0.55000000000000004">
      <c r="A96" s="14" t="s">
        <v>99</v>
      </c>
      <c r="B96" s="10" t="s">
        <v>224</v>
      </c>
      <c r="C96" s="238" t="s">
        <v>22</v>
      </c>
      <c r="D96" s="11" t="s">
        <v>45</v>
      </c>
      <c r="E96" s="12">
        <v>46238</v>
      </c>
      <c r="F96" s="12">
        <v>46238</v>
      </c>
      <c r="G96" s="240" t="s">
        <v>225</v>
      </c>
      <c r="H96" s="10"/>
      <c r="I96" s="37"/>
      <c r="J96" s="10"/>
      <c r="K96" s="10"/>
      <c r="L96" s="10"/>
      <c r="M96" s="10"/>
      <c r="N96" s="10"/>
      <c r="O96" s="10"/>
      <c r="P96" s="10"/>
      <c r="Q96" s="10"/>
      <c r="R96" t="str">
        <f t="shared" si="1"/>
        <v>E8 Model Quality</v>
      </c>
    </row>
    <row r="97" spans="1:18" x14ac:dyDescent="0.55000000000000004">
      <c r="A97" s="3" t="s">
        <v>99</v>
      </c>
      <c r="B97" s="4" t="s">
        <v>226</v>
      </c>
      <c r="C97" s="238" t="s">
        <v>22</v>
      </c>
      <c r="D97" s="6" t="s">
        <v>33</v>
      </c>
      <c r="E97" s="7">
        <v>46238</v>
      </c>
      <c r="F97" s="7">
        <v>46238</v>
      </c>
      <c r="G97" s="239" t="s">
        <v>227</v>
      </c>
      <c r="H97" s="4"/>
      <c r="I97" s="37"/>
      <c r="J97" s="4"/>
      <c r="K97" s="4"/>
      <c r="L97" s="4"/>
      <c r="M97" s="4"/>
      <c r="N97" s="4"/>
      <c r="O97" s="4"/>
      <c r="P97" s="4"/>
      <c r="Q97" s="4"/>
      <c r="R97" t="str">
        <f t="shared" si="1"/>
        <v>E8 Model Quality</v>
      </c>
    </row>
    <row r="98" spans="1:18" x14ac:dyDescent="0.55000000000000004">
      <c r="A98" s="14" t="s">
        <v>99</v>
      </c>
      <c r="B98" s="10" t="s">
        <v>228</v>
      </c>
      <c r="C98" s="238" t="s">
        <v>22</v>
      </c>
      <c r="D98" s="11" t="s">
        <v>45</v>
      </c>
      <c r="E98" s="12">
        <v>46238</v>
      </c>
      <c r="F98" s="12">
        <v>46238</v>
      </c>
      <c r="G98" s="240" t="s">
        <v>229</v>
      </c>
      <c r="H98" s="10"/>
      <c r="I98" s="37"/>
      <c r="J98" s="10"/>
      <c r="K98" s="10"/>
      <c r="L98" s="10"/>
      <c r="M98" s="10"/>
      <c r="N98" s="10"/>
      <c r="O98" s="10"/>
      <c r="P98" s="10"/>
      <c r="Q98" s="10"/>
      <c r="R98" t="str">
        <f t="shared" si="1"/>
        <v>E8 Model Quality</v>
      </c>
    </row>
    <row r="99" spans="1:18" x14ac:dyDescent="0.55000000000000004">
      <c r="A99" s="3" t="s">
        <v>99</v>
      </c>
      <c r="B99" s="4" t="s">
        <v>230</v>
      </c>
      <c r="C99" s="238" t="s">
        <v>22</v>
      </c>
      <c r="D99" s="6" t="s">
        <v>33</v>
      </c>
      <c r="E99" s="7">
        <v>46238</v>
      </c>
      <c r="F99" s="7">
        <v>46239</v>
      </c>
      <c r="G99" s="239" t="s">
        <v>231</v>
      </c>
      <c r="H99" s="4"/>
      <c r="I99" s="38"/>
      <c r="J99" s="4"/>
      <c r="K99" s="4"/>
      <c r="L99" s="4"/>
      <c r="M99" s="4"/>
      <c r="N99" s="4"/>
      <c r="O99" s="4"/>
      <c r="P99" s="4"/>
      <c r="Q99" s="4"/>
      <c r="R99" t="str">
        <f t="shared" si="1"/>
        <v>E8 Model Quality</v>
      </c>
    </row>
    <row r="100" spans="1:18" x14ac:dyDescent="0.55000000000000004">
      <c r="A100" s="14" t="s">
        <v>99</v>
      </c>
      <c r="B100" s="10" t="s">
        <v>232</v>
      </c>
      <c r="C100" s="238" t="s">
        <v>22</v>
      </c>
      <c r="D100" s="11" t="s">
        <v>45</v>
      </c>
      <c r="E100" s="12">
        <v>46239</v>
      </c>
      <c r="F100" s="12">
        <v>46239</v>
      </c>
      <c r="G100" s="240" t="s">
        <v>233</v>
      </c>
      <c r="H100" s="10"/>
      <c r="I100" s="39"/>
      <c r="J100" s="10"/>
      <c r="K100" s="10"/>
      <c r="L100" s="10"/>
      <c r="M100" s="10"/>
      <c r="N100" s="10"/>
      <c r="O100" s="10"/>
      <c r="P100" s="10"/>
      <c r="Q100" s="10"/>
      <c r="R100" t="str">
        <f t="shared" si="1"/>
        <v>E8 Model Quality</v>
      </c>
    </row>
    <row r="101" spans="1:18" x14ac:dyDescent="0.55000000000000004">
      <c r="A101" s="3" t="s">
        <v>130</v>
      </c>
      <c r="B101" s="4" t="s">
        <v>234</v>
      </c>
      <c r="C101" s="17" t="s">
        <v>128</v>
      </c>
      <c r="D101" s="6" t="s">
        <v>33</v>
      </c>
      <c r="E101" s="7">
        <v>46246</v>
      </c>
      <c r="F101" s="7">
        <v>46248</v>
      </c>
      <c r="G101" s="239" t="s">
        <v>235</v>
      </c>
      <c r="H101" s="4"/>
      <c r="I101" s="4"/>
      <c r="J101" s="39"/>
      <c r="K101" s="4"/>
      <c r="L101" s="4"/>
      <c r="M101" s="4"/>
      <c r="N101" s="4"/>
      <c r="O101" s="4"/>
      <c r="P101" s="4"/>
      <c r="Q101" s="4"/>
      <c r="R101" t="str">
        <f t="shared" si="1"/>
        <v>E9 Data Ops</v>
      </c>
    </row>
    <row r="102" spans="1:18" x14ac:dyDescent="0.55000000000000004">
      <c r="A102" s="14" t="s">
        <v>130</v>
      </c>
      <c r="B102" s="10" t="s">
        <v>236</v>
      </c>
      <c r="C102" s="238" t="s">
        <v>22</v>
      </c>
      <c r="D102" s="11" t="s">
        <v>23</v>
      </c>
      <c r="E102" s="12">
        <v>46239</v>
      </c>
      <c r="F102" s="12">
        <v>46239</v>
      </c>
      <c r="G102" s="240" t="s">
        <v>237</v>
      </c>
      <c r="H102" s="10"/>
      <c r="I102" s="39"/>
      <c r="J102" s="10"/>
      <c r="K102" s="10"/>
      <c r="L102" s="10"/>
      <c r="M102" s="10"/>
      <c r="N102" s="10"/>
      <c r="O102" s="10"/>
      <c r="P102" s="10"/>
      <c r="Q102" s="10"/>
      <c r="R102" t="str">
        <f t="shared" si="1"/>
        <v>E9 Data Ops</v>
      </c>
    </row>
    <row r="103" spans="1:18" x14ac:dyDescent="0.55000000000000004">
      <c r="A103" s="3" t="s">
        <v>191</v>
      </c>
      <c r="B103" s="4" t="s">
        <v>238</v>
      </c>
      <c r="C103" s="238" t="s">
        <v>22</v>
      </c>
      <c r="D103" s="6" t="s">
        <v>23</v>
      </c>
      <c r="E103" s="7">
        <v>46238</v>
      </c>
      <c r="F103" s="7">
        <v>46238</v>
      </c>
      <c r="G103" s="239" t="s">
        <v>239</v>
      </c>
      <c r="H103" s="4"/>
      <c r="I103" s="37"/>
      <c r="J103" s="4"/>
      <c r="K103" s="4"/>
      <c r="L103" s="4"/>
      <c r="M103" s="4"/>
      <c r="N103" s="4"/>
      <c r="O103" s="4"/>
      <c r="P103" s="4"/>
      <c r="Q103" s="4"/>
      <c r="R103" t="str">
        <f t="shared" si="1"/>
        <v>E11 Ops Resilience</v>
      </c>
    </row>
    <row r="104" spans="1:18" x14ac:dyDescent="0.55000000000000004">
      <c r="A104" s="14" t="s">
        <v>62</v>
      </c>
      <c r="B104" s="10" t="s">
        <v>240</v>
      </c>
      <c r="C104" s="238" t="s">
        <v>22</v>
      </c>
      <c r="D104" s="11" t="s">
        <v>75</v>
      </c>
      <c r="E104" s="12">
        <v>46238</v>
      </c>
      <c r="F104" s="12">
        <v>46238</v>
      </c>
      <c r="G104" s="240" t="s">
        <v>241</v>
      </c>
      <c r="H104" s="10"/>
      <c r="I104" s="37"/>
      <c r="J104" s="10"/>
      <c r="K104" s="10"/>
      <c r="L104" s="10"/>
      <c r="M104" s="10"/>
      <c r="N104" s="10"/>
      <c r="O104" s="10"/>
      <c r="P104" s="10"/>
      <c r="Q104" s="10"/>
      <c r="R104" t="str">
        <f t="shared" si="1"/>
        <v>E5 ML Tennis</v>
      </c>
    </row>
    <row r="105" spans="1:18" x14ac:dyDescent="0.55000000000000004">
      <c r="A105" s="3" t="s">
        <v>62</v>
      </c>
      <c r="B105" s="4" t="s">
        <v>242</v>
      </c>
      <c r="C105" s="238" t="s">
        <v>22</v>
      </c>
      <c r="D105" s="6" t="s">
        <v>75</v>
      </c>
      <c r="E105" s="7">
        <v>46238</v>
      </c>
      <c r="F105" s="7">
        <v>46238</v>
      </c>
      <c r="G105" s="239" t="s">
        <v>243</v>
      </c>
      <c r="H105" s="4"/>
      <c r="I105" s="37"/>
      <c r="J105" s="4"/>
      <c r="K105" s="4"/>
      <c r="L105" s="4"/>
      <c r="M105" s="4"/>
      <c r="N105" s="4"/>
      <c r="O105" s="4"/>
      <c r="P105" s="4"/>
      <c r="Q105" s="4"/>
      <c r="R105" t="str">
        <f t="shared" si="1"/>
        <v>E5 ML Tennis</v>
      </c>
    </row>
    <row r="106" spans="1:18" x14ac:dyDescent="0.55000000000000004">
      <c r="A106" s="14" t="s">
        <v>130</v>
      </c>
      <c r="B106" s="10" t="s">
        <v>244</v>
      </c>
      <c r="C106" s="238" t="s">
        <v>22</v>
      </c>
      <c r="D106" s="11" t="s">
        <v>33</v>
      </c>
      <c r="E106" s="12">
        <v>46238</v>
      </c>
      <c r="F106" s="12">
        <v>46238</v>
      </c>
      <c r="G106" s="240" t="s">
        <v>245</v>
      </c>
      <c r="H106" s="10"/>
      <c r="I106" s="37"/>
      <c r="J106" s="10"/>
      <c r="K106" s="10"/>
      <c r="L106" s="10"/>
      <c r="M106" s="10"/>
      <c r="N106" s="10"/>
      <c r="O106" s="10"/>
      <c r="P106" s="10"/>
      <c r="Q106" s="10"/>
      <c r="R106" t="str">
        <f t="shared" si="1"/>
        <v>E9 Data Ops</v>
      </c>
    </row>
    <row r="107" spans="1:18" x14ac:dyDescent="0.55000000000000004">
      <c r="A107" s="3" t="s">
        <v>191</v>
      </c>
      <c r="B107" s="4" t="s">
        <v>246</v>
      </c>
      <c r="C107" s="238" t="s">
        <v>22</v>
      </c>
      <c r="D107" s="6" t="s">
        <v>23</v>
      </c>
      <c r="E107" s="7">
        <v>46238</v>
      </c>
      <c r="F107" s="7">
        <v>46238</v>
      </c>
      <c r="G107" s="239" t="s">
        <v>247</v>
      </c>
      <c r="H107" s="4"/>
      <c r="I107" s="37"/>
      <c r="J107" s="4"/>
      <c r="K107" s="4"/>
      <c r="L107" s="4"/>
      <c r="M107" s="4"/>
      <c r="N107" s="4"/>
      <c r="O107" s="4"/>
      <c r="P107" s="4"/>
      <c r="Q107" s="4"/>
      <c r="R107" t="str">
        <f t="shared" si="1"/>
        <v>E11 Ops Resilience</v>
      </c>
    </row>
    <row r="108" spans="1:18" x14ac:dyDescent="0.55000000000000004">
      <c r="A108" s="44" t="s">
        <v>162</v>
      </c>
      <c r="B108" s="45" t="s">
        <v>248</v>
      </c>
      <c r="C108" s="241" t="s">
        <v>22</v>
      </c>
      <c r="D108" s="46" t="s">
        <v>23</v>
      </c>
      <c r="E108" s="47">
        <v>46238</v>
      </c>
      <c r="F108" s="47">
        <v>46238</v>
      </c>
      <c r="G108" s="242" t="s">
        <v>249</v>
      </c>
      <c r="H108" s="45"/>
      <c r="I108" s="48"/>
      <c r="J108" s="45"/>
      <c r="K108" s="45"/>
      <c r="L108" s="45"/>
      <c r="M108" s="45"/>
      <c r="N108" s="45"/>
      <c r="O108" s="45"/>
      <c r="P108" s="45"/>
      <c r="Q108" s="45"/>
      <c r="R108" t="str">
        <f t="shared" si="1"/>
        <v>E10 Deploy</v>
      </c>
    </row>
    <row r="109" spans="1:18" x14ac:dyDescent="0.55000000000000004">
      <c r="A109" s="49" t="s">
        <v>162</v>
      </c>
      <c r="B109" s="50" t="s">
        <v>250</v>
      </c>
      <c r="C109" s="241" t="s">
        <v>22</v>
      </c>
      <c r="D109" s="51" t="s">
        <v>23</v>
      </c>
      <c r="E109" s="52">
        <v>46238</v>
      </c>
      <c r="F109" s="52">
        <v>46238</v>
      </c>
      <c r="G109" s="243" t="s">
        <v>251</v>
      </c>
      <c r="H109" s="50"/>
      <c r="I109" s="48"/>
      <c r="J109" s="50"/>
      <c r="K109" s="50"/>
      <c r="L109" s="50"/>
      <c r="M109" s="50"/>
      <c r="N109" s="50"/>
      <c r="O109" s="50"/>
      <c r="P109" s="50"/>
      <c r="Q109" s="50"/>
      <c r="R109" t="str">
        <f t="shared" si="1"/>
        <v>E10 Deploy</v>
      </c>
    </row>
    <row r="110" spans="1:18" x14ac:dyDescent="0.55000000000000004">
      <c r="A110" s="44" t="s">
        <v>162</v>
      </c>
      <c r="B110" s="45" t="s">
        <v>252</v>
      </c>
      <c r="C110" s="241" t="s">
        <v>22</v>
      </c>
      <c r="D110" s="46" t="s">
        <v>23</v>
      </c>
      <c r="E110" s="47">
        <v>46238</v>
      </c>
      <c r="F110" s="47">
        <v>46238</v>
      </c>
      <c r="G110" s="242" t="s">
        <v>253</v>
      </c>
      <c r="H110" s="45"/>
      <c r="I110" s="48"/>
      <c r="J110" s="45"/>
      <c r="K110" s="45"/>
      <c r="L110" s="45"/>
      <c r="M110" s="45"/>
      <c r="N110" s="45"/>
      <c r="O110" s="45"/>
      <c r="P110" s="45"/>
      <c r="Q110" s="45"/>
      <c r="R110" t="str">
        <f t="shared" si="1"/>
        <v>E10 Deploy</v>
      </c>
    </row>
    <row r="111" spans="1:18" x14ac:dyDescent="0.55000000000000004">
      <c r="A111" s="49" t="s">
        <v>162</v>
      </c>
      <c r="B111" s="50" t="s">
        <v>254</v>
      </c>
      <c r="C111" s="241" t="s">
        <v>22</v>
      </c>
      <c r="D111" s="51" t="s">
        <v>75</v>
      </c>
      <c r="E111" s="52">
        <v>46238</v>
      </c>
      <c r="F111" s="52">
        <v>46238</v>
      </c>
      <c r="G111" s="243" t="s">
        <v>255</v>
      </c>
      <c r="H111" s="50"/>
      <c r="I111" s="48"/>
      <c r="J111" s="50"/>
      <c r="K111" s="50"/>
      <c r="L111" s="50"/>
      <c r="M111" s="50"/>
      <c r="N111" s="50"/>
      <c r="O111" s="50"/>
      <c r="P111" s="50"/>
      <c r="Q111" s="50"/>
      <c r="R111" t="str">
        <f t="shared" si="1"/>
        <v>E10 Deploy</v>
      </c>
    </row>
    <row r="112" spans="1:18" x14ac:dyDescent="0.55000000000000004">
      <c r="A112" s="58" t="s">
        <v>162</v>
      </c>
      <c r="B112" s="59" t="s">
        <v>256</v>
      </c>
      <c r="C112" s="244" t="s">
        <v>22</v>
      </c>
      <c r="D112" s="60" t="s">
        <v>85</v>
      </c>
      <c r="E112" s="61">
        <v>46238</v>
      </c>
      <c r="F112" s="61">
        <v>46238</v>
      </c>
      <c r="G112" s="245" t="s">
        <v>257</v>
      </c>
      <c r="H112" s="59"/>
      <c r="I112" s="62"/>
      <c r="J112" s="59"/>
      <c r="K112" s="59"/>
      <c r="L112" s="59"/>
      <c r="M112" s="59"/>
      <c r="N112" s="59"/>
      <c r="O112" s="59"/>
      <c r="P112" s="59"/>
      <c r="Q112" s="59"/>
      <c r="R112" t="str">
        <f t="shared" si="1"/>
        <v>E10 Deploy</v>
      </c>
    </row>
    <row r="113" spans="1:18" x14ac:dyDescent="0.55000000000000004">
      <c r="A113" s="63" t="s">
        <v>162</v>
      </c>
      <c r="B113" s="64" t="s">
        <v>258</v>
      </c>
      <c r="C113" s="244" t="s">
        <v>22</v>
      </c>
      <c r="D113" s="65" t="s">
        <v>23</v>
      </c>
      <c r="E113" s="66">
        <v>46238</v>
      </c>
      <c r="F113" s="66">
        <v>46238</v>
      </c>
      <c r="G113" s="246" t="s">
        <v>259</v>
      </c>
      <c r="H113" s="64"/>
      <c r="I113" s="62"/>
      <c r="J113" s="64"/>
      <c r="K113" s="64"/>
      <c r="L113" s="64"/>
      <c r="M113" s="64"/>
      <c r="N113" s="64"/>
      <c r="O113" s="64"/>
      <c r="P113" s="64"/>
      <c r="Q113" s="64"/>
      <c r="R113" t="str">
        <f t="shared" si="1"/>
        <v>E10 Deploy</v>
      </c>
    </row>
    <row r="114" spans="1:18" x14ac:dyDescent="0.55000000000000004">
      <c r="A114" s="58" t="s">
        <v>162</v>
      </c>
      <c r="B114" s="59" t="s">
        <v>260</v>
      </c>
      <c r="C114" s="67" t="s">
        <v>138</v>
      </c>
      <c r="D114" s="60" t="s">
        <v>23</v>
      </c>
      <c r="E114" s="61">
        <v>46238</v>
      </c>
      <c r="F114" s="61">
        <v>46238</v>
      </c>
      <c r="G114" s="245" t="s">
        <v>261</v>
      </c>
      <c r="H114" s="59"/>
      <c r="I114" s="68"/>
      <c r="J114" s="59"/>
      <c r="K114" s="59"/>
      <c r="L114" s="59"/>
      <c r="M114" s="59"/>
      <c r="N114" s="59"/>
      <c r="O114" s="59"/>
      <c r="P114" s="59"/>
      <c r="Q114" s="59"/>
      <c r="R114" t="str">
        <f t="shared" si="1"/>
        <v>E10 Deploy</v>
      </c>
    </row>
    <row r="115" spans="1:18" x14ac:dyDescent="0.55000000000000004">
      <c r="A115" s="63" t="s">
        <v>162</v>
      </c>
      <c r="B115" s="64" t="s">
        <v>262</v>
      </c>
      <c r="C115" s="244" t="s">
        <v>22</v>
      </c>
      <c r="D115" s="65" t="s">
        <v>85</v>
      </c>
      <c r="E115" s="66">
        <v>46239</v>
      </c>
      <c r="F115" s="66">
        <v>46239</v>
      </c>
      <c r="G115" s="246" t="s">
        <v>263</v>
      </c>
      <c r="H115" s="64"/>
      <c r="I115" s="70"/>
      <c r="J115" s="64"/>
      <c r="K115" s="64"/>
      <c r="L115" s="64"/>
      <c r="M115" s="64"/>
      <c r="N115" s="64"/>
      <c r="O115" s="64"/>
      <c r="P115" s="64"/>
      <c r="Q115" s="64"/>
      <c r="R115" t="str">
        <f t="shared" si="1"/>
        <v>E10 Deploy</v>
      </c>
    </row>
    <row r="116" spans="1:18" x14ac:dyDescent="0.55000000000000004">
      <c r="A116" s="73" t="s">
        <v>162</v>
      </c>
      <c r="B116" s="74" t="s">
        <v>264</v>
      </c>
      <c r="C116" s="247" t="s">
        <v>22</v>
      </c>
      <c r="D116" s="75" t="s">
        <v>85</v>
      </c>
      <c r="E116" s="76">
        <v>46238</v>
      </c>
      <c r="F116" s="76">
        <v>46238</v>
      </c>
      <c r="G116" s="248" t="s">
        <v>265</v>
      </c>
      <c r="H116" s="74"/>
      <c r="I116" s="77"/>
      <c r="J116" s="74"/>
      <c r="K116" s="74"/>
      <c r="L116" s="74"/>
      <c r="M116" s="74"/>
      <c r="N116" s="74"/>
      <c r="O116" s="74"/>
      <c r="P116" s="74"/>
      <c r="Q116" s="74"/>
      <c r="R116" t="str">
        <f t="shared" si="1"/>
        <v>E10 Deploy</v>
      </c>
    </row>
    <row r="117" spans="1:18" x14ac:dyDescent="0.55000000000000004">
      <c r="A117" s="81" t="s">
        <v>83</v>
      </c>
      <c r="B117" s="82" t="s">
        <v>266</v>
      </c>
      <c r="C117" s="249" t="s">
        <v>22</v>
      </c>
      <c r="D117" s="83" t="s">
        <v>85</v>
      </c>
      <c r="E117" s="84">
        <v>46238</v>
      </c>
      <c r="F117" s="84">
        <v>46238</v>
      </c>
      <c r="G117" s="250" t="s">
        <v>267</v>
      </c>
      <c r="H117" s="82"/>
      <c r="I117" s="85"/>
      <c r="J117" s="82"/>
      <c r="K117" s="82"/>
      <c r="L117" s="82"/>
      <c r="M117" s="82"/>
      <c r="N117" s="82"/>
      <c r="O117" s="82"/>
      <c r="P117" s="82"/>
      <c r="Q117" s="82"/>
      <c r="R117" t="str">
        <f t="shared" si="1"/>
        <v>E7 Mobile</v>
      </c>
    </row>
    <row r="118" spans="1:18" x14ac:dyDescent="0.55000000000000004">
      <c r="A118" s="86" t="s">
        <v>83</v>
      </c>
      <c r="B118" s="87" t="s">
        <v>268</v>
      </c>
      <c r="C118" s="249" t="s">
        <v>22</v>
      </c>
      <c r="D118" s="88" t="s">
        <v>160</v>
      </c>
      <c r="E118" s="89">
        <v>46238</v>
      </c>
      <c r="F118" s="89">
        <v>46238</v>
      </c>
      <c r="G118" s="251" t="s">
        <v>269</v>
      </c>
      <c r="H118" s="87"/>
      <c r="I118" s="85"/>
      <c r="J118" s="87"/>
      <c r="K118" s="87"/>
      <c r="L118" s="87"/>
      <c r="M118" s="87"/>
      <c r="N118" s="87"/>
      <c r="O118" s="87"/>
      <c r="P118" s="87"/>
      <c r="Q118" s="87"/>
      <c r="R118" t="str">
        <f t="shared" si="1"/>
        <v>E7 Mobile</v>
      </c>
    </row>
    <row r="119" spans="1:18" x14ac:dyDescent="0.55000000000000004">
      <c r="A119" s="81" t="s">
        <v>162</v>
      </c>
      <c r="B119" s="82" t="s">
        <v>270</v>
      </c>
      <c r="C119" s="90" t="s">
        <v>128</v>
      </c>
      <c r="D119" s="83" t="s">
        <v>85</v>
      </c>
      <c r="E119" s="84">
        <v>46239</v>
      </c>
      <c r="F119" s="84">
        <v>46239</v>
      </c>
      <c r="G119" s="250" t="s">
        <v>271</v>
      </c>
      <c r="H119" s="82"/>
      <c r="I119" s="91"/>
      <c r="J119" s="82"/>
      <c r="K119" s="82"/>
      <c r="L119" s="82"/>
      <c r="M119" s="82"/>
      <c r="N119" s="82"/>
      <c r="O119" s="82"/>
      <c r="P119" s="82"/>
      <c r="Q119" s="82"/>
      <c r="R119" t="str">
        <f t="shared" si="1"/>
        <v>E10 Deploy</v>
      </c>
    </row>
    <row r="120" spans="1:18" x14ac:dyDescent="0.55000000000000004">
      <c r="A120" s="86" t="s">
        <v>83</v>
      </c>
      <c r="B120" s="87" t="s">
        <v>272</v>
      </c>
      <c r="C120" s="90" t="s">
        <v>128</v>
      </c>
      <c r="D120" s="88" t="s">
        <v>160</v>
      </c>
      <c r="E120" s="89">
        <v>46244</v>
      </c>
      <c r="F120" s="89">
        <v>46248</v>
      </c>
      <c r="G120" s="251" t="s">
        <v>273</v>
      </c>
      <c r="H120" s="87"/>
      <c r="I120" s="87"/>
      <c r="J120" s="91"/>
      <c r="K120" s="87"/>
      <c r="L120" s="87"/>
      <c r="M120" s="87"/>
      <c r="N120" s="87"/>
      <c r="O120" s="87"/>
      <c r="P120" s="87"/>
      <c r="Q120" s="87"/>
      <c r="R120" t="str">
        <f t="shared" si="1"/>
        <v>E7 Mobile</v>
      </c>
    </row>
    <row r="121" spans="1:18" x14ac:dyDescent="0.55000000000000004">
      <c r="A121" s="95" t="s">
        <v>162</v>
      </c>
      <c r="B121" s="96" t="s">
        <v>274</v>
      </c>
      <c r="C121" s="252" t="s">
        <v>22</v>
      </c>
      <c r="D121" s="97" t="s">
        <v>85</v>
      </c>
      <c r="E121" s="98">
        <v>46238</v>
      </c>
      <c r="F121" s="98">
        <v>46238</v>
      </c>
      <c r="G121" s="253" t="s">
        <v>275</v>
      </c>
      <c r="H121" s="96"/>
      <c r="I121" s="99"/>
      <c r="J121" s="96"/>
      <c r="K121" s="96"/>
      <c r="L121" s="96"/>
      <c r="M121" s="96"/>
      <c r="N121" s="96"/>
      <c r="O121" s="96"/>
      <c r="P121" s="96"/>
      <c r="Q121" s="96"/>
      <c r="R121" t="str">
        <f t="shared" si="1"/>
        <v>E10 Deploy</v>
      </c>
    </row>
    <row r="122" spans="1:18" x14ac:dyDescent="0.55000000000000004">
      <c r="A122" s="100" t="s">
        <v>162</v>
      </c>
      <c r="B122" s="101" t="s">
        <v>276</v>
      </c>
      <c r="C122" s="252" t="s">
        <v>22</v>
      </c>
      <c r="D122" s="102" t="s">
        <v>85</v>
      </c>
      <c r="E122" s="103">
        <v>46238</v>
      </c>
      <c r="F122" s="103">
        <v>46238</v>
      </c>
      <c r="G122" s="254" t="s">
        <v>277</v>
      </c>
      <c r="H122" s="101"/>
      <c r="I122" s="99"/>
      <c r="J122" s="101"/>
      <c r="K122" s="101"/>
      <c r="L122" s="101"/>
      <c r="M122" s="101"/>
      <c r="N122" s="101"/>
      <c r="O122" s="101"/>
      <c r="P122" s="101"/>
      <c r="Q122" s="101"/>
      <c r="R122" t="str">
        <f t="shared" si="1"/>
        <v>E10 Deploy</v>
      </c>
    </row>
    <row r="123" spans="1:18" x14ac:dyDescent="0.55000000000000004">
      <c r="A123" s="95" t="s">
        <v>162</v>
      </c>
      <c r="B123" s="96" t="s">
        <v>278</v>
      </c>
      <c r="C123" s="252" t="s">
        <v>22</v>
      </c>
      <c r="D123" s="97" t="s">
        <v>85</v>
      </c>
      <c r="E123" s="98">
        <v>46239</v>
      </c>
      <c r="F123" s="98">
        <v>46239</v>
      </c>
      <c r="G123" s="253" t="s">
        <v>279</v>
      </c>
      <c r="H123" s="96"/>
      <c r="I123" s="105"/>
      <c r="J123" s="96"/>
      <c r="K123" s="96"/>
      <c r="L123" s="96"/>
      <c r="M123" s="96"/>
      <c r="N123" s="96"/>
      <c r="O123" s="96"/>
      <c r="P123" s="96"/>
      <c r="Q123" s="96"/>
      <c r="R123" t="str">
        <f t="shared" si="1"/>
        <v>E10 Deploy</v>
      </c>
    </row>
    <row r="124" spans="1:18" x14ac:dyDescent="0.55000000000000004">
      <c r="A124" s="100" t="s">
        <v>162</v>
      </c>
      <c r="B124" s="101" t="s">
        <v>280</v>
      </c>
      <c r="C124" s="252" t="s">
        <v>22</v>
      </c>
      <c r="D124" s="102" t="s">
        <v>85</v>
      </c>
      <c r="E124" s="103">
        <v>46239</v>
      </c>
      <c r="F124" s="103">
        <v>46240</v>
      </c>
      <c r="G124" s="254" t="s">
        <v>281</v>
      </c>
      <c r="H124" s="101"/>
      <c r="I124" s="105"/>
      <c r="J124" s="101"/>
      <c r="K124" s="101"/>
      <c r="L124" s="101"/>
      <c r="M124" s="101"/>
      <c r="N124" s="101"/>
      <c r="O124" s="101"/>
      <c r="P124" s="101"/>
      <c r="Q124" s="101"/>
      <c r="R124" t="str">
        <f t="shared" si="1"/>
        <v>E10 Deploy</v>
      </c>
    </row>
    <row r="125" spans="1:18" x14ac:dyDescent="0.55000000000000004">
      <c r="A125" s="110" t="s">
        <v>162</v>
      </c>
      <c r="B125" s="111" t="s">
        <v>282</v>
      </c>
      <c r="C125" s="255" t="s">
        <v>22</v>
      </c>
      <c r="D125" s="112" t="s">
        <v>85</v>
      </c>
      <c r="E125" s="113">
        <v>46238</v>
      </c>
      <c r="F125" s="113">
        <v>46238</v>
      </c>
      <c r="G125" s="256" t="s">
        <v>283</v>
      </c>
      <c r="H125" s="111"/>
      <c r="I125" s="114"/>
      <c r="J125" s="111"/>
      <c r="K125" s="111"/>
      <c r="L125" s="111"/>
      <c r="M125" s="111"/>
      <c r="N125" s="111"/>
      <c r="O125" s="111"/>
      <c r="P125" s="111"/>
      <c r="Q125" s="111"/>
      <c r="R125" t="str">
        <f t="shared" si="1"/>
        <v>E10 Deploy</v>
      </c>
    </row>
    <row r="126" spans="1:18" x14ac:dyDescent="0.55000000000000004">
      <c r="A126" s="115" t="s">
        <v>162</v>
      </c>
      <c r="B126" s="116" t="s">
        <v>284</v>
      </c>
      <c r="C126" s="117" t="s">
        <v>128</v>
      </c>
      <c r="D126" s="118" t="s">
        <v>85</v>
      </c>
      <c r="E126" s="119">
        <v>46239</v>
      </c>
      <c r="F126" s="119">
        <v>46239</v>
      </c>
      <c r="G126" s="257" t="s">
        <v>285</v>
      </c>
      <c r="H126" s="116"/>
      <c r="I126" s="120"/>
      <c r="J126" s="116"/>
      <c r="K126" s="116"/>
      <c r="L126" s="116"/>
      <c r="M126" s="116"/>
      <c r="N126" s="116"/>
      <c r="O126" s="116"/>
      <c r="P126" s="116"/>
      <c r="Q126" s="116"/>
      <c r="R126" t="str">
        <f t="shared" si="1"/>
        <v>E10 Deploy</v>
      </c>
    </row>
    <row r="127" spans="1:18" x14ac:dyDescent="0.55000000000000004">
      <c r="A127" s="121" t="s">
        <v>83</v>
      </c>
      <c r="B127" s="122" t="s">
        <v>286</v>
      </c>
      <c r="C127" s="123" t="s">
        <v>138</v>
      </c>
      <c r="D127" s="124" t="s">
        <v>85</v>
      </c>
      <c r="E127" s="125">
        <v>46239</v>
      </c>
      <c r="F127" s="125">
        <v>46239</v>
      </c>
      <c r="G127" s="258" t="s">
        <v>287</v>
      </c>
      <c r="H127" s="122"/>
      <c r="I127" s="126"/>
      <c r="J127" s="122"/>
      <c r="K127" s="122"/>
      <c r="L127" s="122"/>
      <c r="M127" s="122"/>
      <c r="N127" s="122"/>
      <c r="O127" s="122"/>
      <c r="P127" s="122"/>
      <c r="Q127" s="122"/>
      <c r="R127" t="str">
        <f t="shared" si="1"/>
        <v>E7 Mobile</v>
      </c>
    </row>
    <row r="128" spans="1:18" x14ac:dyDescent="0.55000000000000004">
      <c r="A128" s="127" t="s">
        <v>83</v>
      </c>
      <c r="B128" s="128" t="s">
        <v>288</v>
      </c>
      <c r="C128" s="259" t="s">
        <v>22</v>
      </c>
      <c r="D128" s="129" t="s">
        <v>85</v>
      </c>
      <c r="E128" s="130">
        <v>46239</v>
      </c>
      <c r="F128" s="130">
        <v>46239</v>
      </c>
      <c r="G128" s="260" t="s">
        <v>289</v>
      </c>
      <c r="H128" s="128"/>
      <c r="I128" s="131"/>
      <c r="J128" s="128"/>
      <c r="K128" s="128"/>
      <c r="L128" s="128"/>
      <c r="M128" s="128"/>
      <c r="N128" s="128"/>
      <c r="O128" s="128"/>
      <c r="P128" s="128"/>
      <c r="Q128" s="128"/>
      <c r="R128" t="str">
        <f t="shared" si="1"/>
        <v>E7 Mobile</v>
      </c>
    </row>
    <row r="129" spans="1:18" x14ac:dyDescent="0.55000000000000004">
      <c r="A129" s="121" t="s">
        <v>83</v>
      </c>
      <c r="B129" s="122" t="s">
        <v>290</v>
      </c>
      <c r="C129" s="259" t="s">
        <v>22</v>
      </c>
      <c r="D129" s="124" t="s">
        <v>85</v>
      </c>
      <c r="E129" s="125">
        <v>46239</v>
      </c>
      <c r="F129" s="125">
        <v>46239</v>
      </c>
      <c r="G129" s="258" t="s">
        <v>291</v>
      </c>
      <c r="H129" s="122"/>
      <c r="I129" s="131"/>
      <c r="J129" s="122"/>
      <c r="K129" s="122"/>
      <c r="L129" s="122"/>
      <c r="M129" s="122"/>
      <c r="N129" s="122"/>
      <c r="O129" s="122"/>
      <c r="P129" s="122"/>
      <c r="Q129" s="122"/>
      <c r="R129" t="str">
        <f t="shared" si="1"/>
        <v>E7 Mobile</v>
      </c>
    </row>
    <row r="130" spans="1:18" x14ac:dyDescent="0.55000000000000004">
      <c r="A130" s="127" t="s">
        <v>191</v>
      </c>
      <c r="B130" s="128" t="s">
        <v>292</v>
      </c>
      <c r="C130" s="259" t="s">
        <v>22</v>
      </c>
      <c r="D130" s="129" t="s">
        <v>75</v>
      </c>
      <c r="E130" s="130">
        <v>46239</v>
      </c>
      <c r="F130" s="130">
        <v>46239</v>
      </c>
      <c r="G130" s="260" t="s">
        <v>293</v>
      </c>
      <c r="H130" s="128"/>
      <c r="I130" s="131"/>
      <c r="J130" s="128"/>
      <c r="K130" s="128"/>
      <c r="L130" s="128"/>
      <c r="M130" s="128"/>
      <c r="N130" s="128"/>
      <c r="O130" s="128"/>
      <c r="P130" s="128"/>
      <c r="Q130" s="128"/>
      <c r="R130" t="str">
        <f t="shared" si="1"/>
        <v>E11 Ops Resilience</v>
      </c>
    </row>
    <row r="131" spans="1:18" x14ac:dyDescent="0.55000000000000004">
      <c r="A131" s="121" t="s">
        <v>83</v>
      </c>
      <c r="B131" s="122" t="s">
        <v>294</v>
      </c>
      <c r="C131" s="259" t="s">
        <v>22</v>
      </c>
      <c r="D131" s="124" t="s">
        <v>85</v>
      </c>
      <c r="E131" s="125">
        <v>46239</v>
      </c>
      <c r="F131" s="125">
        <v>46239</v>
      </c>
      <c r="G131" s="258" t="s">
        <v>295</v>
      </c>
      <c r="H131" s="122"/>
      <c r="I131" s="133"/>
      <c r="J131" s="122"/>
      <c r="K131" s="122"/>
      <c r="L131" s="122"/>
      <c r="M131" s="122"/>
      <c r="N131" s="122"/>
      <c r="O131" s="122"/>
      <c r="P131" s="122"/>
      <c r="Q131" s="122"/>
      <c r="R131" t="str">
        <f t="shared" si="1"/>
        <v>E7 Mobile</v>
      </c>
    </row>
    <row r="132" spans="1:18" x14ac:dyDescent="0.55000000000000004">
      <c r="A132" s="127" t="s">
        <v>83</v>
      </c>
      <c r="B132" s="128" t="s">
        <v>296</v>
      </c>
      <c r="C132" s="132" t="s">
        <v>128</v>
      </c>
      <c r="D132" s="129" t="s">
        <v>85</v>
      </c>
      <c r="E132" s="130">
        <v>46240</v>
      </c>
      <c r="F132" s="130">
        <v>46240</v>
      </c>
      <c r="G132" s="260" t="s">
        <v>297</v>
      </c>
      <c r="H132" s="128"/>
      <c r="I132" s="133"/>
      <c r="J132" s="128"/>
      <c r="K132" s="128"/>
      <c r="L132" s="128"/>
      <c r="M132" s="128"/>
      <c r="N132" s="128"/>
      <c r="O132" s="128"/>
      <c r="P132" s="128"/>
      <c r="Q132" s="128"/>
      <c r="R132" t="str">
        <f t="shared" si="1"/>
        <v>E7 Mobile</v>
      </c>
    </row>
    <row r="133" spans="1:18" x14ac:dyDescent="0.55000000000000004">
      <c r="A133" s="138" t="s">
        <v>130</v>
      </c>
      <c r="B133" s="139" t="s">
        <v>298</v>
      </c>
      <c r="C133" s="261" t="s">
        <v>22</v>
      </c>
      <c r="D133" s="140" t="s">
        <v>33</v>
      </c>
      <c r="E133" s="141">
        <v>46239</v>
      </c>
      <c r="F133" s="141">
        <v>46239</v>
      </c>
      <c r="G133" s="262" t="s">
        <v>299</v>
      </c>
      <c r="H133" s="139"/>
      <c r="I133" s="142"/>
      <c r="J133" s="139"/>
      <c r="K133" s="139"/>
      <c r="L133" s="139"/>
      <c r="M133" s="139"/>
      <c r="N133" s="139"/>
      <c r="O133" s="139"/>
      <c r="P133" s="139"/>
      <c r="Q133" s="139"/>
      <c r="R133" t="str">
        <f t="shared" si="1"/>
        <v>E9 Data Ops</v>
      </c>
    </row>
    <row r="134" spans="1:18" x14ac:dyDescent="0.55000000000000004">
      <c r="A134" s="143" t="s">
        <v>130</v>
      </c>
      <c r="B134" s="144" t="s">
        <v>300</v>
      </c>
      <c r="C134" s="261" t="s">
        <v>22</v>
      </c>
      <c r="D134" s="145" t="s">
        <v>33</v>
      </c>
      <c r="E134" s="146">
        <v>46239</v>
      </c>
      <c r="F134" s="146">
        <v>46239</v>
      </c>
      <c r="G134" s="263" t="s">
        <v>301</v>
      </c>
      <c r="H134" s="144"/>
      <c r="I134" s="142"/>
      <c r="J134" s="144"/>
      <c r="K134" s="144"/>
      <c r="L134" s="144"/>
      <c r="M134" s="144"/>
      <c r="N134" s="144"/>
      <c r="O134" s="144"/>
      <c r="P134" s="144"/>
      <c r="Q134" s="144"/>
      <c r="R134" t="str">
        <f t="shared" ref="R134:R197" si="2">IF($A134&lt;&gt;"",$A134,R133)</f>
        <v>E9 Data Ops</v>
      </c>
    </row>
    <row r="135" spans="1:18" x14ac:dyDescent="0.55000000000000004">
      <c r="A135" s="154" t="s">
        <v>130</v>
      </c>
      <c r="B135" s="155" t="s">
        <v>302</v>
      </c>
      <c r="C135" s="156" t="s">
        <v>128</v>
      </c>
      <c r="D135" s="157" t="s">
        <v>33</v>
      </c>
      <c r="E135" s="158">
        <v>46255</v>
      </c>
      <c r="F135" s="158">
        <v>46255</v>
      </c>
      <c r="G135" s="264" t="s">
        <v>303</v>
      </c>
      <c r="H135" s="155"/>
      <c r="I135" s="155"/>
      <c r="J135" s="155"/>
      <c r="K135" s="159"/>
      <c r="L135" s="155"/>
      <c r="M135" s="155"/>
      <c r="N135" s="155"/>
      <c r="O135" s="155"/>
      <c r="P135" s="155"/>
      <c r="Q135" s="155"/>
      <c r="R135" t="str">
        <f t="shared" si="2"/>
        <v>E9 Data Ops</v>
      </c>
    </row>
    <row r="136" spans="1:18" x14ac:dyDescent="0.55000000000000004">
      <c r="A136" s="163" t="s">
        <v>130</v>
      </c>
      <c r="B136" s="164" t="s">
        <v>304</v>
      </c>
      <c r="C136" s="265" t="s">
        <v>22</v>
      </c>
      <c r="D136" s="165" t="s">
        <v>33</v>
      </c>
      <c r="E136" s="166">
        <v>46239</v>
      </c>
      <c r="F136" s="166">
        <v>46239</v>
      </c>
      <c r="G136" s="266" t="s">
        <v>305</v>
      </c>
      <c r="H136" s="164"/>
      <c r="I136" s="167"/>
      <c r="J136" s="164"/>
      <c r="K136" s="164"/>
      <c r="L136" s="164"/>
      <c r="M136" s="164"/>
      <c r="N136" s="164"/>
      <c r="O136" s="164"/>
      <c r="P136" s="164"/>
      <c r="Q136" s="164"/>
      <c r="R136" t="str">
        <f t="shared" si="2"/>
        <v>E9 Data Ops</v>
      </c>
    </row>
    <row r="137" spans="1:18" x14ac:dyDescent="0.55000000000000004">
      <c r="A137" s="175" t="s">
        <v>62</v>
      </c>
      <c r="B137" s="176" t="s">
        <v>306</v>
      </c>
      <c r="C137" s="177" t="s">
        <v>138</v>
      </c>
      <c r="D137" s="178" t="s">
        <v>33</v>
      </c>
      <c r="E137" s="179">
        <v>46239</v>
      </c>
      <c r="F137" s="179">
        <v>46239</v>
      </c>
      <c r="G137" s="267" t="s">
        <v>307</v>
      </c>
      <c r="H137" s="176"/>
      <c r="I137" s="180"/>
      <c r="J137" s="176"/>
      <c r="K137" s="176"/>
      <c r="L137" s="176"/>
      <c r="M137" s="176"/>
      <c r="N137" s="176"/>
      <c r="O137" s="176"/>
      <c r="P137" s="176"/>
      <c r="Q137" s="176"/>
      <c r="R137" t="str">
        <f t="shared" si="2"/>
        <v>E5 ML Tennis</v>
      </c>
    </row>
    <row r="138" spans="1:18" x14ac:dyDescent="0.55000000000000004">
      <c r="A138" s="181" t="s">
        <v>62</v>
      </c>
      <c r="B138" s="182" t="s">
        <v>308</v>
      </c>
      <c r="C138" s="268" t="s">
        <v>22</v>
      </c>
      <c r="D138" s="183" t="s">
        <v>75</v>
      </c>
      <c r="E138" s="184">
        <v>46239</v>
      </c>
      <c r="F138" s="184">
        <v>46239</v>
      </c>
      <c r="G138" s="269" t="s">
        <v>309</v>
      </c>
      <c r="H138" s="182"/>
      <c r="I138" s="185"/>
      <c r="J138" s="182"/>
      <c r="K138" s="182"/>
      <c r="L138" s="182"/>
      <c r="M138" s="182"/>
      <c r="N138" s="182"/>
      <c r="O138" s="182"/>
      <c r="P138" s="182"/>
      <c r="Q138" s="182"/>
      <c r="R138" t="str">
        <f t="shared" si="2"/>
        <v>E5 ML Tennis</v>
      </c>
    </row>
    <row r="139" spans="1:18" x14ac:dyDescent="0.55000000000000004">
      <c r="A139" s="175" t="s">
        <v>62</v>
      </c>
      <c r="B139" s="176" t="s">
        <v>310</v>
      </c>
      <c r="C139" s="268" t="s">
        <v>22</v>
      </c>
      <c r="D139" s="178" t="s">
        <v>75</v>
      </c>
      <c r="E139" s="179">
        <v>46239</v>
      </c>
      <c r="F139" s="179">
        <v>46239</v>
      </c>
      <c r="G139" s="267" t="s">
        <v>311</v>
      </c>
      <c r="H139" s="176"/>
      <c r="I139" s="185"/>
      <c r="J139" s="176"/>
      <c r="K139" s="176"/>
      <c r="L139" s="176"/>
      <c r="M139" s="176"/>
      <c r="N139" s="176"/>
      <c r="O139" s="176"/>
      <c r="P139" s="176"/>
      <c r="Q139" s="176"/>
      <c r="R139" t="str">
        <f t="shared" si="2"/>
        <v>E5 ML Tennis</v>
      </c>
    </row>
    <row r="140" spans="1:18" x14ac:dyDescent="0.55000000000000004">
      <c r="A140" s="181" t="s">
        <v>130</v>
      </c>
      <c r="B140" s="182" t="s">
        <v>312</v>
      </c>
      <c r="C140" s="186" t="s">
        <v>128</v>
      </c>
      <c r="D140" s="183" t="s">
        <v>33</v>
      </c>
      <c r="E140" s="184">
        <v>46242</v>
      </c>
      <c r="F140" s="184">
        <v>46242</v>
      </c>
      <c r="G140" s="269" t="s">
        <v>313</v>
      </c>
      <c r="H140" s="182"/>
      <c r="I140" s="187"/>
      <c r="J140" s="182"/>
      <c r="K140" s="182"/>
      <c r="L140" s="182"/>
      <c r="M140" s="182"/>
      <c r="N140" s="182"/>
      <c r="O140" s="182"/>
      <c r="P140" s="182"/>
      <c r="Q140" s="182"/>
      <c r="R140" t="str">
        <f t="shared" si="2"/>
        <v>E9 Data Ops</v>
      </c>
    </row>
    <row r="141" spans="1:18" x14ac:dyDescent="0.55000000000000004">
      <c r="A141" s="175" t="s">
        <v>130</v>
      </c>
      <c r="B141" s="176" t="s">
        <v>314</v>
      </c>
      <c r="C141" s="268" t="s">
        <v>22</v>
      </c>
      <c r="D141" s="178" t="s">
        <v>23</v>
      </c>
      <c r="E141" s="179">
        <v>46240</v>
      </c>
      <c r="F141" s="179">
        <v>46240</v>
      </c>
      <c r="G141" s="267" t="s">
        <v>315</v>
      </c>
      <c r="H141" s="176"/>
      <c r="I141" s="187"/>
      <c r="J141" s="176"/>
      <c r="K141" s="176"/>
      <c r="L141" s="176"/>
      <c r="M141" s="176"/>
      <c r="N141" s="176"/>
      <c r="O141" s="176"/>
      <c r="P141" s="176"/>
      <c r="Q141" s="176"/>
      <c r="R141" t="str">
        <f t="shared" si="2"/>
        <v>E9 Data Ops</v>
      </c>
    </row>
    <row r="142" spans="1:18" x14ac:dyDescent="0.55000000000000004">
      <c r="A142" s="181" t="s">
        <v>83</v>
      </c>
      <c r="B142" s="182" t="s">
        <v>316</v>
      </c>
      <c r="C142" s="186" t="s">
        <v>128</v>
      </c>
      <c r="D142" s="183" t="s">
        <v>85</v>
      </c>
      <c r="E142" s="184">
        <v>46273</v>
      </c>
      <c r="F142" s="184">
        <v>46277</v>
      </c>
      <c r="G142" s="269" t="s">
        <v>317</v>
      </c>
      <c r="H142" s="182"/>
      <c r="I142" s="182"/>
      <c r="J142" s="182"/>
      <c r="K142" s="182"/>
      <c r="L142" s="182"/>
      <c r="M142" s="182"/>
      <c r="N142" s="187"/>
      <c r="O142" s="182"/>
      <c r="P142" s="182"/>
      <c r="Q142" s="182"/>
      <c r="R142" t="str">
        <f t="shared" si="2"/>
        <v>E7 Mobile</v>
      </c>
    </row>
    <row r="143" spans="1:18" x14ac:dyDescent="0.55000000000000004">
      <c r="A143" s="175" t="s">
        <v>83</v>
      </c>
      <c r="B143" s="176" t="s">
        <v>318</v>
      </c>
      <c r="C143" s="268" t="s">
        <v>22</v>
      </c>
      <c r="D143" s="178" t="s">
        <v>85</v>
      </c>
      <c r="E143" s="179">
        <v>46239</v>
      </c>
      <c r="F143" s="179">
        <v>46239</v>
      </c>
      <c r="G143" s="267" t="s">
        <v>319</v>
      </c>
      <c r="H143" s="176"/>
      <c r="I143" s="185"/>
      <c r="J143" s="176"/>
      <c r="K143" s="176"/>
      <c r="L143" s="176"/>
      <c r="M143" s="176"/>
      <c r="N143" s="176"/>
      <c r="O143" s="176"/>
      <c r="P143" s="176"/>
      <c r="Q143" s="176"/>
      <c r="R143" t="str">
        <f t="shared" si="2"/>
        <v>E7 Mobile</v>
      </c>
    </row>
    <row r="144" spans="1:18" x14ac:dyDescent="0.55000000000000004">
      <c r="A144" s="192" t="s">
        <v>99</v>
      </c>
      <c r="B144" s="193" t="s">
        <v>320</v>
      </c>
      <c r="C144" s="270" t="s">
        <v>22</v>
      </c>
      <c r="D144" s="194" t="s">
        <v>33</v>
      </c>
      <c r="E144" s="195">
        <v>46240</v>
      </c>
      <c r="F144" s="195">
        <v>46240</v>
      </c>
      <c r="G144" s="271" t="s">
        <v>321</v>
      </c>
      <c r="H144" s="193"/>
      <c r="I144" s="196"/>
      <c r="J144" s="193"/>
      <c r="K144" s="193"/>
      <c r="L144" s="193"/>
      <c r="M144" s="193"/>
      <c r="N144" s="193"/>
      <c r="O144" s="193"/>
      <c r="P144" s="193"/>
      <c r="Q144" s="193"/>
      <c r="R144" t="str">
        <f t="shared" si="2"/>
        <v>E8 Model Quality</v>
      </c>
    </row>
    <row r="145" spans="1:18" x14ac:dyDescent="0.55000000000000004">
      <c r="A145" s="197" t="s">
        <v>99</v>
      </c>
      <c r="B145" s="198" t="s">
        <v>322</v>
      </c>
      <c r="C145" s="199" t="s">
        <v>138</v>
      </c>
      <c r="D145" s="200" t="s">
        <v>45</v>
      </c>
      <c r="E145" s="201">
        <v>46240</v>
      </c>
      <c r="F145" s="201">
        <v>46240</v>
      </c>
      <c r="G145" s="272" t="s">
        <v>323</v>
      </c>
      <c r="H145" s="198"/>
      <c r="I145" s="202"/>
      <c r="J145" s="198"/>
      <c r="K145" s="198"/>
      <c r="L145" s="198"/>
      <c r="M145" s="198"/>
      <c r="N145" s="198"/>
      <c r="O145" s="198"/>
      <c r="P145" s="198"/>
      <c r="Q145" s="198"/>
      <c r="R145" t="str">
        <f t="shared" si="2"/>
        <v>E8 Model Quality</v>
      </c>
    </row>
    <row r="146" spans="1:18" x14ac:dyDescent="0.55000000000000004">
      <c r="A146" s="192" t="s">
        <v>62</v>
      </c>
      <c r="B146" s="193" t="s">
        <v>324</v>
      </c>
      <c r="C146" s="270" t="s">
        <v>22</v>
      </c>
      <c r="D146" s="194" t="s">
        <v>75</v>
      </c>
      <c r="E146" s="195">
        <v>46240</v>
      </c>
      <c r="F146" s="195">
        <v>46240</v>
      </c>
      <c r="G146" s="271" t="s">
        <v>325</v>
      </c>
      <c r="H146" s="193"/>
      <c r="I146" s="196"/>
      <c r="J146" s="193"/>
      <c r="K146" s="193"/>
      <c r="L146" s="193"/>
      <c r="M146" s="193"/>
      <c r="N146" s="193"/>
      <c r="O146" s="193"/>
      <c r="P146" s="193"/>
      <c r="Q146" s="193"/>
      <c r="R146" t="str">
        <f t="shared" si="2"/>
        <v>E5 ML Tennis</v>
      </c>
    </row>
    <row r="147" spans="1:18" x14ac:dyDescent="0.55000000000000004">
      <c r="A147" s="197" t="s">
        <v>62</v>
      </c>
      <c r="B147" s="198" t="s">
        <v>326</v>
      </c>
      <c r="C147" s="270" t="s">
        <v>22</v>
      </c>
      <c r="D147" s="200" t="s">
        <v>45</v>
      </c>
      <c r="E147" s="201">
        <v>46240</v>
      </c>
      <c r="F147" s="201">
        <v>46240</v>
      </c>
      <c r="G147" s="272" t="s">
        <v>327</v>
      </c>
      <c r="H147" s="198"/>
      <c r="I147" s="196"/>
      <c r="J147" s="198"/>
      <c r="K147" s="198"/>
      <c r="L147" s="198"/>
      <c r="M147" s="198"/>
      <c r="N147" s="198"/>
      <c r="O147" s="198"/>
      <c r="P147" s="198"/>
      <c r="Q147" s="198"/>
      <c r="R147" t="str">
        <f t="shared" si="2"/>
        <v>E5 ML Tennis</v>
      </c>
    </row>
    <row r="148" spans="1:18" x14ac:dyDescent="0.55000000000000004">
      <c r="A148" s="192" t="s">
        <v>62</v>
      </c>
      <c r="B148" s="193" t="s">
        <v>328</v>
      </c>
      <c r="C148" s="270" t="s">
        <v>22</v>
      </c>
      <c r="D148" s="194" t="s">
        <v>45</v>
      </c>
      <c r="E148" s="195">
        <v>46240</v>
      </c>
      <c r="F148" s="195">
        <v>46240</v>
      </c>
      <c r="G148" s="271" t="s">
        <v>329</v>
      </c>
      <c r="H148" s="193"/>
      <c r="I148" s="196"/>
      <c r="J148" s="193"/>
      <c r="K148" s="193"/>
      <c r="L148" s="193"/>
      <c r="M148" s="193"/>
      <c r="N148" s="193"/>
      <c r="O148" s="193"/>
      <c r="P148" s="193"/>
      <c r="Q148" s="193"/>
      <c r="R148" t="str">
        <f t="shared" si="2"/>
        <v>E5 ML Tennis</v>
      </c>
    </row>
    <row r="149" spans="1:18" ht="21" customHeight="1" x14ac:dyDescent="0.55000000000000004">
      <c r="A149" s="197" t="s">
        <v>62</v>
      </c>
      <c r="B149" s="198" t="s">
        <v>330</v>
      </c>
      <c r="C149" s="270" t="s">
        <v>22</v>
      </c>
      <c r="D149" s="200" t="s">
        <v>45</v>
      </c>
      <c r="E149" s="201">
        <v>46244</v>
      </c>
      <c r="F149" s="201">
        <v>46247</v>
      </c>
      <c r="G149" s="272" t="s">
        <v>331</v>
      </c>
      <c r="H149" s="198"/>
      <c r="I149" s="198"/>
      <c r="J149" s="204"/>
      <c r="K149" s="198"/>
      <c r="L149" s="198"/>
      <c r="M149" s="198"/>
      <c r="N149" s="198"/>
      <c r="O149" s="198"/>
      <c r="P149" s="198"/>
      <c r="Q149" s="198"/>
      <c r="R149" t="str">
        <f t="shared" si="2"/>
        <v>E5 ML Tennis</v>
      </c>
    </row>
    <row r="150" spans="1:18" x14ac:dyDescent="0.55000000000000004">
      <c r="A150" s="192" t="s">
        <v>62</v>
      </c>
      <c r="B150" s="193" t="s">
        <v>332</v>
      </c>
      <c r="C150" s="270" t="s">
        <v>22</v>
      </c>
      <c r="D150" s="194" t="s">
        <v>45</v>
      </c>
      <c r="E150" s="195">
        <v>46247</v>
      </c>
      <c r="F150" s="195">
        <v>46249</v>
      </c>
      <c r="G150" s="271" t="s">
        <v>333</v>
      </c>
      <c r="H150" s="193"/>
      <c r="I150" s="193"/>
      <c r="J150" s="204"/>
      <c r="K150" s="193"/>
      <c r="L150" s="193"/>
      <c r="M150" s="193"/>
      <c r="N150" s="193"/>
      <c r="O150" s="193"/>
      <c r="P150" s="193"/>
      <c r="Q150" s="193"/>
      <c r="R150" t="str">
        <f t="shared" si="2"/>
        <v>E5 ML Tennis</v>
      </c>
    </row>
    <row r="151" spans="1:18" x14ac:dyDescent="0.55000000000000004">
      <c r="A151" s="197" t="s">
        <v>62</v>
      </c>
      <c r="B151" s="198" t="s">
        <v>334</v>
      </c>
      <c r="C151" s="270" t="s">
        <v>22</v>
      </c>
      <c r="D151" s="200" t="s">
        <v>45</v>
      </c>
      <c r="E151" s="201">
        <v>46249</v>
      </c>
      <c r="F151" s="201">
        <v>46252</v>
      </c>
      <c r="G151" s="272" t="s">
        <v>335</v>
      </c>
      <c r="H151" s="198"/>
      <c r="I151" s="198"/>
      <c r="J151" s="204"/>
      <c r="K151" s="204"/>
      <c r="L151" s="198"/>
      <c r="M151" s="198"/>
      <c r="N151" s="198"/>
      <c r="O151" s="198"/>
      <c r="P151" s="198"/>
      <c r="Q151" s="198"/>
      <c r="R151" t="str">
        <f t="shared" si="2"/>
        <v>E5 ML Tennis</v>
      </c>
    </row>
    <row r="152" spans="1:18" x14ac:dyDescent="0.55000000000000004">
      <c r="A152" s="192" t="s">
        <v>62</v>
      </c>
      <c r="B152" s="193" t="s">
        <v>336</v>
      </c>
      <c r="C152" s="270" t="s">
        <v>22</v>
      </c>
      <c r="D152" s="194" t="s">
        <v>75</v>
      </c>
      <c r="E152" s="195">
        <v>46252</v>
      </c>
      <c r="F152" s="195">
        <v>46254</v>
      </c>
      <c r="G152" s="271" t="s">
        <v>337</v>
      </c>
      <c r="H152" s="193"/>
      <c r="I152" s="193"/>
      <c r="J152" s="193"/>
      <c r="K152" s="204"/>
      <c r="L152" s="193"/>
      <c r="M152" s="193"/>
      <c r="N152" s="193"/>
      <c r="O152" s="193"/>
      <c r="P152" s="193"/>
      <c r="Q152" s="193"/>
      <c r="R152" t="str">
        <f t="shared" si="2"/>
        <v>E5 ML Tennis</v>
      </c>
    </row>
    <row r="153" spans="1:18" x14ac:dyDescent="0.55000000000000004">
      <c r="A153" s="197" t="s">
        <v>62</v>
      </c>
      <c r="B153" s="198" t="s">
        <v>338</v>
      </c>
      <c r="C153" s="270" t="s">
        <v>22</v>
      </c>
      <c r="D153" s="200" t="s">
        <v>33</v>
      </c>
      <c r="E153" s="201">
        <v>46254</v>
      </c>
      <c r="F153" s="201">
        <v>46254</v>
      </c>
      <c r="G153" s="272" t="s">
        <v>339</v>
      </c>
      <c r="H153" s="198"/>
      <c r="I153" s="198"/>
      <c r="J153" s="198"/>
      <c r="K153" s="205"/>
      <c r="L153" s="198"/>
      <c r="M153" s="198"/>
      <c r="N153" s="198"/>
      <c r="O153" s="198"/>
      <c r="P153" s="198"/>
      <c r="Q153" s="198"/>
      <c r="R153" t="str">
        <f t="shared" si="2"/>
        <v>E5 ML Tennis</v>
      </c>
    </row>
    <row r="154" spans="1:18" ht="28.8" customHeight="1" x14ac:dyDescent="0.55000000000000004">
      <c r="A154" t="s">
        <v>62</v>
      </c>
      <c r="B154" t="s">
        <v>340</v>
      </c>
      <c r="C154" t="s">
        <v>138</v>
      </c>
      <c r="D154" t="s">
        <v>33</v>
      </c>
      <c r="E154" s="210">
        <v>46243</v>
      </c>
      <c r="F154" s="210">
        <v>46243</v>
      </c>
      <c r="G154" s="215" t="s">
        <v>341</v>
      </c>
      <c r="I154" t="s">
        <v>342</v>
      </c>
      <c r="R154" t="str">
        <f t="shared" si="2"/>
        <v>E5 ML Tennis</v>
      </c>
    </row>
    <row r="155" spans="1:18" ht="28.8" customHeight="1" x14ac:dyDescent="0.55000000000000004">
      <c r="A155" t="s">
        <v>62</v>
      </c>
      <c r="B155" t="s">
        <v>343</v>
      </c>
      <c r="C155" s="273" t="s">
        <v>22</v>
      </c>
      <c r="D155" t="s">
        <v>33</v>
      </c>
      <c r="E155" s="210">
        <v>46243</v>
      </c>
      <c r="F155" s="210">
        <v>46243</v>
      </c>
      <c r="G155" s="215" t="s">
        <v>344</v>
      </c>
      <c r="I155" t="s">
        <v>342</v>
      </c>
      <c r="R155" t="str">
        <f t="shared" si="2"/>
        <v>E5 ML Tennis</v>
      </c>
    </row>
    <row r="156" spans="1:18" ht="57.6" customHeight="1" x14ac:dyDescent="0.55000000000000004">
      <c r="A156" t="s">
        <v>62</v>
      </c>
      <c r="B156" t="s">
        <v>345</v>
      </c>
      <c r="C156" s="273" t="s">
        <v>22</v>
      </c>
      <c r="D156" t="s">
        <v>45</v>
      </c>
      <c r="E156" s="210">
        <v>46243</v>
      </c>
      <c r="F156" s="210">
        <v>46243</v>
      </c>
      <c r="G156" s="215" t="s">
        <v>346</v>
      </c>
      <c r="I156" t="s">
        <v>342</v>
      </c>
      <c r="R156" t="str">
        <f t="shared" si="2"/>
        <v>E5 ML Tennis</v>
      </c>
    </row>
    <row r="157" spans="1:18" ht="43.2" customHeight="1" x14ac:dyDescent="0.55000000000000004">
      <c r="A157" t="s">
        <v>62</v>
      </c>
      <c r="B157" t="s">
        <v>347</v>
      </c>
      <c r="C157" s="273" t="s">
        <v>22</v>
      </c>
      <c r="D157" t="s">
        <v>33</v>
      </c>
      <c r="E157" s="210">
        <v>46243</v>
      </c>
      <c r="F157" s="210">
        <v>46243</v>
      </c>
      <c r="G157" s="215" t="s">
        <v>348</v>
      </c>
      <c r="I157" t="s">
        <v>342</v>
      </c>
      <c r="R157" t="str">
        <f t="shared" si="2"/>
        <v>E5 ML Tennis</v>
      </c>
    </row>
    <row r="158" spans="1:18" ht="43.2" customHeight="1" x14ac:dyDescent="0.55000000000000004">
      <c r="A158" t="s">
        <v>130</v>
      </c>
      <c r="B158" t="s">
        <v>349</v>
      </c>
      <c r="C158" s="273" t="s">
        <v>22</v>
      </c>
      <c r="D158" t="s">
        <v>33</v>
      </c>
      <c r="E158" s="210">
        <v>46243</v>
      </c>
      <c r="F158" s="210">
        <v>46243</v>
      </c>
      <c r="G158" s="215" t="s">
        <v>350</v>
      </c>
      <c r="I158" t="s">
        <v>342</v>
      </c>
      <c r="R158" t="str">
        <f t="shared" si="2"/>
        <v>E9 Data Ops</v>
      </c>
    </row>
    <row r="159" spans="1:18" ht="28.8" customHeight="1" x14ac:dyDescent="0.55000000000000004">
      <c r="A159" t="s">
        <v>99</v>
      </c>
      <c r="B159" t="s">
        <v>351</v>
      </c>
      <c r="C159" s="273" t="s">
        <v>22</v>
      </c>
      <c r="D159" t="s">
        <v>45</v>
      </c>
      <c r="E159" s="210">
        <v>46243</v>
      </c>
      <c r="F159" s="210">
        <v>46243</v>
      </c>
      <c r="G159" s="215" t="s">
        <v>352</v>
      </c>
      <c r="I159" t="s">
        <v>342</v>
      </c>
      <c r="R159" t="str">
        <f t="shared" si="2"/>
        <v>E8 Model Quality</v>
      </c>
    </row>
    <row r="160" spans="1:18" ht="28.8" customHeight="1" x14ac:dyDescent="0.55000000000000004">
      <c r="A160" t="s">
        <v>162</v>
      </c>
      <c r="B160" t="s">
        <v>353</v>
      </c>
      <c r="C160" s="273" t="s">
        <v>22</v>
      </c>
      <c r="D160" t="s">
        <v>75</v>
      </c>
      <c r="E160" s="210">
        <v>46243</v>
      </c>
      <c r="F160" s="210">
        <v>46243</v>
      </c>
      <c r="G160" s="215" t="s">
        <v>354</v>
      </c>
      <c r="I160" t="s">
        <v>342</v>
      </c>
      <c r="R160" t="str">
        <f t="shared" si="2"/>
        <v>E10 Deploy</v>
      </c>
    </row>
    <row r="161" spans="1:18" ht="43.2" customHeight="1" x14ac:dyDescent="0.55000000000000004">
      <c r="A161" t="s">
        <v>99</v>
      </c>
      <c r="B161" t="s">
        <v>355</v>
      </c>
      <c r="C161" s="273" t="s">
        <v>22</v>
      </c>
      <c r="D161" t="s">
        <v>45</v>
      </c>
      <c r="E161" s="210">
        <v>46243</v>
      </c>
      <c r="F161" s="210">
        <v>46243</v>
      </c>
      <c r="G161" s="215" t="s">
        <v>356</v>
      </c>
      <c r="I161" t="s">
        <v>342</v>
      </c>
      <c r="R161" t="str">
        <f t="shared" si="2"/>
        <v>E8 Model Quality</v>
      </c>
    </row>
    <row r="162" spans="1:18" ht="43.2" customHeight="1" x14ac:dyDescent="0.55000000000000004">
      <c r="A162" t="s">
        <v>99</v>
      </c>
      <c r="B162" t="s">
        <v>357</v>
      </c>
      <c r="C162" s="273" t="s">
        <v>22</v>
      </c>
      <c r="D162" t="s">
        <v>45</v>
      </c>
      <c r="E162" s="210">
        <v>46243</v>
      </c>
      <c r="F162" s="210">
        <v>46243</v>
      </c>
      <c r="G162" s="215" t="s">
        <v>358</v>
      </c>
      <c r="I162" t="s">
        <v>342</v>
      </c>
      <c r="R162" t="str">
        <f t="shared" si="2"/>
        <v>E8 Model Quality</v>
      </c>
    </row>
    <row r="163" spans="1:18" ht="43.2" customHeight="1" x14ac:dyDescent="0.55000000000000004">
      <c r="A163" t="s">
        <v>99</v>
      </c>
      <c r="B163" t="s">
        <v>359</v>
      </c>
      <c r="C163" s="273" t="s">
        <v>22</v>
      </c>
      <c r="D163" t="s">
        <v>45</v>
      </c>
      <c r="E163" s="210">
        <v>46243</v>
      </c>
      <c r="F163" s="210">
        <v>46243</v>
      </c>
      <c r="G163" s="215" t="s">
        <v>360</v>
      </c>
      <c r="I163" t="s">
        <v>342</v>
      </c>
      <c r="R163" t="str">
        <f t="shared" si="2"/>
        <v>E8 Model Quality</v>
      </c>
    </row>
    <row r="164" spans="1:18" ht="28.8" customHeight="1" x14ac:dyDescent="0.55000000000000004">
      <c r="A164" t="s">
        <v>191</v>
      </c>
      <c r="B164" t="s">
        <v>361</v>
      </c>
      <c r="C164" s="273" t="s">
        <v>22</v>
      </c>
      <c r="D164" t="s">
        <v>362</v>
      </c>
      <c r="E164" s="210">
        <v>46243</v>
      </c>
      <c r="F164" s="210">
        <v>46243</v>
      </c>
      <c r="G164" s="215" t="s">
        <v>363</v>
      </c>
      <c r="I164" t="s">
        <v>342</v>
      </c>
      <c r="R164" t="str">
        <f t="shared" si="2"/>
        <v>E11 Ops Resilience</v>
      </c>
    </row>
    <row r="165" spans="1:18" ht="43.2" customHeight="1" x14ac:dyDescent="0.55000000000000004">
      <c r="A165" t="s">
        <v>130</v>
      </c>
      <c r="B165" t="s">
        <v>364</v>
      </c>
      <c r="C165" t="s">
        <v>128</v>
      </c>
      <c r="D165" t="s">
        <v>33</v>
      </c>
      <c r="E165" s="210">
        <v>46243</v>
      </c>
      <c r="F165" s="210">
        <v>46243</v>
      </c>
      <c r="G165" s="215" t="s">
        <v>365</v>
      </c>
      <c r="I165" t="s">
        <v>342</v>
      </c>
      <c r="R165" t="str">
        <f t="shared" si="2"/>
        <v>E9 Data Ops</v>
      </c>
    </row>
    <row r="166" spans="1:18" ht="28.8" customHeight="1" x14ac:dyDescent="0.55000000000000004">
      <c r="A166" t="s">
        <v>130</v>
      </c>
      <c r="B166" t="s">
        <v>366</v>
      </c>
      <c r="C166" t="s">
        <v>128</v>
      </c>
      <c r="D166" t="s">
        <v>33</v>
      </c>
      <c r="E166" s="210">
        <v>46243</v>
      </c>
      <c r="F166" s="210">
        <v>46243</v>
      </c>
      <c r="G166" s="215" t="s">
        <v>367</v>
      </c>
      <c r="I166" t="s">
        <v>342</v>
      </c>
      <c r="R166" t="str">
        <f t="shared" si="2"/>
        <v>E9 Data Ops</v>
      </c>
    </row>
    <row r="167" spans="1:18" ht="28.8" customHeight="1" x14ac:dyDescent="0.55000000000000004">
      <c r="A167" t="s">
        <v>130</v>
      </c>
      <c r="B167" t="s">
        <v>368</v>
      </c>
      <c r="C167" t="s">
        <v>128</v>
      </c>
      <c r="D167" t="s">
        <v>33</v>
      </c>
      <c r="E167" s="210">
        <v>46243</v>
      </c>
      <c r="G167" s="215" t="s">
        <v>369</v>
      </c>
      <c r="R167" t="str">
        <f t="shared" si="2"/>
        <v>E9 Data Ops</v>
      </c>
    </row>
    <row r="168" spans="1:18" ht="28.8" customHeight="1" x14ac:dyDescent="0.55000000000000004">
      <c r="A168" t="s">
        <v>99</v>
      </c>
      <c r="B168" t="s">
        <v>370</v>
      </c>
      <c r="C168" t="s">
        <v>128</v>
      </c>
      <c r="D168" t="s">
        <v>45</v>
      </c>
      <c r="E168" s="210">
        <v>46243</v>
      </c>
      <c r="G168" s="215" t="s">
        <v>371</v>
      </c>
      <c r="R168" t="str">
        <f t="shared" si="2"/>
        <v>E8 Model Quality</v>
      </c>
    </row>
    <row r="169" spans="1:18" ht="43.2" customHeight="1" x14ac:dyDescent="0.55000000000000004">
      <c r="A169" t="s">
        <v>99</v>
      </c>
      <c r="B169" t="s">
        <v>372</v>
      </c>
      <c r="C169" t="s">
        <v>128</v>
      </c>
      <c r="D169" t="s">
        <v>45</v>
      </c>
      <c r="E169" s="210">
        <v>46243</v>
      </c>
      <c r="G169" s="215" t="s">
        <v>373</v>
      </c>
      <c r="R169" t="str">
        <f t="shared" si="2"/>
        <v>E8 Model Quality</v>
      </c>
    </row>
    <row r="170" spans="1:18" ht="28.8" customHeight="1" x14ac:dyDescent="0.55000000000000004">
      <c r="A170" t="s">
        <v>99</v>
      </c>
      <c r="B170" t="s">
        <v>374</v>
      </c>
      <c r="C170" t="s">
        <v>128</v>
      </c>
      <c r="D170" t="s">
        <v>45</v>
      </c>
      <c r="E170" s="210">
        <v>46243</v>
      </c>
      <c r="G170" s="215" t="s">
        <v>375</v>
      </c>
      <c r="R170" t="str">
        <f t="shared" si="2"/>
        <v>E8 Model Quality</v>
      </c>
    </row>
    <row r="171" spans="1:18" ht="28.8" customHeight="1" x14ac:dyDescent="0.55000000000000004">
      <c r="A171" t="s">
        <v>99</v>
      </c>
      <c r="B171" t="s">
        <v>376</v>
      </c>
      <c r="C171" t="s">
        <v>128</v>
      </c>
      <c r="D171" t="s">
        <v>45</v>
      </c>
      <c r="E171" s="210">
        <v>46243</v>
      </c>
      <c r="G171" s="215" t="s">
        <v>377</v>
      </c>
      <c r="R171" t="str">
        <f t="shared" si="2"/>
        <v>E8 Model Quality</v>
      </c>
    </row>
    <row r="172" spans="1:18" ht="28.8" customHeight="1" x14ac:dyDescent="0.55000000000000004">
      <c r="A172" t="s">
        <v>99</v>
      </c>
      <c r="B172" t="s">
        <v>378</v>
      </c>
      <c r="C172" t="s">
        <v>128</v>
      </c>
      <c r="D172" t="s">
        <v>45</v>
      </c>
      <c r="E172" s="210">
        <v>46243</v>
      </c>
      <c r="G172" s="215" t="s">
        <v>379</v>
      </c>
      <c r="R172" t="str">
        <f t="shared" si="2"/>
        <v>E8 Model Quality</v>
      </c>
    </row>
    <row r="173" spans="1:18" ht="28.8" customHeight="1" x14ac:dyDescent="0.55000000000000004">
      <c r="A173" t="s">
        <v>73</v>
      </c>
      <c r="B173" t="s">
        <v>380</v>
      </c>
      <c r="C173" t="s">
        <v>128</v>
      </c>
      <c r="D173" t="s">
        <v>75</v>
      </c>
      <c r="E173" s="210">
        <v>46243</v>
      </c>
      <c r="G173" s="215" t="s">
        <v>381</v>
      </c>
      <c r="R173" t="str">
        <f t="shared" si="2"/>
        <v>E6 Picks</v>
      </c>
    </row>
    <row r="174" spans="1:18" ht="57.6" customHeight="1" x14ac:dyDescent="0.55000000000000004">
      <c r="A174" t="s">
        <v>130</v>
      </c>
      <c r="B174" t="s">
        <v>382</v>
      </c>
      <c r="C174" s="273" t="s">
        <v>22</v>
      </c>
      <c r="D174" t="s">
        <v>33</v>
      </c>
      <c r="E174" s="210">
        <v>46243</v>
      </c>
      <c r="G174" s="215" t="s">
        <v>383</v>
      </c>
      <c r="R174" t="str">
        <f t="shared" si="2"/>
        <v>E9 Data Ops</v>
      </c>
    </row>
    <row r="175" spans="1:18" ht="28.8" customHeight="1" x14ac:dyDescent="0.55000000000000004">
      <c r="A175" t="s">
        <v>130</v>
      </c>
      <c r="B175" t="s">
        <v>384</v>
      </c>
      <c r="C175" t="s">
        <v>128</v>
      </c>
      <c r="D175" t="s">
        <v>33</v>
      </c>
      <c r="E175" s="210">
        <v>46243</v>
      </c>
      <c r="G175" s="215" t="s">
        <v>385</v>
      </c>
      <c r="R175" t="str">
        <f t="shared" si="2"/>
        <v>E9 Data Ops</v>
      </c>
    </row>
    <row r="176" spans="1:18" ht="100.8" customHeight="1" x14ac:dyDescent="0.55000000000000004">
      <c r="A176" t="s">
        <v>162</v>
      </c>
      <c r="B176" t="s">
        <v>386</v>
      </c>
      <c r="C176" s="273" t="s">
        <v>22</v>
      </c>
      <c r="D176" t="s">
        <v>75</v>
      </c>
      <c r="E176" s="210">
        <v>46243</v>
      </c>
      <c r="F176" s="210">
        <v>46244</v>
      </c>
      <c r="G176" s="215" t="s">
        <v>387</v>
      </c>
      <c r="R176" t="str">
        <f t="shared" si="2"/>
        <v>E10 Deploy</v>
      </c>
    </row>
    <row r="177" spans="1:18" ht="28.8" customHeight="1" x14ac:dyDescent="0.55000000000000004">
      <c r="A177" t="s">
        <v>191</v>
      </c>
      <c r="B177" t="s">
        <v>388</v>
      </c>
      <c r="C177" t="s">
        <v>128</v>
      </c>
      <c r="D177" t="s">
        <v>362</v>
      </c>
      <c r="E177" s="210">
        <v>46243</v>
      </c>
      <c r="G177" s="215" t="s">
        <v>389</v>
      </c>
      <c r="R177" t="str">
        <f t="shared" si="2"/>
        <v>E11 Ops Resilience</v>
      </c>
    </row>
    <row r="178" spans="1:18" ht="28.8" customHeight="1" x14ac:dyDescent="0.55000000000000004">
      <c r="A178" t="s">
        <v>191</v>
      </c>
      <c r="B178" t="s">
        <v>390</v>
      </c>
      <c r="C178" t="s">
        <v>128</v>
      </c>
      <c r="D178" t="s">
        <v>362</v>
      </c>
      <c r="E178" s="210">
        <v>46243</v>
      </c>
      <c r="G178" s="215" t="s">
        <v>391</v>
      </c>
      <c r="R178" t="str">
        <f t="shared" si="2"/>
        <v>E11 Ops Resilience</v>
      </c>
    </row>
    <row r="179" spans="1:18" ht="86.4" customHeight="1" x14ac:dyDescent="0.55000000000000004">
      <c r="A179" t="s">
        <v>191</v>
      </c>
      <c r="B179" t="s">
        <v>392</v>
      </c>
      <c r="C179" s="273" t="s">
        <v>22</v>
      </c>
      <c r="D179" t="s">
        <v>362</v>
      </c>
      <c r="E179" s="210">
        <v>46243</v>
      </c>
      <c r="F179" s="210">
        <v>46244</v>
      </c>
      <c r="G179" s="215" t="s">
        <v>393</v>
      </c>
      <c r="R179" t="str">
        <f t="shared" si="2"/>
        <v>E11 Ops Resilience</v>
      </c>
    </row>
    <row r="180" spans="1:18" ht="43.2" customHeight="1" x14ac:dyDescent="0.55000000000000004">
      <c r="A180" t="s">
        <v>130</v>
      </c>
      <c r="B180" t="s">
        <v>394</v>
      </c>
      <c r="C180" t="s">
        <v>138</v>
      </c>
      <c r="D180" t="s">
        <v>33</v>
      </c>
      <c r="E180" s="210">
        <v>46243</v>
      </c>
      <c r="G180" s="215" t="s">
        <v>395</v>
      </c>
      <c r="R180" t="str">
        <f t="shared" si="2"/>
        <v>E9 Data Ops</v>
      </c>
    </row>
    <row r="181" spans="1:18" ht="28.8" customHeight="1" x14ac:dyDescent="0.55000000000000004">
      <c r="A181" t="s">
        <v>130</v>
      </c>
      <c r="B181" t="s">
        <v>396</v>
      </c>
      <c r="C181" s="273" t="s">
        <v>22</v>
      </c>
      <c r="D181" t="s">
        <v>33</v>
      </c>
      <c r="E181" s="210">
        <v>46244</v>
      </c>
      <c r="F181" s="210">
        <v>46243</v>
      </c>
      <c r="G181" s="215" t="s">
        <v>397</v>
      </c>
      <c r="R181" t="str">
        <f t="shared" si="2"/>
        <v>E9 Data Ops</v>
      </c>
    </row>
    <row r="182" spans="1:18" ht="72" customHeight="1" x14ac:dyDescent="0.55000000000000004">
      <c r="A182" t="s">
        <v>51</v>
      </c>
      <c r="B182" t="s">
        <v>398</v>
      </c>
      <c r="C182" s="273" t="s">
        <v>22</v>
      </c>
      <c r="D182" t="s">
        <v>45</v>
      </c>
      <c r="E182" s="210">
        <v>46243</v>
      </c>
      <c r="F182" s="210">
        <v>46243</v>
      </c>
      <c r="G182" s="215" t="s">
        <v>399</v>
      </c>
      <c r="I182" t="s">
        <v>400</v>
      </c>
      <c r="R182" t="str">
        <f t="shared" si="2"/>
        <v>E4 ML Football</v>
      </c>
    </row>
    <row r="183" spans="1:18" ht="57.6" customHeight="1" x14ac:dyDescent="0.55000000000000004">
      <c r="B183" t="s">
        <v>401</v>
      </c>
      <c r="C183" s="273" t="s">
        <v>22</v>
      </c>
      <c r="D183" t="s">
        <v>33</v>
      </c>
      <c r="E183" s="210">
        <v>46244</v>
      </c>
      <c r="F183" s="210">
        <v>46244</v>
      </c>
      <c r="G183" s="215" t="s">
        <v>402</v>
      </c>
      <c r="J183" t="s">
        <v>400</v>
      </c>
      <c r="R183" t="str">
        <f t="shared" si="2"/>
        <v>E4 ML Football</v>
      </c>
    </row>
    <row r="184" spans="1:18" ht="72" customHeight="1" x14ac:dyDescent="0.55000000000000004">
      <c r="A184" t="s">
        <v>99</v>
      </c>
      <c r="B184" t="s">
        <v>403</v>
      </c>
      <c r="C184" s="273" t="s">
        <v>22</v>
      </c>
      <c r="D184" t="s">
        <v>75</v>
      </c>
      <c r="E184" s="210">
        <v>46244</v>
      </c>
      <c r="F184" s="210">
        <v>46244</v>
      </c>
      <c r="G184" s="215" t="s">
        <v>404</v>
      </c>
      <c r="J184" t="s">
        <v>400</v>
      </c>
      <c r="R184" t="str">
        <f t="shared" si="2"/>
        <v>E8 Model Quality</v>
      </c>
    </row>
    <row r="185" spans="1:18" ht="43.2" customHeight="1" x14ac:dyDescent="0.55000000000000004">
      <c r="A185" t="s">
        <v>191</v>
      </c>
      <c r="B185" t="s">
        <v>405</v>
      </c>
      <c r="C185" s="273" t="s">
        <v>22</v>
      </c>
      <c r="D185" t="s">
        <v>362</v>
      </c>
      <c r="E185" s="210">
        <v>46244</v>
      </c>
      <c r="F185" s="210">
        <v>46244</v>
      </c>
      <c r="G185" s="215" t="s">
        <v>406</v>
      </c>
      <c r="J185" t="s">
        <v>400</v>
      </c>
      <c r="R185" t="str">
        <f t="shared" si="2"/>
        <v>E11 Ops Resilience</v>
      </c>
    </row>
    <row r="186" spans="1:18" ht="72" customHeight="1" x14ac:dyDescent="0.55000000000000004">
      <c r="A186" t="s">
        <v>31</v>
      </c>
      <c r="B186" t="s">
        <v>407</v>
      </c>
      <c r="C186" s="273" t="s">
        <v>22</v>
      </c>
      <c r="D186" t="s">
        <v>75</v>
      </c>
      <c r="E186" s="210">
        <v>46244</v>
      </c>
      <c r="F186" s="210">
        <v>46244</v>
      </c>
      <c r="G186" s="215" t="s">
        <v>408</v>
      </c>
      <c r="J186" t="s">
        <v>400</v>
      </c>
      <c r="R186" t="str">
        <f t="shared" si="2"/>
        <v>E2 Ingestion</v>
      </c>
    </row>
    <row r="187" spans="1:18" ht="100.8" customHeight="1" x14ac:dyDescent="0.55000000000000004">
      <c r="B187" t="s">
        <v>409</v>
      </c>
      <c r="C187" s="273" t="s">
        <v>22</v>
      </c>
      <c r="D187" t="s">
        <v>75</v>
      </c>
      <c r="E187" s="210">
        <v>46244</v>
      </c>
      <c r="F187" s="210">
        <v>46244</v>
      </c>
      <c r="G187" s="215" t="s">
        <v>410</v>
      </c>
      <c r="J187" t="s">
        <v>400</v>
      </c>
      <c r="R187" t="str">
        <f t="shared" si="2"/>
        <v>E2 Ingestion</v>
      </c>
    </row>
    <row r="188" spans="1:18" ht="72" customHeight="1" x14ac:dyDescent="0.55000000000000004">
      <c r="A188" t="s">
        <v>130</v>
      </c>
      <c r="B188" t="s">
        <v>411</v>
      </c>
      <c r="C188" s="273" t="s">
        <v>22</v>
      </c>
      <c r="D188" t="s">
        <v>33</v>
      </c>
      <c r="E188" s="210">
        <v>46244</v>
      </c>
      <c r="F188" s="210">
        <v>46244</v>
      </c>
      <c r="G188" s="215" t="s">
        <v>412</v>
      </c>
      <c r="J188" t="s">
        <v>400</v>
      </c>
      <c r="R188" t="str">
        <f t="shared" si="2"/>
        <v>E9 Data Ops</v>
      </c>
    </row>
    <row r="189" spans="1:18" ht="129.6" customHeight="1" x14ac:dyDescent="0.55000000000000004">
      <c r="A189" t="s">
        <v>51</v>
      </c>
      <c r="B189" t="s">
        <v>413</v>
      </c>
      <c r="C189" s="273" t="s">
        <v>22</v>
      </c>
      <c r="D189" t="s">
        <v>45</v>
      </c>
      <c r="E189" s="210">
        <v>46244</v>
      </c>
      <c r="F189" s="210">
        <v>46244</v>
      </c>
      <c r="G189" s="215" t="s">
        <v>414</v>
      </c>
      <c r="J189" t="s">
        <v>400</v>
      </c>
      <c r="R189" t="str">
        <f t="shared" si="2"/>
        <v>E4 ML Football</v>
      </c>
    </row>
    <row r="190" spans="1:18" ht="187.2" customHeight="1" x14ac:dyDescent="0.55000000000000004">
      <c r="A190" t="s">
        <v>99</v>
      </c>
      <c r="B190" t="s">
        <v>415</v>
      </c>
      <c r="C190" s="273" t="s">
        <v>22</v>
      </c>
      <c r="D190" t="s">
        <v>45</v>
      </c>
      <c r="E190" s="210">
        <v>46244</v>
      </c>
      <c r="F190" s="210">
        <v>46244</v>
      </c>
      <c r="G190" s="215" t="s">
        <v>416</v>
      </c>
      <c r="J190" t="s">
        <v>400</v>
      </c>
      <c r="R190" t="str">
        <f t="shared" si="2"/>
        <v>E8 Model Quality</v>
      </c>
    </row>
    <row r="191" spans="1:18" ht="72" customHeight="1" x14ac:dyDescent="0.55000000000000004">
      <c r="A191" t="s">
        <v>130</v>
      </c>
      <c r="B191" t="s">
        <v>417</v>
      </c>
      <c r="C191" s="273" t="s">
        <v>22</v>
      </c>
      <c r="D191" t="s">
        <v>33</v>
      </c>
      <c r="E191" s="210">
        <v>46244</v>
      </c>
      <c r="F191" s="210">
        <v>46244</v>
      </c>
      <c r="G191" s="215" t="s">
        <v>418</v>
      </c>
      <c r="J191" t="s">
        <v>400</v>
      </c>
      <c r="R191" t="str">
        <f t="shared" si="2"/>
        <v>E9 Data Ops</v>
      </c>
    </row>
    <row r="192" spans="1:18" ht="100.8" customHeight="1" x14ac:dyDescent="0.55000000000000004">
      <c r="A192" t="s">
        <v>99</v>
      </c>
      <c r="B192" t="s">
        <v>419</v>
      </c>
      <c r="C192" s="273" t="s">
        <v>22</v>
      </c>
      <c r="D192" t="s">
        <v>75</v>
      </c>
      <c r="E192" s="210">
        <v>46244</v>
      </c>
      <c r="F192" s="210">
        <v>46244</v>
      </c>
      <c r="G192" s="215" t="s">
        <v>420</v>
      </c>
      <c r="J192" t="s">
        <v>400</v>
      </c>
      <c r="R192" t="str">
        <f t="shared" si="2"/>
        <v>E8 Model Quality</v>
      </c>
    </row>
    <row r="193" spans="1:18" ht="115.2" customHeight="1" x14ac:dyDescent="0.55000000000000004">
      <c r="A193" t="s">
        <v>31</v>
      </c>
      <c r="B193" t="s">
        <v>421</v>
      </c>
      <c r="C193" s="273" t="s">
        <v>22</v>
      </c>
      <c r="D193" t="s">
        <v>75</v>
      </c>
      <c r="E193" s="210">
        <v>46244</v>
      </c>
      <c r="F193" s="210">
        <v>46244</v>
      </c>
      <c r="G193" s="215" t="s">
        <v>422</v>
      </c>
      <c r="J193" t="s">
        <v>400</v>
      </c>
      <c r="R193" t="str">
        <f t="shared" si="2"/>
        <v>E2 Ingestion</v>
      </c>
    </row>
    <row r="194" spans="1:18" ht="86.4" customHeight="1" x14ac:dyDescent="0.55000000000000004">
      <c r="A194" t="s">
        <v>130</v>
      </c>
      <c r="B194" t="s">
        <v>423</v>
      </c>
      <c r="C194" s="273" t="s">
        <v>22</v>
      </c>
      <c r="D194" t="s">
        <v>33</v>
      </c>
      <c r="E194" s="210">
        <v>46244</v>
      </c>
      <c r="F194" s="210">
        <v>46244</v>
      </c>
      <c r="G194" s="215" t="s">
        <v>424</v>
      </c>
      <c r="J194" t="s">
        <v>400</v>
      </c>
      <c r="R194" t="str">
        <f t="shared" si="2"/>
        <v>E9 Data Ops</v>
      </c>
    </row>
    <row r="195" spans="1:18" ht="86.4" customHeight="1" x14ac:dyDescent="0.55000000000000004">
      <c r="B195" t="s">
        <v>425</v>
      </c>
      <c r="C195" s="273" t="s">
        <v>22</v>
      </c>
      <c r="D195" t="s">
        <v>33</v>
      </c>
      <c r="E195" s="210">
        <v>46244</v>
      </c>
      <c r="F195" s="210">
        <v>46244</v>
      </c>
      <c r="G195" s="215" t="s">
        <v>426</v>
      </c>
      <c r="J195" t="s">
        <v>400</v>
      </c>
      <c r="R195" t="str">
        <f t="shared" si="2"/>
        <v>E9 Data Ops</v>
      </c>
    </row>
    <row r="196" spans="1:18" ht="115.2" customHeight="1" x14ac:dyDescent="0.55000000000000004">
      <c r="A196" t="s">
        <v>51</v>
      </c>
      <c r="B196" t="s">
        <v>427</v>
      </c>
      <c r="C196" s="273" t="s">
        <v>22</v>
      </c>
      <c r="D196" t="s">
        <v>45</v>
      </c>
      <c r="E196" s="210">
        <v>46244</v>
      </c>
      <c r="F196" s="210">
        <v>46244</v>
      </c>
      <c r="G196" s="215" t="s">
        <v>428</v>
      </c>
      <c r="J196" t="s">
        <v>400</v>
      </c>
      <c r="R196" t="str">
        <f t="shared" si="2"/>
        <v>E4 ML Football</v>
      </c>
    </row>
    <row r="197" spans="1:18" ht="86.4" customHeight="1" x14ac:dyDescent="0.55000000000000004">
      <c r="A197" t="s">
        <v>191</v>
      </c>
      <c r="B197" t="s">
        <v>429</v>
      </c>
      <c r="C197" s="273" t="s">
        <v>22</v>
      </c>
      <c r="D197" t="s">
        <v>362</v>
      </c>
      <c r="E197" s="210">
        <v>46244</v>
      </c>
      <c r="F197" s="210">
        <v>46244</v>
      </c>
      <c r="G197" s="215" t="s">
        <v>430</v>
      </c>
      <c r="J197" t="s">
        <v>400</v>
      </c>
      <c r="R197" t="str">
        <f t="shared" si="2"/>
        <v>E11 Ops Resilience</v>
      </c>
    </row>
    <row r="198" spans="1:18" ht="86.4" customHeight="1" x14ac:dyDescent="0.55000000000000004">
      <c r="A198" t="s">
        <v>51</v>
      </c>
      <c r="B198" t="s">
        <v>431</v>
      </c>
      <c r="C198" t="s">
        <v>138</v>
      </c>
      <c r="D198" t="s">
        <v>45</v>
      </c>
      <c r="E198" s="210">
        <v>46327</v>
      </c>
      <c r="G198" s="215" t="s">
        <v>432</v>
      </c>
      <c r="R198" t="str">
        <f t="shared" ref="R198:R218" si="3">IF($A198&lt;&gt;"",$A198,R197)</f>
        <v>E4 ML Football</v>
      </c>
    </row>
    <row r="199" spans="1:18" ht="129.6" customHeight="1" x14ac:dyDescent="0.55000000000000004">
      <c r="A199" t="s">
        <v>62</v>
      </c>
      <c r="B199" t="s">
        <v>433</v>
      </c>
      <c r="C199" s="273" t="s">
        <v>22</v>
      </c>
      <c r="D199" t="s">
        <v>75</v>
      </c>
      <c r="E199" s="210">
        <v>46244</v>
      </c>
      <c r="F199" s="210">
        <v>46244</v>
      </c>
      <c r="G199" s="215" t="s">
        <v>434</v>
      </c>
      <c r="J199" t="s">
        <v>400</v>
      </c>
      <c r="R199" t="str">
        <f t="shared" si="3"/>
        <v>E5 ML Tennis</v>
      </c>
    </row>
    <row r="200" spans="1:18" ht="100.8" customHeight="1" x14ac:dyDescent="0.55000000000000004">
      <c r="A200" t="s">
        <v>130</v>
      </c>
      <c r="B200" t="s">
        <v>435</v>
      </c>
      <c r="C200" s="273" t="s">
        <v>22</v>
      </c>
      <c r="D200" t="s">
        <v>33</v>
      </c>
      <c r="E200" s="210">
        <v>46244</v>
      </c>
      <c r="F200" s="210">
        <v>46244</v>
      </c>
      <c r="G200" s="215" t="s">
        <v>436</v>
      </c>
      <c r="J200" t="s">
        <v>400</v>
      </c>
      <c r="R200" t="str">
        <f t="shared" si="3"/>
        <v>E9 Data Ops</v>
      </c>
    </row>
    <row r="201" spans="1:18" ht="72" customHeight="1" x14ac:dyDescent="0.55000000000000004">
      <c r="A201" t="s">
        <v>191</v>
      </c>
      <c r="B201" t="s">
        <v>437</v>
      </c>
      <c r="C201" s="273" t="s">
        <v>22</v>
      </c>
      <c r="D201" t="s">
        <v>362</v>
      </c>
      <c r="E201" s="210">
        <v>46244</v>
      </c>
      <c r="F201" s="210">
        <v>46244</v>
      </c>
      <c r="G201" s="215" t="s">
        <v>438</v>
      </c>
      <c r="J201" t="s">
        <v>400</v>
      </c>
      <c r="R201" t="str">
        <f t="shared" si="3"/>
        <v>E11 Ops Resilience</v>
      </c>
    </row>
    <row r="202" spans="1:18" ht="100.8" customHeight="1" x14ac:dyDescent="0.55000000000000004">
      <c r="B202" t="s">
        <v>439</v>
      </c>
      <c r="C202" s="273" t="s">
        <v>22</v>
      </c>
      <c r="D202" t="s">
        <v>362</v>
      </c>
      <c r="E202" s="210">
        <v>46244</v>
      </c>
      <c r="F202" s="210">
        <v>46244</v>
      </c>
      <c r="G202" s="215" t="s">
        <v>440</v>
      </c>
      <c r="J202" t="s">
        <v>400</v>
      </c>
      <c r="R202" t="str">
        <f t="shared" si="3"/>
        <v>E11 Ops Resilience</v>
      </c>
    </row>
    <row r="203" spans="1:18" ht="144" customHeight="1" x14ac:dyDescent="0.55000000000000004">
      <c r="A203" t="s">
        <v>99</v>
      </c>
      <c r="B203" t="s">
        <v>441</v>
      </c>
      <c r="C203" s="273" t="s">
        <v>22</v>
      </c>
      <c r="D203" t="s">
        <v>45</v>
      </c>
      <c r="E203" s="210">
        <v>46244</v>
      </c>
      <c r="F203" s="210">
        <v>46244</v>
      </c>
      <c r="G203" s="215" t="s">
        <v>442</v>
      </c>
      <c r="J203" t="s">
        <v>400</v>
      </c>
      <c r="R203" t="str">
        <f t="shared" si="3"/>
        <v>E8 Model Quality</v>
      </c>
    </row>
    <row r="204" spans="1:18" ht="57.6" customHeight="1" x14ac:dyDescent="0.55000000000000004">
      <c r="A204" t="s">
        <v>73</v>
      </c>
      <c r="B204" t="s">
        <v>443</v>
      </c>
      <c r="C204" s="273" t="s">
        <v>22</v>
      </c>
      <c r="D204" t="s">
        <v>75</v>
      </c>
      <c r="E204" s="210">
        <v>46244</v>
      </c>
      <c r="F204" s="210">
        <v>46244</v>
      </c>
      <c r="G204" s="215" t="s">
        <v>444</v>
      </c>
      <c r="J204" t="s">
        <v>400</v>
      </c>
      <c r="R204" t="str">
        <f t="shared" si="3"/>
        <v>E6 Picks</v>
      </c>
    </row>
    <row r="205" spans="1:18" ht="115.2" customHeight="1" x14ac:dyDescent="0.55000000000000004">
      <c r="B205" t="s">
        <v>445</v>
      </c>
      <c r="C205" s="273" t="s">
        <v>22</v>
      </c>
      <c r="D205" t="s">
        <v>75</v>
      </c>
      <c r="E205" s="210">
        <v>46244</v>
      </c>
      <c r="F205" s="210">
        <v>46244</v>
      </c>
      <c r="G205" s="215" t="s">
        <v>446</v>
      </c>
      <c r="J205" t="s">
        <v>400</v>
      </c>
      <c r="R205" t="str">
        <f t="shared" si="3"/>
        <v>E6 Picks</v>
      </c>
    </row>
    <row r="206" spans="1:18" ht="144" customHeight="1" x14ac:dyDescent="0.55000000000000004">
      <c r="A206" t="s">
        <v>99</v>
      </c>
      <c r="B206" t="s">
        <v>447</v>
      </c>
      <c r="C206" s="273" t="s">
        <v>22</v>
      </c>
      <c r="D206" t="s">
        <v>75</v>
      </c>
      <c r="E206" s="210">
        <v>46244</v>
      </c>
      <c r="F206" s="210">
        <v>46245</v>
      </c>
      <c r="G206" s="215" t="s">
        <v>448</v>
      </c>
      <c r="J206" t="s">
        <v>400</v>
      </c>
      <c r="R206" t="str">
        <f t="shared" si="3"/>
        <v>E8 Model Quality</v>
      </c>
    </row>
    <row r="207" spans="1:18" ht="129.6" customHeight="1" x14ac:dyDescent="0.55000000000000004">
      <c r="A207" t="s">
        <v>130</v>
      </c>
      <c r="B207" t="s">
        <v>449</v>
      </c>
      <c r="C207" s="273" t="s">
        <v>22</v>
      </c>
      <c r="D207" t="s">
        <v>33</v>
      </c>
      <c r="E207" s="210">
        <v>46244</v>
      </c>
      <c r="F207" s="210">
        <v>46245</v>
      </c>
      <c r="G207" s="215" t="s">
        <v>450</v>
      </c>
      <c r="J207" t="s">
        <v>400</v>
      </c>
      <c r="R207" t="str">
        <f t="shared" si="3"/>
        <v>E9 Data Ops</v>
      </c>
    </row>
    <row r="208" spans="1:18" ht="144" customHeight="1" x14ac:dyDescent="0.55000000000000004">
      <c r="A208" t="s">
        <v>73</v>
      </c>
      <c r="B208" t="s">
        <v>451</v>
      </c>
      <c r="C208" s="273" t="s">
        <v>22</v>
      </c>
      <c r="D208" t="s">
        <v>75</v>
      </c>
      <c r="E208" s="210">
        <v>46245</v>
      </c>
      <c r="F208" s="210">
        <v>46245</v>
      </c>
      <c r="G208" s="215" t="s">
        <v>452</v>
      </c>
      <c r="J208" t="s">
        <v>400</v>
      </c>
      <c r="R208" t="str">
        <f t="shared" si="3"/>
        <v>E6 Picks</v>
      </c>
    </row>
    <row r="209" spans="1:18" ht="57.6" customHeight="1" x14ac:dyDescent="0.55000000000000004">
      <c r="A209" t="s">
        <v>191</v>
      </c>
      <c r="B209" t="s">
        <v>453</v>
      </c>
      <c r="C209" s="273" t="s">
        <v>22</v>
      </c>
      <c r="D209" t="s">
        <v>362</v>
      </c>
      <c r="E209" s="210">
        <v>46245</v>
      </c>
      <c r="F209" s="210">
        <v>46245</v>
      </c>
      <c r="G209" s="215" t="s">
        <v>454</v>
      </c>
      <c r="J209" t="s">
        <v>400</v>
      </c>
      <c r="R209" t="str">
        <f t="shared" si="3"/>
        <v>E11 Ops Resilience</v>
      </c>
    </row>
    <row r="210" spans="1:18" ht="86.4" customHeight="1" x14ac:dyDescent="0.55000000000000004">
      <c r="A210" t="s">
        <v>99</v>
      </c>
      <c r="B210" t="s">
        <v>455</v>
      </c>
      <c r="C210" s="273" t="s">
        <v>22</v>
      </c>
      <c r="D210" t="s">
        <v>75</v>
      </c>
      <c r="E210" s="210">
        <v>46245</v>
      </c>
      <c r="F210" s="210">
        <v>46245</v>
      </c>
      <c r="G210" s="215" t="s">
        <v>456</v>
      </c>
      <c r="J210" t="s">
        <v>400</v>
      </c>
      <c r="R210" t="str">
        <f t="shared" si="3"/>
        <v>E8 Model Quality</v>
      </c>
    </row>
    <row r="211" spans="1:18" ht="72" customHeight="1" x14ac:dyDescent="0.55000000000000004">
      <c r="A211" t="s">
        <v>191</v>
      </c>
      <c r="B211" t="s">
        <v>457</v>
      </c>
      <c r="C211" s="273" t="s">
        <v>22</v>
      </c>
      <c r="D211" t="s">
        <v>75</v>
      </c>
      <c r="E211" s="210">
        <v>46246</v>
      </c>
      <c r="F211" s="210">
        <v>46246</v>
      </c>
      <c r="G211" s="215" t="s">
        <v>458</v>
      </c>
      <c r="J211" t="s">
        <v>400</v>
      </c>
      <c r="R211" t="str">
        <f t="shared" si="3"/>
        <v>E11 Ops Resilience</v>
      </c>
    </row>
    <row r="212" spans="1:18" ht="43.2" customHeight="1" x14ac:dyDescent="0.55000000000000004">
      <c r="A212" t="s">
        <v>191</v>
      </c>
      <c r="B212" t="s">
        <v>459</v>
      </c>
      <c r="C212" s="273" t="s">
        <v>22</v>
      </c>
      <c r="D212" t="s">
        <v>75</v>
      </c>
      <c r="E212" s="210">
        <v>46246</v>
      </c>
      <c r="F212" s="210">
        <v>46246</v>
      </c>
      <c r="G212" s="215" t="s">
        <v>460</v>
      </c>
      <c r="J212" t="s">
        <v>400</v>
      </c>
      <c r="R212" t="str">
        <f t="shared" si="3"/>
        <v>E11 Ops Resilience</v>
      </c>
    </row>
    <row r="213" spans="1:18" ht="57.6" customHeight="1" x14ac:dyDescent="0.55000000000000004">
      <c r="A213" t="s">
        <v>191</v>
      </c>
      <c r="B213" t="s">
        <v>461</v>
      </c>
      <c r="C213" s="273" t="s">
        <v>22</v>
      </c>
      <c r="D213" t="s">
        <v>75</v>
      </c>
      <c r="E213" s="210">
        <v>46246</v>
      </c>
      <c r="F213" s="210">
        <v>46246</v>
      </c>
      <c r="G213" s="215" t="s">
        <v>462</v>
      </c>
      <c r="J213" t="s">
        <v>400</v>
      </c>
      <c r="R213" t="str">
        <f t="shared" si="3"/>
        <v>E11 Ops Resilience</v>
      </c>
    </row>
    <row r="214" spans="1:18" ht="72" customHeight="1" x14ac:dyDescent="0.55000000000000004">
      <c r="A214" t="s">
        <v>99</v>
      </c>
      <c r="B214" t="s">
        <v>463</v>
      </c>
      <c r="C214" s="273" t="s">
        <v>22</v>
      </c>
      <c r="D214" t="s">
        <v>45</v>
      </c>
      <c r="E214" s="210">
        <v>46247</v>
      </c>
      <c r="F214" s="210">
        <v>46247</v>
      </c>
      <c r="G214" s="215" t="s">
        <v>464</v>
      </c>
      <c r="J214" t="s">
        <v>400</v>
      </c>
      <c r="R214" t="str">
        <f t="shared" si="3"/>
        <v>E8 Model Quality</v>
      </c>
    </row>
    <row r="215" spans="1:18" ht="57.6" customHeight="1" x14ac:dyDescent="0.55000000000000004">
      <c r="A215" t="s">
        <v>99</v>
      </c>
      <c r="B215" t="s">
        <v>465</v>
      </c>
      <c r="C215" s="273" t="s">
        <v>22</v>
      </c>
      <c r="D215" t="s">
        <v>45</v>
      </c>
      <c r="E215" s="210">
        <v>46247</v>
      </c>
      <c r="F215" s="210">
        <v>46247</v>
      </c>
      <c r="G215" s="215" t="s">
        <v>466</v>
      </c>
      <c r="J215" t="s">
        <v>400</v>
      </c>
      <c r="R215" t="str">
        <f t="shared" si="3"/>
        <v>E8 Model Quality</v>
      </c>
    </row>
    <row r="216" spans="1:18" ht="57.6" customHeight="1" x14ac:dyDescent="0.55000000000000004">
      <c r="A216" t="s">
        <v>191</v>
      </c>
      <c r="B216" t="s">
        <v>467</v>
      </c>
      <c r="C216" s="273" t="s">
        <v>22</v>
      </c>
      <c r="D216" t="s">
        <v>75</v>
      </c>
      <c r="E216" s="210">
        <v>46247</v>
      </c>
      <c r="F216" s="210">
        <v>46247</v>
      </c>
      <c r="G216" s="215" t="s">
        <v>468</v>
      </c>
      <c r="J216" t="s">
        <v>400</v>
      </c>
      <c r="R216" t="str">
        <f t="shared" si="3"/>
        <v>E11 Ops Resilience</v>
      </c>
    </row>
    <row r="217" spans="1:18" ht="86.4" x14ac:dyDescent="0.55000000000000004">
      <c r="A217" t="s">
        <v>99</v>
      </c>
      <c r="B217" t="s">
        <v>469</v>
      </c>
      <c r="C217" s="273" t="s">
        <v>22</v>
      </c>
      <c r="D217" t="s">
        <v>45</v>
      </c>
      <c r="E217" s="210">
        <v>46247</v>
      </c>
      <c r="F217" s="210">
        <v>46247</v>
      </c>
      <c r="G217" s="215" t="s">
        <v>470</v>
      </c>
      <c r="J217" t="s">
        <v>400</v>
      </c>
      <c r="R217" t="str">
        <f t="shared" si="3"/>
        <v>E8 Model Quality</v>
      </c>
    </row>
    <row r="218" spans="1:18" ht="72" x14ac:dyDescent="0.55000000000000004">
      <c r="A218" t="s">
        <v>99</v>
      </c>
      <c r="B218" t="s">
        <v>471</v>
      </c>
      <c r="C218" s="273" t="s">
        <v>22</v>
      </c>
      <c r="D218" t="s">
        <v>75</v>
      </c>
      <c r="E218" s="210">
        <v>46247</v>
      </c>
      <c r="F218" s="210">
        <v>46247</v>
      </c>
      <c r="G218" s="215" t="s">
        <v>472</v>
      </c>
      <c r="J218" t="s">
        <v>400</v>
      </c>
      <c r="R218" t="str">
        <f t="shared" si="3"/>
        <v>E8 Model Quality</v>
      </c>
    </row>
    <row r="220" spans="1:18" x14ac:dyDescent="0.55000000000000004">
      <c r="A220" s="23" t="s">
        <v>473</v>
      </c>
      <c r="B220" s="5" t="s">
        <v>22</v>
      </c>
      <c r="C220" s="15" t="s">
        <v>474</v>
      </c>
      <c r="D220" s="17" t="s">
        <v>128</v>
      </c>
      <c r="E220" s="21" t="s">
        <v>145</v>
      </c>
      <c r="F220" s="19" t="s">
        <v>138</v>
      </c>
    </row>
  </sheetData>
  <mergeCells count="2">
    <mergeCell ref="A2:Q2"/>
    <mergeCell ref="A1:Q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9"/>
  <sheetViews>
    <sheetView showGridLines="0" zoomScale="110" zoomScaleNormal="110" workbookViewId="0">
      <pane ySplit="3" topLeftCell="A4" activePane="bottomLeft" state="frozen"/>
      <selection pane="bottomLeft" sqref="A1:S1"/>
    </sheetView>
  </sheetViews>
  <sheetFormatPr defaultRowHeight="14.4" x14ac:dyDescent="0.55000000000000004"/>
  <cols>
    <col min="1" max="1" width="20" customWidth="1"/>
    <col min="2" max="19" width="11.47265625" customWidth="1"/>
    <col min="20" max="20" width="2" customWidth="1"/>
  </cols>
  <sheetData>
    <row r="1" spans="1:19" ht="30" customHeight="1" x14ac:dyDescent="0.55000000000000004">
      <c r="A1" s="294" t="s">
        <v>475</v>
      </c>
      <c r="B1" s="283"/>
      <c r="C1" s="283"/>
      <c r="D1" s="283"/>
      <c r="E1" s="283"/>
      <c r="F1" s="283"/>
      <c r="G1" s="283"/>
      <c r="H1" s="283"/>
      <c r="I1" s="283"/>
      <c r="J1" s="283"/>
      <c r="K1" s="283"/>
      <c r="L1" s="283"/>
      <c r="M1" s="283"/>
      <c r="N1" s="283"/>
      <c r="O1" s="283"/>
      <c r="P1" s="283"/>
      <c r="Q1" s="283"/>
      <c r="R1" s="283"/>
      <c r="S1" s="283"/>
    </row>
    <row r="2" spans="1:19" ht="18" customHeight="1" x14ac:dyDescent="0.55000000000000004">
      <c r="A2" s="301" t="s">
        <v>476</v>
      </c>
      <c r="B2" s="283"/>
      <c r="C2" s="283"/>
      <c r="D2" s="283"/>
      <c r="E2" s="283"/>
      <c r="F2" s="283"/>
      <c r="G2" s="283"/>
      <c r="H2" s="283"/>
      <c r="I2" s="283"/>
      <c r="J2" s="283"/>
      <c r="K2" s="283"/>
      <c r="L2" s="283"/>
      <c r="M2" s="283"/>
      <c r="N2" s="283"/>
      <c r="O2" s="283"/>
      <c r="P2" s="283"/>
      <c r="Q2" s="283"/>
      <c r="R2" s="283"/>
      <c r="S2" s="283"/>
    </row>
    <row r="4" spans="1:19" ht="20.05" customHeight="1" x14ac:dyDescent="0.55000000000000004">
      <c r="A4" s="289" t="s">
        <v>477</v>
      </c>
      <c r="B4" s="283"/>
      <c r="C4" s="283"/>
      <c r="D4" s="283"/>
      <c r="E4" s="283"/>
      <c r="F4" s="283"/>
      <c r="G4" s="283"/>
      <c r="H4" s="283"/>
      <c r="I4" s="283"/>
      <c r="J4" s="283"/>
      <c r="K4" s="283"/>
      <c r="L4" s="283"/>
      <c r="M4" s="283"/>
      <c r="N4" s="283"/>
      <c r="O4" s="283"/>
      <c r="P4" s="283"/>
      <c r="Q4" s="283"/>
      <c r="R4" s="283"/>
      <c r="S4" s="283"/>
    </row>
    <row r="5" spans="1:19" ht="52" customHeight="1" x14ac:dyDescent="0.55000000000000004">
      <c r="A5" s="35" t="s">
        <v>478</v>
      </c>
      <c r="B5" s="279" t="s">
        <v>479</v>
      </c>
      <c r="C5" s="280"/>
      <c r="D5" s="281"/>
      <c r="E5" s="284" t="s">
        <v>480</v>
      </c>
      <c r="F5" s="280"/>
      <c r="G5" s="281"/>
      <c r="H5" s="284" t="s">
        <v>481</v>
      </c>
      <c r="I5" s="280"/>
      <c r="J5" s="281"/>
      <c r="K5" s="279" t="s">
        <v>482</v>
      </c>
      <c r="L5" s="280"/>
      <c r="M5" s="281"/>
      <c r="N5" s="286" t="s">
        <v>483</v>
      </c>
      <c r="O5" s="280"/>
      <c r="P5" s="281"/>
      <c r="Q5" s="286" t="s">
        <v>484</v>
      </c>
      <c r="R5" s="280"/>
      <c r="S5" s="281"/>
    </row>
    <row r="6" spans="1:19" ht="15" customHeight="1" x14ac:dyDescent="0.55000000000000004">
      <c r="B6" s="282" t="s">
        <v>485</v>
      </c>
      <c r="C6" s="283"/>
      <c r="D6" s="283"/>
      <c r="E6" s="283"/>
      <c r="F6" s="283"/>
      <c r="G6" s="283"/>
      <c r="H6" s="283"/>
      <c r="I6" s="283"/>
      <c r="J6" s="283"/>
      <c r="K6" s="283"/>
      <c r="L6" s="283"/>
      <c r="M6" s="283"/>
      <c r="N6" s="283"/>
      <c r="O6" s="283"/>
      <c r="P6" s="283"/>
      <c r="Q6" s="283"/>
      <c r="R6" s="283"/>
      <c r="S6" s="283"/>
    </row>
    <row r="7" spans="1:19" ht="20.05" customHeight="1" x14ac:dyDescent="0.55000000000000004">
      <c r="A7" s="289" t="s">
        <v>486</v>
      </c>
      <c r="B7" s="283"/>
      <c r="C7" s="283"/>
      <c r="D7" s="283"/>
      <c r="E7" s="283"/>
      <c r="F7" s="283"/>
      <c r="G7" s="283"/>
      <c r="H7" s="283"/>
      <c r="I7" s="283"/>
      <c r="J7" s="283"/>
      <c r="K7" s="283"/>
      <c r="L7" s="283"/>
      <c r="M7" s="283"/>
      <c r="N7" s="283"/>
      <c r="O7" s="283"/>
      <c r="P7" s="283"/>
      <c r="Q7" s="283"/>
      <c r="R7" s="283"/>
      <c r="S7" s="283"/>
    </row>
    <row r="8" spans="1:19" ht="46" customHeight="1" x14ac:dyDescent="0.55000000000000004">
      <c r="A8" s="35" t="s">
        <v>487</v>
      </c>
      <c r="B8" s="292" t="s">
        <v>488</v>
      </c>
      <c r="C8" s="280"/>
      <c r="D8" s="280"/>
      <c r="E8" s="280"/>
      <c r="F8" s="280"/>
      <c r="G8" s="280"/>
      <c r="H8" s="280"/>
      <c r="I8" s="280"/>
      <c r="J8" s="281"/>
      <c r="K8" s="292" t="s">
        <v>489</v>
      </c>
      <c r="L8" s="280"/>
      <c r="M8" s="280"/>
      <c r="N8" s="280"/>
      <c r="O8" s="280"/>
      <c r="P8" s="280"/>
      <c r="Q8" s="280"/>
      <c r="R8" s="280"/>
      <c r="S8" s="281"/>
    </row>
    <row r="9" spans="1:19" ht="15" customHeight="1" x14ac:dyDescent="0.55000000000000004">
      <c r="B9" s="282" t="s">
        <v>485</v>
      </c>
      <c r="C9" s="283"/>
      <c r="D9" s="283"/>
      <c r="E9" s="283"/>
      <c r="F9" s="283"/>
      <c r="G9" s="283"/>
      <c r="H9" s="283"/>
      <c r="I9" s="283"/>
      <c r="J9" s="283"/>
      <c r="K9" s="283"/>
      <c r="L9" s="283"/>
      <c r="M9" s="283"/>
      <c r="N9" s="283"/>
      <c r="O9" s="283"/>
      <c r="P9" s="283"/>
      <c r="Q9" s="283"/>
      <c r="R9" s="283"/>
      <c r="S9" s="283"/>
    </row>
    <row r="10" spans="1:19" ht="20.05" customHeight="1" x14ac:dyDescent="0.55000000000000004">
      <c r="A10" s="289" t="s">
        <v>490</v>
      </c>
      <c r="B10" s="283"/>
      <c r="C10" s="283"/>
      <c r="D10" s="283"/>
      <c r="E10" s="283"/>
      <c r="F10" s="283"/>
      <c r="G10" s="283"/>
      <c r="H10" s="283"/>
      <c r="I10" s="283"/>
      <c r="J10" s="283"/>
      <c r="K10" s="283"/>
      <c r="L10" s="283"/>
      <c r="M10" s="283"/>
      <c r="N10" s="283"/>
      <c r="O10" s="283"/>
      <c r="P10" s="283"/>
      <c r="Q10" s="283"/>
      <c r="R10" s="283"/>
      <c r="S10" s="283"/>
    </row>
    <row r="11" spans="1:19" ht="54" customHeight="1" x14ac:dyDescent="0.55000000000000004">
      <c r="A11" s="35" t="s">
        <v>491</v>
      </c>
      <c r="B11" s="279" t="s">
        <v>492</v>
      </c>
      <c r="C11" s="280"/>
      <c r="D11" s="281"/>
      <c r="E11" s="279" t="s">
        <v>493</v>
      </c>
      <c r="F11" s="280"/>
      <c r="G11" s="281"/>
      <c r="H11" s="279" t="s">
        <v>494</v>
      </c>
      <c r="I11" s="280"/>
      <c r="J11" s="281"/>
      <c r="K11" s="284" t="s">
        <v>495</v>
      </c>
      <c r="L11" s="280"/>
      <c r="M11" s="281"/>
      <c r="N11" s="279" t="s">
        <v>496</v>
      </c>
      <c r="O11" s="280"/>
      <c r="P11" s="281"/>
      <c r="Q11" s="279" t="s">
        <v>497</v>
      </c>
      <c r="R11" s="280"/>
      <c r="S11" s="281"/>
    </row>
    <row r="12" spans="1:19" ht="15" customHeight="1" x14ac:dyDescent="0.55000000000000004">
      <c r="B12" s="282" t="s">
        <v>485</v>
      </c>
      <c r="C12" s="283"/>
      <c r="D12" s="283"/>
      <c r="E12" s="283"/>
      <c r="F12" s="283"/>
      <c r="G12" s="283"/>
      <c r="H12" s="283"/>
      <c r="I12" s="283"/>
      <c r="J12" s="283"/>
      <c r="K12" s="283"/>
      <c r="L12" s="283"/>
      <c r="M12" s="283"/>
      <c r="N12" s="283"/>
      <c r="O12" s="283"/>
      <c r="P12" s="283"/>
      <c r="Q12" s="283"/>
      <c r="R12" s="283"/>
      <c r="S12" s="283"/>
    </row>
    <row r="13" spans="1:19" ht="20.05" customHeight="1" x14ac:dyDescent="0.55000000000000004">
      <c r="A13" s="289" t="s">
        <v>498</v>
      </c>
      <c r="B13" s="283"/>
      <c r="C13" s="283"/>
      <c r="D13" s="283"/>
      <c r="E13" s="283"/>
      <c r="F13" s="283"/>
      <c r="G13" s="283"/>
      <c r="H13" s="283"/>
      <c r="I13" s="283"/>
      <c r="J13" s="283"/>
      <c r="K13" s="283"/>
      <c r="L13" s="283"/>
      <c r="M13" s="283"/>
      <c r="N13" s="283"/>
      <c r="O13" s="283"/>
      <c r="P13" s="283"/>
      <c r="Q13" s="283"/>
      <c r="R13" s="283"/>
      <c r="S13" s="283"/>
    </row>
    <row r="14" spans="1:19" ht="52" customHeight="1" x14ac:dyDescent="0.55000000000000004">
      <c r="A14" s="35" t="s">
        <v>499</v>
      </c>
      <c r="B14" s="287" t="s">
        <v>500</v>
      </c>
      <c r="C14" s="280"/>
      <c r="D14" s="280"/>
      <c r="E14" s="280"/>
      <c r="F14" s="280"/>
      <c r="G14" s="281"/>
      <c r="H14" s="287" t="s">
        <v>501</v>
      </c>
      <c r="I14" s="280"/>
      <c r="J14" s="280"/>
      <c r="K14" s="280"/>
      <c r="L14" s="280"/>
      <c r="M14" s="281"/>
      <c r="N14" s="287" t="s">
        <v>502</v>
      </c>
      <c r="O14" s="280"/>
      <c r="P14" s="281"/>
      <c r="Q14" s="284" t="s">
        <v>503</v>
      </c>
      <c r="R14" s="280"/>
      <c r="S14" s="281"/>
    </row>
    <row r="15" spans="1:19" ht="15" customHeight="1" x14ac:dyDescent="0.55000000000000004">
      <c r="B15" s="282" t="s">
        <v>504</v>
      </c>
      <c r="C15" s="283"/>
      <c r="D15" s="283"/>
      <c r="E15" s="283"/>
      <c r="F15" s="283"/>
      <c r="G15" s="283"/>
      <c r="H15" s="283"/>
      <c r="I15" s="283"/>
      <c r="J15" s="283"/>
      <c r="K15" s="283"/>
      <c r="L15" s="283"/>
      <c r="M15" s="283"/>
      <c r="N15" s="283"/>
      <c r="O15" s="283"/>
      <c r="P15" s="283"/>
      <c r="Q15" s="283"/>
      <c r="R15" s="283"/>
      <c r="S15" s="283"/>
    </row>
    <row r="16" spans="1:19" ht="20.05" customHeight="1" x14ac:dyDescent="0.55000000000000004">
      <c r="A16" s="289" t="s">
        <v>505</v>
      </c>
      <c r="B16" s="283"/>
      <c r="C16" s="283"/>
      <c r="D16" s="283"/>
      <c r="E16" s="283"/>
      <c r="F16" s="283"/>
      <c r="G16" s="283"/>
      <c r="H16" s="283"/>
      <c r="I16" s="283"/>
      <c r="J16" s="283"/>
      <c r="K16" s="283"/>
      <c r="L16" s="283"/>
      <c r="M16" s="283"/>
      <c r="N16" s="283"/>
      <c r="O16" s="283"/>
      <c r="P16" s="283"/>
      <c r="Q16" s="283"/>
      <c r="R16" s="283"/>
      <c r="S16" s="283"/>
    </row>
    <row r="17" spans="1:19" ht="54" customHeight="1" x14ac:dyDescent="0.55000000000000004">
      <c r="A17" s="35" t="s">
        <v>506</v>
      </c>
      <c r="B17" s="288" t="s">
        <v>507</v>
      </c>
      <c r="C17" s="280"/>
      <c r="D17" s="280"/>
      <c r="E17" s="280"/>
      <c r="F17" s="280"/>
      <c r="G17" s="281"/>
      <c r="H17" s="288" t="s">
        <v>508</v>
      </c>
      <c r="I17" s="280"/>
      <c r="J17" s="281"/>
      <c r="K17" s="288" t="s">
        <v>509</v>
      </c>
      <c r="L17" s="280"/>
      <c r="M17" s="281"/>
      <c r="N17" s="288" t="s">
        <v>510</v>
      </c>
      <c r="O17" s="280"/>
      <c r="P17" s="281"/>
      <c r="Q17" s="288" t="s">
        <v>511</v>
      </c>
      <c r="R17" s="280"/>
      <c r="S17" s="281"/>
    </row>
    <row r="18" spans="1:19" ht="15" customHeight="1" x14ac:dyDescent="0.55000000000000004">
      <c r="B18" s="282" t="s">
        <v>485</v>
      </c>
      <c r="C18" s="283"/>
      <c r="D18" s="283"/>
      <c r="E18" s="283"/>
      <c r="F18" s="283"/>
      <c r="G18" s="283"/>
      <c r="H18" s="283"/>
      <c r="I18" s="283"/>
      <c r="J18" s="283"/>
      <c r="K18" s="283"/>
      <c r="L18" s="283"/>
      <c r="M18" s="283"/>
      <c r="N18" s="283"/>
      <c r="O18" s="283"/>
      <c r="P18" s="283"/>
      <c r="Q18" s="283"/>
      <c r="R18" s="283"/>
      <c r="S18" s="283"/>
    </row>
    <row r="19" spans="1:19" ht="20.05" customHeight="1" x14ac:dyDescent="0.55000000000000004">
      <c r="A19" s="289" t="s">
        <v>512</v>
      </c>
      <c r="B19" s="283"/>
      <c r="C19" s="283"/>
      <c r="D19" s="283"/>
      <c r="E19" s="283"/>
      <c r="F19" s="283"/>
      <c r="G19" s="283"/>
      <c r="H19" s="283"/>
      <c r="I19" s="283"/>
      <c r="J19" s="283"/>
      <c r="K19" s="283"/>
      <c r="L19" s="283"/>
      <c r="M19" s="283"/>
      <c r="N19" s="283"/>
      <c r="O19" s="283"/>
      <c r="P19" s="283"/>
      <c r="Q19" s="283"/>
      <c r="R19" s="283"/>
      <c r="S19" s="283"/>
    </row>
    <row r="20" spans="1:19" ht="46" customHeight="1" x14ac:dyDescent="0.55000000000000004">
      <c r="A20" s="35" t="s">
        <v>513</v>
      </c>
      <c r="B20" s="290" t="s">
        <v>514</v>
      </c>
      <c r="C20" s="280"/>
      <c r="D20" s="280"/>
      <c r="E20" s="280"/>
      <c r="F20" s="280"/>
      <c r="G20" s="281"/>
      <c r="H20" s="290" t="s">
        <v>515</v>
      </c>
      <c r="I20" s="280"/>
      <c r="J20" s="280"/>
      <c r="K20" s="280"/>
      <c r="L20" s="280"/>
      <c r="M20" s="281"/>
      <c r="N20" s="290" t="s">
        <v>516</v>
      </c>
      <c r="O20" s="280"/>
      <c r="P20" s="280"/>
      <c r="Q20" s="280"/>
      <c r="R20" s="280"/>
      <c r="S20" s="281"/>
    </row>
    <row r="21" spans="1:19" ht="15" customHeight="1" x14ac:dyDescent="0.55000000000000004">
      <c r="B21" s="282" t="s">
        <v>485</v>
      </c>
      <c r="C21" s="283"/>
      <c r="D21" s="283"/>
      <c r="E21" s="283"/>
      <c r="F21" s="283"/>
      <c r="G21" s="283"/>
      <c r="H21" s="283"/>
      <c r="I21" s="283"/>
      <c r="J21" s="283"/>
      <c r="K21" s="283"/>
      <c r="L21" s="283"/>
      <c r="M21" s="283"/>
      <c r="N21" s="283"/>
      <c r="O21" s="283"/>
      <c r="P21" s="283"/>
      <c r="Q21" s="283"/>
      <c r="R21" s="283"/>
      <c r="S21" s="283"/>
    </row>
    <row r="22" spans="1:19" ht="20.05" customHeight="1" x14ac:dyDescent="0.55000000000000004">
      <c r="A22" s="289" t="s">
        <v>517</v>
      </c>
      <c r="B22" s="283"/>
      <c r="C22" s="283"/>
      <c r="D22" s="283"/>
      <c r="E22" s="283"/>
      <c r="F22" s="283"/>
      <c r="G22" s="283"/>
      <c r="H22" s="283"/>
      <c r="I22" s="283"/>
      <c r="J22" s="283"/>
      <c r="K22" s="283"/>
      <c r="L22" s="283"/>
      <c r="M22" s="283"/>
      <c r="N22" s="283"/>
      <c r="O22" s="283"/>
      <c r="P22" s="283"/>
      <c r="Q22" s="283"/>
      <c r="R22" s="283"/>
      <c r="S22" s="283"/>
    </row>
    <row r="23" spans="1:19" ht="52" customHeight="1" x14ac:dyDescent="0.55000000000000004">
      <c r="A23" s="35" t="s">
        <v>518</v>
      </c>
      <c r="B23" s="290" t="s">
        <v>519</v>
      </c>
      <c r="C23" s="280"/>
      <c r="D23" s="280"/>
      <c r="E23" s="280"/>
      <c r="F23" s="280"/>
      <c r="G23" s="281"/>
      <c r="H23" s="290" t="s">
        <v>520</v>
      </c>
      <c r="I23" s="280"/>
      <c r="J23" s="281"/>
      <c r="K23" s="290" t="s">
        <v>521</v>
      </c>
      <c r="L23" s="280"/>
      <c r="M23" s="281"/>
      <c r="N23" s="290" t="s">
        <v>522</v>
      </c>
      <c r="O23" s="280"/>
      <c r="P23" s="281"/>
      <c r="Q23" s="286" t="s">
        <v>523</v>
      </c>
      <c r="R23" s="280"/>
      <c r="S23" s="281"/>
    </row>
    <row r="26" spans="1:19" ht="20.05" customHeight="1" x14ac:dyDescent="0.55000000000000004">
      <c r="A26" s="295" t="s">
        <v>524</v>
      </c>
      <c r="B26" s="283"/>
      <c r="C26" s="283"/>
      <c r="D26" s="283"/>
      <c r="E26" s="283"/>
      <c r="F26" s="283"/>
      <c r="G26" s="283"/>
      <c r="H26" s="283"/>
      <c r="I26" s="283"/>
      <c r="J26" s="283"/>
      <c r="K26" s="283"/>
      <c r="L26" s="283"/>
      <c r="M26" s="283"/>
      <c r="N26" s="283"/>
      <c r="O26" s="283"/>
      <c r="P26" s="283"/>
      <c r="Q26" s="283"/>
      <c r="R26" s="283"/>
      <c r="S26" s="283"/>
    </row>
    <row r="27" spans="1:19" ht="52" customHeight="1" x14ac:dyDescent="0.55000000000000004">
      <c r="A27" s="35" t="s">
        <v>525</v>
      </c>
      <c r="B27" s="279" t="s">
        <v>526</v>
      </c>
      <c r="C27" s="280"/>
      <c r="D27" s="281"/>
      <c r="E27" s="279" t="s">
        <v>527</v>
      </c>
      <c r="F27" s="280"/>
      <c r="G27" s="281"/>
      <c r="H27" s="287" t="s">
        <v>528</v>
      </c>
      <c r="I27" s="280"/>
      <c r="J27" s="281"/>
      <c r="K27" s="288" t="s">
        <v>529</v>
      </c>
      <c r="L27" s="280"/>
      <c r="M27" s="281"/>
      <c r="N27" s="288" t="s">
        <v>530</v>
      </c>
      <c r="O27" s="280"/>
      <c r="P27" s="281"/>
      <c r="Q27" s="287" t="s">
        <v>531</v>
      </c>
      <c r="R27" s="280"/>
      <c r="S27" s="281"/>
    </row>
    <row r="30" spans="1:19" ht="20.05" customHeight="1" x14ac:dyDescent="0.55000000000000004">
      <c r="A30" s="289" t="s">
        <v>532</v>
      </c>
      <c r="B30" s="283"/>
      <c r="C30" s="283"/>
      <c r="D30" s="283"/>
      <c r="E30" s="283"/>
      <c r="F30" s="283"/>
      <c r="G30" s="283"/>
      <c r="H30" s="283"/>
      <c r="I30" s="283"/>
      <c r="J30" s="283"/>
      <c r="K30" s="283"/>
      <c r="L30" s="283"/>
      <c r="M30" s="283"/>
      <c r="N30" s="283"/>
      <c r="O30" s="283"/>
      <c r="P30" s="283"/>
      <c r="Q30" s="283"/>
      <c r="R30" s="283"/>
      <c r="S30" s="283"/>
    </row>
    <row r="31" spans="1:19" ht="16" customHeight="1" x14ac:dyDescent="0.55000000000000004">
      <c r="A31" s="285" t="s">
        <v>533</v>
      </c>
      <c r="B31" s="283"/>
      <c r="C31" s="283"/>
      <c r="D31" s="283"/>
      <c r="E31" s="283"/>
      <c r="F31" s="283"/>
      <c r="G31" s="283"/>
      <c r="H31" s="283"/>
      <c r="I31" s="283"/>
      <c r="J31" s="283"/>
      <c r="K31" s="283"/>
      <c r="L31" s="283"/>
      <c r="M31" s="283"/>
      <c r="N31" s="283"/>
      <c r="O31" s="283"/>
      <c r="P31" s="283"/>
      <c r="Q31" s="283"/>
      <c r="R31" s="283"/>
      <c r="S31" s="283"/>
    </row>
    <row r="32" spans="1:19" ht="16" customHeight="1" x14ac:dyDescent="0.55000000000000004">
      <c r="A32" s="285" t="s">
        <v>534</v>
      </c>
      <c r="B32" s="283"/>
      <c r="C32" s="283"/>
      <c r="D32" s="283"/>
      <c r="E32" s="283"/>
      <c r="F32" s="283"/>
      <c r="G32" s="283"/>
      <c r="H32" s="283"/>
      <c r="I32" s="283"/>
      <c r="J32" s="283"/>
      <c r="K32" s="283"/>
      <c r="L32" s="283"/>
      <c r="M32" s="283"/>
      <c r="N32" s="283"/>
      <c r="O32" s="283"/>
      <c r="P32" s="283"/>
      <c r="Q32" s="283"/>
      <c r="R32" s="283"/>
      <c r="S32" s="283"/>
    </row>
    <row r="33" spans="1:19" ht="16" customHeight="1" x14ac:dyDescent="0.55000000000000004">
      <c r="A33" s="285" t="s">
        <v>535</v>
      </c>
      <c r="B33" s="283"/>
      <c r="C33" s="283"/>
      <c r="D33" s="283"/>
      <c r="E33" s="283"/>
      <c r="F33" s="283"/>
      <c r="G33" s="283"/>
      <c r="H33" s="283"/>
      <c r="I33" s="283"/>
      <c r="J33" s="283"/>
      <c r="K33" s="283"/>
      <c r="L33" s="283"/>
      <c r="M33" s="283"/>
      <c r="N33" s="283"/>
      <c r="O33" s="283"/>
      <c r="P33" s="283"/>
      <c r="Q33" s="283"/>
      <c r="R33" s="283"/>
      <c r="S33" s="283"/>
    </row>
    <row r="34" spans="1:19" ht="16" customHeight="1" x14ac:dyDescent="0.55000000000000004">
      <c r="A34" s="285" t="s">
        <v>536</v>
      </c>
      <c r="B34" s="283"/>
      <c r="C34" s="283"/>
      <c r="D34" s="283"/>
      <c r="E34" s="283"/>
      <c r="F34" s="283"/>
      <c r="G34" s="283"/>
      <c r="H34" s="283"/>
      <c r="I34" s="283"/>
      <c r="J34" s="283"/>
      <c r="K34" s="283"/>
      <c r="L34" s="283"/>
      <c r="M34" s="283"/>
      <c r="N34" s="283"/>
      <c r="O34" s="283"/>
      <c r="P34" s="283"/>
      <c r="Q34" s="283"/>
      <c r="R34" s="283"/>
      <c r="S34" s="283"/>
    </row>
    <row r="35" spans="1:19" ht="16" customHeight="1" x14ac:dyDescent="0.55000000000000004">
      <c r="A35" s="285" t="s">
        <v>537</v>
      </c>
      <c r="B35" s="283"/>
      <c r="C35" s="283"/>
      <c r="D35" s="283"/>
      <c r="E35" s="283"/>
      <c r="F35" s="283"/>
      <c r="G35" s="283"/>
      <c r="H35" s="283"/>
      <c r="I35" s="283"/>
      <c r="J35" s="283"/>
      <c r="K35" s="283"/>
      <c r="L35" s="283"/>
      <c r="M35" s="283"/>
      <c r="N35" s="283"/>
      <c r="O35" s="283"/>
      <c r="P35" s="283"/>
      <c r="Q35" s="283"/>
      <c r="R35" s="283"/>
      <c r="S35" s="283"/>
    </row>
    <row r="36" spans="1:19" ht="16" customHeight="1" x14ac:dyDescent="0.55000000000000004">
      <c r="A36" s="285" t="s">
        <v>538</v>
      </c>
      <c r="B36" s="283"/>
      <c r="C36" s="283"/>
      <c r="D36" s="283"/>
      <c r="E36" s="283"/>
      <c r="F36" s="283"/>
      <c r="G36" s="283"/>
      <c r="H36" s="283"/>
      <c r="I36" s="283"/>
      <c r="J36" s="283"/>
      <c r="K36" s="283"/>
      <c r="L36" s="283"/>
      <c r="M36" s="283"/>
      <c r="N36" s="283"/>
      <c r="O36" s="283"/>
      <c r="P36" s="283"/>
      <c r="Q36" s="283"/>
      <c r="R36" s="283"/>
      <c r="S36" s="283"/>
    </row>
    <row r="37" spans="1:19" ht="16" customHeight="1" x14ac:dyDescent="0.55000000000000004">
      <c r="A37" s="296" t="s">
        <v>539</v>
      </c>
      <c r="B37" s="283"/>
      <c r="C37" s="283"/>
      <c r="D37" s="283"/>
      <c r="E37" s="283"/>
      <c r="F37" s="283"/>
      <c r="G37" s="283"/>
      <c r="H37" s="283"/>
      <c r="I37" s="283"/>
      <c r="J37" s="283"/>
      <c r="K37" s="283"/>
      <c r="L37" s="283"/>
      <c r="M37" s="283"/>
      <c r="N37" s="283"/>
      <c r="O37" s="283"/>
      <c r="P37" s="283"/>
      <c r="Q37" s="283"/>
      <c r="R37" s="283"/>
      <c r="S37" s="283"/>
    </row>
    <row r="39" spans="1:19" ht="18" customHeight="1" x14ac:dyDescent="0.55000000000000004">
      <c r="A39" s="36" t="s">
        <v>473</v>
      </c>
      <c r="B39" s="299" t="s">
        <v>540</v>
      </c>
      <c r="C39" s="283"/>
      <c r="D39" s="283"/>
      <c r="E39" s="297" t="s">
        <v>541</v>
      </c>
      <c r="F39" s="283"/>
      <c r="G39" s="283"/>
      <c r="H39" s="300" t="s">
        <v>542</v>
      </c>
      <c r="I39" s="283"/>
      <c r="J39" s="283"/>
      <c r="K39" s="293" t="s">
        <v>543</v>
      </c>
      <c r="L39" s="283"/>
      <c r="M39" s="283"/>
      <c r="N39" s="291" t="s">
        <v>45</v>
      </c>
      <c r="O39" s="283"/>
      <c r="P39" s="283"/>
      <c r="Q39" s="298" t="s">
        <v>544</v>
      </c>
      <c r="R39" s="283"/>
      <c r="S39" s="283"/>
    </row>
  </sheetData>
  <mergeCells count="67">
    <mergeCell ref="A1:S1"/>
    <mergeCell ref="H14:M14"/>
    <mergeCell ref="N27:P27"/>
    <mergeCell ref="A26:S26"/>
    <mergeCell ref="H20:M20"/>
    <mergeCell ref="A16:S16"/>
    <mergeCell ref="N20:S20"/>
    <mergeCell ref="A7:S7"/>
    <mergeCell ref="N11:P11"/>
    <mergeCell ref="E5:G5"/>
    <mergeCell ref="K5:M5"/>
    <mergeCell ref="B27:D27"/>
    <mergeCell ref="A2:S2"/>
    <mergeCell ref="K11:M11"/>
    <mergeCell ref="B18:S18"/>
    <mergeCell ref="B6:S6"/>
    <mergeCell ref="Q11:S11"/>
    <mergeCell ref="B20:G20"/>
    <mergeCell ref="B5:D5"/>
    <mergeCell ref="B15:S15"/>
    <mergeCell ref="H5:J5"/>
    <mergeCell ref="A31:S31"/>
    <mergeCell ref="K39:M39"/>
    <mergeCell ref="A34:S34"/>
    <mergeCell ref="B9:S9"/>
    <mergeCell ref="K17:M17"/>
    <mergeCell ref="Q17:S17"/>
    <mergeCell ref="A30:S30"/>
    <mergeCell ref="A36:S36"/>
    <mergeCell ref="H23:J23"/>
    <mergeCell ref="A37:S37"/>
    <mergeCell ref="E39:G39"/>
    <mergeCell ref="Q39:S39"/>
    <mergeCell ref="B39:D39"/>
    <mergeCell ref="H39:J39"/>
    <mergeCell ref="N39:P39"/>
    <mergeCell ref="B8:J8"/>
    <mergeCell ref="B12:S12"/>
    <mergeCell ref="A35:S35"/>
    <mergeCell ref="A4:S4"/>
    <mergeCell ref="H17:J17"/>
    <mergeCell ref="H11:J11"/>
    <mergeCell ref="A10:S10"/>
    <mergeCell ref="K8:S8"/>
    <mergeCell ref="A19:S19"/>
    <mergeCell ref="E11:G11"/>
    <mergeCell ref="E27:G27"/>
    <mergeCell ref="A13:S13"/>
    <mergeCell ref="Q27:S27"/>
    <mergeCell ref="K27:M27"/>
    <mergeCell ref="H27:J27"/>
    <mergeCell ref="B11:D11"/>
    <mergeCell ref="B21:S21"/>
    <mergeCell ref="Q14:S14"/>
    <mergeCell ref="A33:S33"/>
    <mergeCell ref="Q5:S5"/>
    <mergeCell ref="Q23:S23"/>
    <mergeCell ref="B14:G14"/>
    <mergeCell ref="A32:S32"/>
    <mergeCell ref="B17:G17"/>
    <mergeCell ref="N14:P14"/>
    <mergeCell ref="A22:S22"/>
    <mergeCell ref="B23:G23"/>
    <mergeCell ref="N5:P5"/>
    <mergeCell ref="N23:P23"/>
    <mergeCell ref="N17:P17"/>
    <mergeCell ref="K23:M23"/>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9"/>
  <sheetViews>
    <sheetView workbookViewId="0">
      <selection activeCell="J13" sqref="J13"/>
    </sheetView>
  </sheetViews>
  <sheetFormatPr defaultRowHeight="14.4" x14ac:dyDescent="0.55000000000000004"/>
  <cols>
    <col min="1" max="1" width="22" customWidth="1"/>
    <col min="2" max="3" width="9" customWidth="1"/>
    <col min="4" max="4" width="20" customWidth="1"/>
    <col min="5" max="5" width="10" customWidth="1"/>
    <col min="6" max="6" width="13" customWidth="1"/>
  </cols>
  <sheetData>
    <row r="1" spans="1:6" ht="26.05" customHeight="1" x14ac:dyDescent="0.55000000000000004">
      <c r="A1" s="302" t="s">
        <v>545</v>
      </c>
      <c r="B1" s="276"/>
      <c r="C1" s="276"/>
      <c r="D1" s="276"/>
      <c r="E1" s="276"/>
      <c r="F1" s="277"/>
    </row>
    <row r="3" spans="1:6" x14ac:dyDescent="0.55000000000000004">
      <c r="A3" s="1" t="s">
        <v>2</v>
      </c>
      <c r="B3" s="1" t="s">
        <v>546</v>
      </c>
      <c r="C3" s="1" t="s">
        <v>22</v>
      </c>
      <c r="D3" s="1" t="s">
        <v>547</v>
      </c>
      <c r="E3" s="1" t="s">
        <v>145</v>
      </c>
      <c r="F3" s="1" t="s">
        <v>548</v>
      </c>
    </row>
    <row r="4" spans="1:6" x14ac:dyDescent="0.55000000000000004">
      <c r="A4" s="23" t="s">
        <v>20</v>
      </c>
      <c r="B4" s="24">
        <f t="shared" ref="B4:B14" si="0">C4+D4+E4</f>
        <v>4</v>
      </c>
      <c r="C4" s="24">
        <f>COUNTIFS('Delivery Board'!$R$5:$R$500,$A4,'Delivery Board'!$C$5:$C$500,"Done")</f>
        <v>4</v>
      </c>
      <c r="D4" s="24">
        <f>COUNTIFS('Delivery Board'!$R$5:$R$500,$A4,'Delivery Board'!$C$5:$C$500,"Planned")+COUNTIFS('Delivery Board'!$R$5:$R$500,$A4,'Delivery Board'!$C$5:$C$500,"In progress")+COUNTIFS('Delivery Board'!$R$5:$R$500,$A4,'Delivery Board'!$C$5:$C$500,"Milestone")</f>
        <v>0</v>
      </c>
      <c r="E4" s="24">
        <f>COUNTIFS('Delivery Board'!$R$5:$R$500,$A4,'Delivery Board'!$C$5:$C$500,"Blocked")</f>
        <v>0</v>
      </c>
      <c r="F4" s="25">
        <f t="shared" ref="F4:F14" si="1">IF(B4=0,0,C4/B4)</f>
        <v>1</v>
      </c>
    </row>
    <row r="5" spans="1:6" x14ac:dyDescent="0.55000000000000004">
      <c r="A5" s="23" t="s">
        <v>31</v>
      </c>
      <c r="B5" s="24">
        <f t="shared" si="0"/>
        <v>8</v>
      </c>
      <c r="C5" s="24">
        <f>COUNTIFS('Delivery Board'!$R$5:$R$500,$A5,'Delivery Board'!$C$5:$C$500,"Done")</f>
        <v>8</v>
      </c>
      <c r="D5" s="24">
        <f>COUNTIFS('Delivery Board'!$R$5:$R$500,$A5,'Delivery Board'!$C$5:$C$500,"Planned")+COUNTIFS('Delivery Board'!$R$5:$R$500,$A5,'Delivery Board'!$C$5:$C$500,"In progress")+COUNTIFS('Delivery Board'!$R$5:$R$500,$A5,'Delivery Board'!$C$5:$C$500,"Milestone")</f>
        <v>0</v>
      </c>
      <c r="E5" s="24">
        <f>COUNTIFS('Delivery Board'!$R$5:$R$500,$A5,'Delivery Board'!$C$5:$C$500,"Blocked")</f>
        <v>0</v>
      </c>
      <c r="F5" s="25">
        <f t="shared" si="1"/>
        <v>1</v>
      </c>
    </row>
    <row r="6" spans="1:6" x14ac:dyDescent="0.55000000000000004">
      <c r="A6" s="23" t="s">
        <v>43</v>
      </c>
      <c r="B6" s="24">
        <f t="shared" si="0"/>
        <v>3</v>
      </c>
      <c r="C6" s="24">
        <f>COUNTIFS('Delivery Board'!$R$5:$R$500,$A6,'Delivery Board'!$C$5:$C$500,"Done")</f>
        <v>3</v>
      </c>
      <c r="D6" s="24">
        <f>COUNTIFS('Delivery Board'!$R$5:$R$500,$A6,'Delivery Board'!$C$5:$C$500,"Planned")+COUNTIFS('Delivery Board'!$R$5:$R$500,$A6,'Delivery Board'!$C$5:$C$500,"In progress")+COUNTIFS('Delivery Board'!$R$5:$R$500,$A6,'Delivery Board'!$C$5:$C$500,"Milestone")</f>
        <v>0</v>
      </c>
      <c r="E6" s="24">
        <f>COUNTIFS('Delivery Board'!$R$5:$R$500,$A6,'Delivery Board'!$C$5:$C$500,"Blocked")</f>
        <v>0</v>
      </c>
      <c r="F6" s="25">
        <f t="shared" si="1"/>
        <v>1</v>
      </c>
    </row>
    <row r="7" spans="1:6" x14ac:dyDescent="0.55000000000000004">
      <c r="A7" s="23" t="s">
        <v>51</v>
      </c>
      <c r="B7" s="24">
        <f t="shared" si="0"/>
        <v>10</v>
      </c>
      <c r="C7" s="24">
        <f>COUNTIFS('Delivery Board'!$R$5:$R$500,$A7,'Delivery Board'!$C$5:$C$500,"Done")</f>
        <v>9</v>
      </c>
      <c r="D7" s="24">
        <f>COUNTIFS('Delivery Board'!$R$5:$R$500,$A7,'Delivery Board'!$C$5:$C$500,"Planned")+COUNTIFS('Delivery Board'!$R$5:$R$500,$A7,'Delivery Board'!$C$5:$C$500,"In progress")+COUNTIFS('Delivery Board'!$R$5:$R$500,$A7,'Delivery Board'!$C$5:$C$500,"Milestone")</f>
        <v>1</v>
      </c>
      <c r="E7" s="24">
        <f>COUNTIFS('Delivery Board'!$R$5:$R$500,$A7,'Delivery Board'!$C$5:$C$500,"Blocked")</f>
        <v>0</v>
      </c>
      <c r="F7" s="25">
        <f t="shared" si="1"/>
        <v>0.9</v>
      </c>
    </row>
    <row r="8" spans="1:6" x14ac:dyDescent="0.55000000000000004">
      <c r="A8" s="23" t="s">
        <v>62</v>
      </c>
      <c r="B8" s="24">
        <f t="shared" si="0"/>
        <v>23</v>
      </c>
      <c r="C8" s="24">
        <f>COUNTIFS('Delivery Board'!$R$5:$R$500,$A8,'Delivery Board'!$C$5:$C$500,"Done")</f>
        <v>21</v>
      </c>
      <c r="D8" s="24">
        <f>COUNTIFS('Delivery Board'!$R$5:$R$500,$A8,'Delivery Board'!$C$5:$C$500,"Planned")+COUNTIFS('Delivery Board'!$R$5:$R$500,$A8,'Delivery Board'!$C$5:$C$500,"In progress")+COUNTIFS('Delivery Board'!$R$5:$R$500,$A8,'Delivery Board'!$C$5:$C$500,"Milestone")</f>
        <v>2</v>
      </c>
      <c r="E8" s="24">
        <f>COUNTIFS('Delivery Board'!$R$5:$R$500,$A8,'Delivery Board'!$C$5:$C$500,"Blocked")</f>
        <v>0</v>
      </c>
      <c r="F8" s="25">
        <f t="shared" si="1"/>
        <v>0.91304347826086951</v>
      </c>
    </row>
    <row r="9" spans="1:6" x14ac:dyDescent="0.55000000000000004">
      <c r="A9" s="23" t="s">
        <v>73</v>
      </c>
      <c r="B9" s="24">
        <f t="shared" si="0"/>
        <v>8</v>
      </c>
      <c r="C9" s="24">
        <f>COUNTIFS('Delivery Board'!$R$5:$R$500,$A9,'Delivery Board'!$C$5:$C$500,"Done")</f>
        <v>7</v>
      </c>
      <c r="D9" s="24">
        <f>COUNTIFS('Delivery Board'!$R$5:$R$500,$A9,'Delivery Board'!$C$5:$C$500,"Planned")+COUNTIFS('Delivery Board'!$R$5:$R$500,$A9,'Delivery Board'!$C$5:$C$500,"In progress")+COUNTIFS('Delivery Board'!$R$5:$R$500,$A9,'Delivery Board'!$C$5:$C$500,"Milestone")</f>
        <v>1</v>
      </c>
      <c r="E9" s="24">
        <f>COUNTIFS('Delivery Board'!$R$5:$R$500,$A9,'Delivery Board'!$C$5:$C$500,"Blocked")</f>
        <v>0</v>
      </c>
      <c r="F9" s="25">
        <f t="shared" si="1"/>
        <v>0.875</v>
      </c>
    </row>
    <row r="10" spans="1:6" x14ac:dyDescent="0.55000000000000004">
      <c r="A10" s="23" t="s">
        <v>83</v>
      </c>
      <c r="B10" s="24">
        <f t="shared" si="0"/>
        <v>17</v>
      </c>
      <c r="C10" s="24">
        <f>COUNTIFS('Delivery Board'!$R$5:$R$500,$A10,'Delivery Board'!$C$5:$C$500,"Done")</f>
        <v>13</v>
      </c>
      <c r="D10" s="24">
        <f>COUNTIFS('Delivery Board'!$R$5:$R$500,$A10,'Delivery Board'!$C$5:$C$500,"Planned")+COUNTIFS('Delivery Board'!$R$5:$R$500,$A10,'Delivery Board'!$C$5:$C$500,"In progress")+COUNTIFS('Delivery Board'!$R$5:$R$500,$A10,'Delivery Board'!$C$5:$C$500,"Milestone")</f>
        <v>4</v>
      </c>
      <c r="E10" s="24">
        <f>COUNTIFS('Delivery Board'!$R$5:$R$500,$A10,'Delivery Board'!$C$5:$C$500,"Blocked")</f>
        <v>0</v>
      </c>
      <c r="F10" s="25">
        <f t="shared" si="1"/>
        <v>0.76470588235294112</v>
      </c>
    </row>
    <row r="11" spans="1:6" x14ac:dyDescent="0.55000000000000004">
      <c r="A11" s="23" t="s">
        <v>99</v>
      </c>
      <c r="B11" s="24">
        <f t="shared" si="0"/>
        <v>47</v>
      </c>
      <c r="C11" s="24">
        <f>COUNTIFS('Delivery Board'!$R$5:$R$500,$A11,'Delivery Board'!$C$5:$C$500,"Done")</f>
        <v>39</v>
      </c>
      <c r="D11" s="24">
        <f>COUNTIFS('Delivery Board'!$R$5:$R$500,$A11,'Delivery Board'!$C$5:$C$500,"Planned")+COUNTIFS('Delivery Board'!$R$5:$R$500,$A11,'Delivery Board'!$C$5:$C$500,"In progress")+COUNTIFS('Delivery Board'!$R$5:$R$500,$A11,'Delivery Board'!$C$5:$C$500,"Milestone")</f>
        <v>8</v>
      </c>
      <c r="E11" s="24">
        <f>COUNTIFS('Delivery Board'!$R$5:$R$500,$A11,'Delivery Board'!$C$5:$C$500,"Blocked")</f>
        <v>0</v>
      </c>
      <c r="F11" s="25">
        <f t="shared" si="1"/>
        <v>0.82978723404255317</v>
      </c>
    </row>
    <row r="12" spans="1:6" x14ac:dyDescent="0.55000000000000004">
      <c r="A12" s="23" t="s">
        <v>130</v>
      </c>
      <c r="B12" s="24">
        <f t="shared" si="0"/>
        <v>39</v>
      </c>
      <c r="C12" s="24">
        <f>COUNTIFS('Delivery Board'!$R$5:$R$500,$A12,'Delivery Board'!$C$5:$C$500,"Done")</f>
        <v>24</v>
      </c>
      <c r="D12" s="24">
        <f>COUNTIFS('Delivery Board'!$R$5:$R$500,$A12,'Delivery Board'!$C$5:$C$500,"Planned")+COUNTIFS('Delivery Board'!$R$5:$R$500,$A12,'Delivery Board'!$C$5:$C$500,"In progress")+COUNTIFS('Delivery Board'!$R$5:$R$500,$A12,'Delivery Board'!$C$5:$C$500,"Milestone")</f>
        <v>14</v>
      </c>
      <c r="E12" s="24">
        <f>COUNTIFS('Delivery Board'!$R$5:$R$500,$A12,'Delivery Board'!$C$5:$C$500,"Blocked")</f>
        <v>1</v>
      </c>
      <c r="F12" s="25">
        <f t="shared" si="1"/>
        <v>0.61538461538461542</v>
      </c>
    </row>
    <row r="13" spans="1:6" x14ac:dyDescent="0.55000000000000004">
      <c r="A13" s="23" t="s">
        <v>162</v>
      </c>
      <c r="B13" s="24">
        <f t="shared" si="0"/>
        <v>32</v>
      </c>
      <c r="C13" s="24">
        <f>COUNTIFS('Delivery Board'!$R$5:$R$500,$A13,'Delivery Board'!$C$5:$C$500,"Done")</f>
        <v>23</v>
      </c>
      <c r="D13" s="24">
        <f>COUNTIFS('Delivery Board'!$R$5:$R$500,$A13,'Delivery Board'!$C$5:$C$500,"Planned")+COUNTIFS('Delivery Board'!$R$5:$R$500,$A13,'Delivery Board'!$C$5:$C$500,"In progress")+COUNTIFS('Delivery Board'!$R$5:$R$500,$A13,'Delivery Board'!$C$5:$C$500,"Milestone")</f>
        <v>9</v>
      </c>
      <c r="E13" s="24">
        <f>COUNTIFS('Delivery Board'!$R$5:$R$500,$A13,'Delivery Board'!$C$5:$C$500,"Blocked")</f>
        <v>0</v>
      </c>
      <c r="F13" s="25">
        <f t="shared" si="1"/>
        <v>0.71875</v>
      </c>
    </row>
    <row r="14" spans="1:6" x14ac:dyDescent="0.55000000000000004">
      <c r="A14" s="23" t="s">
        <v>191</v>
      </c>
      <c r="B14" s="24">
        <f t="shared" si="0"/>
        <v>23</v>
      </c>
      <c r="C14" s="24">
        <f>COUNTIFS('Delivery Board'!$R$5:$R$500,$A14,'Delivery Board'!$C$5:$C$500,"Done")</f>
        <v>17</v>
      </c>
      <c r="D14" s="24">
        <f>COUNTIFS('Delivery Board'!$R$5:$R$500,$A14,'Delivery Board'!$C$5:$C$500,"Planned")+COUNTIFS('Delivery Board'!$R$5:$R$500,$A14,'Delivery Board'!$C$5:$C$500,"In progress")+COUNTIFS('Delivery Board'!$R$5:$R$500,$A14,'Delivery Board'!$C$5:$C$500,"Milestone")</f>
        <v>6</v>
      </c>
      <c r="E14" s="24">
        <f>COUNTIFS('Delivery Board'!$R$5:$R$500,$A14,'Delivery Board'!$C$5:$C$500,"Blocked")</f>
        <v>0</v>
      </c>
      <c r="F14" s="25">
        <f t="shared" si="1"/>
        <v>0.73913043478260865</v>
      </c>
    </row>
    <row r="16" spans="1:6" x14ac:dyDescent="0.55000000000000004">
      <c r="A16" s="26" t="s">
        <v>549</v>
      </c>
      <c r="B16" s="27">
        <f>SUM(B4:B14)</f>
        <v>214</v>
      </c>
      <c r="C16" s="27">
        <f>SUM(C4:C14)</f>
        <v>168</v>
      </c>
      <c r="D16">
        <f>SUM(D4:D14)</f>
        <v>45</v>
      </c>
      <c r="E16">
        <f>SUM(E4:E14)</f>
        <v>1</v>
      </c>
      <c r="F16" s="28">
        <f>IF(B16=0,0,C16/B16)</f>
        <v>0.78504672897196259</v>
      </c>
    </row>
    <row r="18" spans="1:2" x14ac:dyDescent="0.55000000000000004">
      <c r="A18" s="41" t="s">
        <v>550</v>
      </c>
      <c r="B18" s="42">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0</v>
      </c>
    </row>
    <row r="19" spans="1:2" x14ac:dyDescent="0.55000000000000004">
      <c r="A19" s="43" t="s">
        <v>551</v>
      </c>
    </row>
  </sheetData>
  <mergeCells count="1">
    <mergeCell ref="A1:F1"/>
  </mergeCells>
  <conditionalFormatting sqref="F4:F14">
    <cfRule type="cellIs" dxfId="1" priority="1" operator="greaterThanOrEqual">
      <formula>0.99</formula>
    </cfRule>
    <cfRule type="cellIs" dxfId="0" priority="2" operator="lessThan">
      <formula>0.5</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72"/>
  <sheetViews>
    <sheetView workbookViewId="0">
      <pane ySplit="3" topLeftCell="A4" activePane="bottomLeft" state="frozen"/>
      <selection pane="bottomLeft" sqref="A1:E1"/>
    </sheetView>
  </sheetViews>
  <sheetFormatPr defaultRowHeight="14.4" x14ac:dyDescent="0.55000000000000004"/>
  <cols>
    <col min="1" max="1" width="34" customWidth="1"/>
    <col min="2" max="2" width="13" customWidth="1"/>
    <col min="3" max="3" width="11" customWidth="1"/>
    <col min="4" max="4" width="12" customWidth="1"/>
    <col min="5" max="5" width="62" customWidth="1"/>
  </cols>
  <sheetData>
    <row r="1" spans="1:5" ht="26.05" customHeight="1" x14ac:dyDescent="0.55000000000000004">
      <c r="A1" s="302" t="s">
        <v>552</v>
      </c>
      <c r="B1" s="276"/>
      <c r="C1" s="276"/>
      <c r="D1" s="276"/>
      <c r="E1" s="277"/>
    </row>
    <row r="3" spans="1:5" x14ac:dyDescent="0.55000000000000004">
      <c r="A3" s="29" t="s">
        <v>553</v>
      </c>
      <c r="B3" s="29" t="s">
        <v>554</v>
      </c>
      <c r="C3" s="29" t="s">
        <v>555</v>
      </c>
      <c r="D3" s="29" t="s">
        <v>4</v>
      </c>
      <c r="E3" s="29" t="s">
        <v>556</v>
      </c>
    </row>
    <row r="4" spans="1:5" ht="28" customHeight="1" x14ac:dyDescent="0.55000000000000004">
      <c r="A4" s="30" t="s">
        <v>557</v>
      </c>
      <c r="B4" s="11" t="s">
        <v>558</v>
      </c>
      <c r="C4" s="21" t="s">
        <v>559</v>
      </c>
      <c r="D4" s="11" t="s">
        <v>560</v>
      </c>
      <c r="E4" s="31" t="s">
        <v>561</v>
      </c>
    </row>
    <row r="5" spans="1:5" ht="28" customHeight="1" x14ac:dyDescent="0.55000000000000004">
      <c r="A5" s="32" t="s">
        <v>562</v>
      </c>
      <c r="B5" s="6" t="s">
        <v>558</v>
      </c>
      <c r="C5" s="19" t="s">
        <v>563</v>
      </c>
      <c r="D5" s="6" t="s">
        <v>560</v>
      </c>
      <c r="E5" s="33" t="s">
        <v>564</v>
      </c>
    </row>
    <row r="6" spans="1:5" ht="28" customHeight="1" x14ac:dyDescent="0.55000000000000004">
      <c r="A6" s="30" t="s">
        <v>565</v>
      </c>
      <c r="B6" s="11" t="s">
        <v>566</v>
      </c>
      <c r="C6" s="21" t="s">
        <v>559</v>
      </c>
      <c r="D6" s="11" t="s">
        <v>128</v>
      </c>
      <c r="E6" s="31" t="s">
        <v>567</v>
      </c>
    </row>
    <row r="7" spans="1:5" ht="28" customHeight="1" x14ac:dyDescent="0.55000000000000004">
      <c r="A7" s="32" t="s">
        <v>568</v>
      </c>
      <c r="B7" s="6" t="s">
        <v>558</v>
      </c>
      <c r="C7" s="19" t="s">
        <v>563</v>
      </c>
      <c r="D7" s="6" t="s">
        <v>128</v>
      </c>
      <c r="E7" s="33" t="s">
        <v>569</v>
      </c>
    </row>
    <row r="8" spans="1:5" ht="28" customHeight="1" x14ac:dyDescent="0.55000000000000004">
      <c r="A8" s="30" t="s">
        <v>570</v>
      </c>
      <c r="B8" s="11" t="s">
        <v>566</v>
      </c>
      <c r="C8" s="17" t="s">
        <v>571</v>
      </c>
      <c r="D8" s="11" t="s">
        <v>572</v>
      </c>
      <c r="E8" s="31" t="s">
        <v>573</v>
      </c>
    </row>
    <row r="9" spans="1:5" ht="28" customHeight="1" x14ac:dyDescent="0.55000000000000004">
      <c r="A9" s="32" t="s">
        <v>574</v>
      </c>
      <c r="B9" s="6" t="s">
        <v>558</v>
      </c>
      <c r="C9" s="19" t="s">
        <v>563</v>
      </c>
      <c r="D9" s="6" t="s">
        <v>575</v>
      </c>
      <c r="E9" s="33" t="s">
        <v>576</v>
      </c>
    </row>
    <row r="10" spans="1:5" ht="28" customHeight="1" x14ac:dyDescent="0.55000000000000004">
      <c r="A10" s="30" t="s">
        <v>577</v>
      </c>
      <c r="B10" s="11" t="s">
        <v>578</v>
      </c>
      <c r="C10" s="17" t="s">
        <v>571</v>
      </c>
      <c r="D10" s="11" t="s">
        <v>560</v>
      </c>
      <c r="E10" s="31" t="s">
        <v>579</v>
      </c>
    </row>
    <row r="11" spans="1:5" ht="28" customHeight="1" x14ac:dyDescent="0.55000000000000004">
      <c r="A11" s="32" t="s">
        <v>580</v>
      </c>
      <c r="B11" s="6" t="s">
        <v>566</v>
      </c>
      <c r="C11" s="19" t="s">
        <v>563</v>
      </c>
      <c r="D11" s="6" t="s">
        <v>128</v>
      </c>
      <c r="E11" s="33" t="s">
        <v>581</v>
      </c>
    </row>
    <row r="12" spans="1:5" ht="28" customHeight="1" x14ac:dyDescent="0.55000000000000004">
      <c r="A12" s="30" t="s">
        <v>582</v>
      </c>
      <c r="B12" s="11" t="s">
        <v>566</v>
      </c>
      <c r="C12" s="34" t="s">
        <v>583</v>
      </c>
      <c r="D12" s="11" t="s">
        <v>584</v>
      </c>
      <c r="E12" s="31" t="s">
        <v>585</v>
      </c>
    </row>
    <row r="13" spans="1:5" ht="28" customHeight="1" x14ac:dyDescent="0.55000000000000004">
      <c r="A13" s="32" t="s">
        <v>586</v>
      </c>
      <c r="B13" s="6" t="s">
        <v>566</v>
      </c>
      <c r="C13" s="17" t="s">
        <v>571</v>
      </c>
      <c r="D13" s="6" t="s">
        <v>584</v>
      </c>
      <c r="E13" s="33" t="s">
        <v>587</v>
      </c>
    </row>
    <row r="14" spans="1:5" ht="28" customHeight="1" x14ac:dyDescent="0.55000000000000004">
      <c r="A14" s="30" t="s">
        <v>588</v>
      </c>
      <c r="B14" s="11" t="s">
        <v>558</v>
      </c>
      <c r="C14" s="17" t="s">
        <v>571</v>
      </c>
      <c r="D14" s="11" t="s">
        <v>128</v>
      </c>
      <c r="E14" s="31" t="s">
        <v>589</v>
      </c>
    </row>
    <row r="15" spans="1:5" ht="28" customHeight="1" x14ac:dyDescent="0.55000000000000004">
      <c r="A15" s="32" t="s">
        <v>590</v>
      </c>
      <c r="B15" s="6" t="s">
        <v>558</v>
      </c>
      <c r="C15" s="17" t="s">
        <v>571</v>
      </c>
      <c r="D15" s="6" t="s">
        <v>560</v>
      </c>
      <c r="E15" s="33" t="s">
        <v>591</v>
      </c>
    </row>
    <row r="16" spans="1:5" ht="30" customHeight="1" x14ac:dyDescent="0.55000000000000004">
      <c r="A16" s="30" t="s">
        <v>592</v>
      </c>
      <c r="B16" s="11" t="s">
        <v>558</v>
      </c>
      <c r="C16" s="19" t="s">
        <v>563</v>
      </c>
      <c r="D16" s="11" t="s">
        <v>593</v>
      </c>
      <c r="E16" s="31" t="s">
        <v>594</v>
      </c>
    </row>
    <row r="17" spans="1:5" ht="30" customHeight="1" x14ac:dyDescent="0.55000000000000004">
      <c r="A17" s="32" t="s">
        <v>595</v>
      </c>
      <c r="B17" s="6" t="s">
        <v>558</v>
      </c>
      <c r="C17" s="21" t="s">
        <v>559</v>
      </c>
      <c r="D17" s="6" t="s">
        <v>560</v>
      </c>
      <c r="E17" s="33" t="s">
        <v>596</v>
      </c>
    </row>
    <row r="18" spans="1:5" ht="30" customHeight="1" x14ac:dyDescent="0.55000000000000004">
      <c r="A18" s="30" t="s">
        <v>597</v>
      </c>
      <c r="B18" s="11" t="s">
        <v>566</v>
      </c>
      <c r="C18" s="17" t="s">
        <v>571</v>
      </c>
      <c r="D18" s="11" t="s">
        <v>572</v>
      </c>
      <c r="E18" s="31" t="s">
        <v>598</v>
      </c>
    </row>
    <row r="19" spans="1:5" ht="30" customHeight="1" x14ac:dyDescent="0.55000000000000004">
      <c r="A19" s="32" t="s">
        <v>599</v>
      </c>
      <c r="B19" s="6" t="s">
        <v>558</v>
      </c>
      <c r="C19" s="17" t="s">
        <v>571</v>
      </c>
      <c r="D19" s="6" t="s">
        <v>560</v>
      </c>
      <c r="E19" s="33" t="s">
        <v>600</v>
      </c>
    </row>
    <row r="20" spans="1:5" ht="32.049999999999997" customHeight="1" x14ac:dyDescent="0.55000000000000004">
      <c r="A20" s="30" t="s">
        <v>601</v>
      </c>
      <c r="B20" s="11" t="s">
        <v>602</v>
      </c>
      <c r="C20" s="21" t="s">
        <v>559</v>
      </c>
      <c r="D20" s="11" t="s">
        <v>603</v>
      </c>
      <c r="E20" s="31" t="s">
        <v>604</v>
      </c>
    </row>
    <row r="21" spans="1:5" ht="32.049999999999997" customHeight="1" x14ac:dyDescent="0.55000000000000004">
      <c r="A21" s="32" t="s">
        <v>605</v>
      </c>
      <c r="B21" s="6" t="s">
        <v>558</v>
      </c>
      <c r="C21" s="19" t="s">
        <v>563</v>
      </c>
      <c r="D21" s="6" t="s">
        <v>593</v>
      </c>
      <c r="E21" s="33" t="s">
        <v>606</v>
      </c>
    </row>
    <row r="22" spans="1:5" ht="32.049999999999997" customHeight="1" x14ac:dyDescent="0.55000000000000004">
      <c r="A22" s="30" t="s">
        <v>607</v>
      </c>
      <c r="B22" s="11" t="s">
        <v>608</v>
      </c>
      <c r="C22" s="17" t="s">
        <v>571</v>
      </c>
      <c r="D22" s="11" t="s">
        <v>560</v>
      </c>
      <c r="E22" s="31" t="s">
        <v>609</v>
      </c>
    </row>
    <row r="23" spans="1:5" ht="32.049999999999997" customHeight="1" x14ac:dyDescent="0.55000000000000004">
      <c r="A23" s="32" t="s">
        <v>610</v>
      </c>
      <c r="B23" s="6" t="s">
        <v>608</v>
      </c>
      <c r="C23" s="17" t="s">
        <v>571</v>
      </c>
      <c r="D23" s="6" t="s">
        <v>560</v>
      </c>
      <c r="E23" s="33" t="s">
        <v>611</v>
      </c>
    </row>
    <row r="24" spans="1:5" ht="32.049999999999997" customHeight="1" x14ac:dyDescent="0.55000000000000004">
      <c r="A24" s="30" t="s">
        <v>612</v>
      </c>
      <c r="B24" s="11" t="s">
        <v>608</v>
      </c>
      <c r="C24" s="17" t="s">
        <v>571</v>
      </c>
      <c r="D24" s="11" t="s">
        <v>560</v>
      </c>
      <c r="E24" s="31" t="s">
        <v>613</v>
      </c>
    </row>
    <row r="25" spans="1:5" ht="32.049999999999997" customHeight="1" x14ac:dyDescent="0.55000000000000004">
      <c r="A25" s="53" t="s">
        <v>614</v>
      </c>
      <c r="B25" s="51" t="s">
        <v>572</v>
      </c>
      <c r="C25" s="54" t="s">
        <v>571</v>
      </c>
      <c r="D25" s="51" t="s">
        <v>560</v>
      </c>
      <c r="E25" s="55" t="s">
        <v>615</v>
      </c>
    </row>
    <row r="26" spans="1:5" ht="32.049999999999997" customHeight="1" x14ac:dyDescent="0.55000000000000004">
      <c r="A26" s="56" t="s">
        <v>616</v>
      </c>
      <c r="B26" s="46" t="s">
        <v>608</v>
      </c>
      <c r="C26" s="54" t="s">
        <v>583</v>
      </c>
      <c r="D26" s="46" t="s">
        <v>603</v>
      </c>
      <c r="E26" s="57" t="s">
        <v>617</v>
      </c>
    </row>
    <row r="27" spans="1:5" ht="32.049999999999997" customHeight="1" x14ac:dyDescent="0.55000000000000004">
      <c r="A27" s="53" t="s">
        <v>618</v>
      </c>
      <c r="B27" s="51" t="s">
        <v>572</v>
      </c>
      <c r="C27" s="54" t="s">
        <v>583</v>
      </c>
      <c r="D27" s="51" t="s">
        <v>560</v>
      </c>
      <c r="E27" s="55" t="s">
        <v>619</v>
      </c>
    </row>
    <row r="28" spans="1:5" ht="46" customHeight="1" x14ac:dyDescent="0.55000000000000004">
      <c r="A28" s="71" t="s">
        <v>620</v>
      </c>
      <c r="B28" s="60" t="s">
        <v>572</v>
      </c>
      <c r="C28" s="67" t="s">
        <v>563</v>
      </c>
      <c r="D28" s="94" t="s">
        <v>603</v>
      </c>
      <c r="E28" s="94" t="s">
        <v>621</v>
      </c>
    </row>
    <row r="29" spans="1:5" ht="46" customHeight="1" x14ac:dyDescent="0.55000000000000004">
      <c r="A29" s="72" t="s">
        <v>622</v>
      </c>
      <c r="B29" s="65" t="s">
        <v>558</v>
      </c>
      <c r="C29" s="69" t="s">
        <v>571</v>
      </c>
      <c r="D29" s="93" t="s">
        <v>603</v>
      </c>
      <c r="E29" s="93" t="s">
        <v>623</v>
      </c>
    </row>
    <row r="30" spans="1:5" ht="32.049999999999997" customHeight="1" x14ac:dyDescent="0.55000000000000004">
      <c r="A30" s="78" t="s">
        <v>624</v>
      </c>
      <c r="B30" s="75" t="s">
        <v>558</v>
      </c>
      <c r="C30" s="79" t="s">
        <v>571</v>
      </c>
      <c r="D30" s="75" t="s">
        <v>560</v>
      </c>
      <c r="E30" s="80" t="s">
        <v>625</v>
      </c>
    </row>
    <row r="31" spans="1:5" ht="32.049999999999997" customHeight="1" x14ac:dyDescent="0.55000000000000004">
      <c r="A31" s="92" t="s">
        <v>626</v>
      </c>
      <c r="B31" s="83" t="s">
        <v>608</v>
      </c>
      <c r="C31" s="90" t="s">
        <v>571</v>
      </c>
      <c r="D31" s="83" t="s">
        <v>627</v>
      </c>
      <c r="E31" s="93" t="s">
        <v>628</v>
      </c>
    </row>
    <row r="32" spans="1:5" ht="32.049999999999997" customHeight="1" x14ac:dyDescent="0.55000000000000004">
      <c r="A32" s="106" t="s">
        <v>629</v>
      </c>
      <c r="B32" s="102" t="s">
        <v>572</v>
      </c>
      <c r="C32" s="104" t="s">
        <v>571</v>
      </c>
      <c r="D32" s="102" t="s">
        <v>603</v>
      </c>
      <c r="E32" s="107" t="s">
        <v>630</v>
      </c>
    </row>
    <row r="33" spans="1:5" ht="32.049999999999997" customHeight="1" x14ac:dyDescent="0.55000000000000004">
      <c r="A33" s="108" t="s">
        <v>631</v>
      </c>
      <c r="B33" s="97" t="s">
        <v>558</v>
      </c>
      <c r="C33" s="104" t="s">
        <v>571</v>
      </c>
      <c r="D33" s="97" t="s">
        <v>593</v>
      </c>
      <c r="E33" s="109" t="s">
        <v>632</v>
      </c>
    </row>
    <row r="34" spans="1:5" ht="32.049999999999997" customHeight="1" x14ac:dyDescent="0.55000000000000004">
      <c r="A34" s="134" t="s">
        <v>633</v>
      </c>
      <c r="B34" s="129" t="s">
        <v>608</v>
      </c>
      <c r="C34" s="123" t="s">
        <v>563</v>
      </c>
      <c r="D34" s="129" t="s">
        <v>560</v>
      </c>
      <c r="E34" s="135" t="s">
        <v>634</v>
      </c>
    </row>
    <row r="35" spans="1:5" ht="32.049999999999997" customHeight="1" x14ac:dyDescent="0.55000000000000004">
      <c r="A35" s="136" t="s">
        <v>635</v>
      </c>
      <c r="B35" s="124" t="s">
        <v>558</v>
      </c>
      <c r="C35" s="132" t="s">
        <v>571</v>
      </c>
      <c r="D35" s="124" t="s">
        <v>560</v>
      </c>
      <c r="E35" s="137" t="s">
        <v>636</v>
      </c>
    </row>
    <row r="36" spans="1:5" ht="74.05" customHeight="1" x14ac:dyDescent="0.55000000000000004">
      <c r="A36" s="147" t="s">
        <v>570</v>
      </c>
      <c r="B36" s="145" t="s">
        <v>558</v>
      </c>
      <c r="C36" s="148" t="s">
        <v>559</v>
      </c>
      <c r="D36" s="153" t="s">
        <v>637</v>
      </c>
      <c r="E36" s="153" t="s">
        <v>638</v>
      </c>
    </row>
    <row r="37" spans="1:5" ht="32.049999999999997" customHeight="1" x14ac:dyDescent="0.55000000000000004">
      <c r="A37" s="150" t="s">
        <v>639</v>
      </c>
      <c r="B37" s="140" t="s">
        <v>608</v>
      </c>
      <c r="C37" s="151" t="s">
        <v>571</v>
      </c>
      <c r="D37" s="140" t="s">
        <v>560</v>
      </c>
      <c r="E37" s="152" t="s">
        <v>640</v>
      </c>
    </row>
    <row r="38" spans="1:5" ht="32.049999999999997" customHeight="1" x14ac:dyDescent="0.55000000000000004">
      <c r="A38" s="147" t="s">
        <v>641</v>
      </c>
      <c r="B38" s="145" t="s">
        <v>608</v>
      </c>
      <c r="C38" s="151" t="s">
        <v>583</v>
      </c>
      <c r="D38" s="145" t="s">
        <v>560</v>
      </c>
      <c r="E38" s="149" t="s">
        <v>642</v>
      </c>
    </row>
    <row r="39" spans="1:5" ht="32.049999999999997" customHeight="1" x14ac:dyDescent="0.55000000000000004">
      <c r="A39" s="160" t="s">
        <v>643</v>
      </c>
      <c r="B39" s="157" t="s">
        <v>558</v>
      </c>
      <c r="C39" s="161" t="s">
        <v>563</v>
      </c>
      <c r="D39" s="157" t="s">
        <v>560</v>
      </c>
      <c r="E39" s="162" t="s">
        <v>644</v>
      </c>
    </row>
    <row r="40" spans="1:5" ht="32.049999999999997" customHeight="1" x14ac:dyDescent="0.55000000000000004">
      <c r="A40" s="168" t="s">
        <v>645</v>
      </c>
      <c r="B40" s="165" t="s">
        <v>608</v>
      </c>
      <c r="C40" s="169" t="s">
        <v>563</v>
      </c>
      <c r="D40" s="165" t="s">
        <v>560</v>
      </c>
      <c r="E40" s="170" t="s">
        <v>646</v>
      </c>
    </row>
    <row r="41" spans="1:5" ht="32.049999999999997" customHeight="1" x14ac:dyDescent="0.55000000000000004">
      <c r="A41" s="171" t="s">
        <v>140</v>
      </c>
      <c r="B41" s="172" t="s">
        <v>572</v>
      </c>
      <c r="C41" s="173" t="s">
        <v>571</v>
      </c>
      <c r="D41" s="172" t="s">
        <v>603</v>
      </c>
      <c r="E41" s="174" t="s">
        <v>647</v>
      </c>
    </row>
    <row r="42" spans="1:5" ht="32.049999999999997" customHeight="1" x14ac:dyDescent="0.55000000000000004">
      <c r="A42" s="188" t="s">
        <v>648</v>
      </c>
      <c r="B42" s="183" t="s">
        <v>608</v>
      </c>
      <c r="C42" s="177" t="s">
        <v>563</v>
      </c>
      <c r="D42" s="183" t="s">
        <v>560</v>
      </c>
      <c r="E42" s="189" t="s">
        <v>649</v>
      </c>
    </row>
    <row r="43" spans="1:5" ht="32.049999999999997" customHeight="1" x14ac:dyDescent="0.55000000000000004">
      <c r="A43" s="190" t="s">
        <v>650</v>
      </c>
      <c r="B43" s="178" t="s">
        <v>558</v>
      </c>
      <c r="C43" s="186" t="s">
        <v>571</v>
      </c>
      <c r="D43" s="178" t="s">
        <v>593</v>
      </c>
      <c r="E43" s="191" t="s">
        <v>651</v>
      </c>
    </row>
    <row r="44" spans="1:5" ht="32.049999999999997" customHeight="1" x14ac:dyDescent="0.55000000000000004">
      <c r="A44" s="188" t="s">
        <v>652</v>
      </c>
      <c r="B44" s="183" t="s">
        <v>608</v>
      </c>
      <c r="C44" s="186" t="s">
        <v>571</v>
      </c>
      <c r="D44" s="183" t="s">
        <v>603</v>
      </c>
      <c r="E44" s="189" t="s">
        <v>653</v>
      </c>
    </row>
    <row r="45" spans="1:5" ht="32.049999999999997" customHeight="1" x14ac:dyDescent="0.55000000000000004">
      <c r="A45" s="190" t="s">
        <v>654</v>
      </c>
      <c r="B45" s="178" t="s">
        <v>572</v>
      </c>
      <c r="C45" s="186" t="s">
        <v>583</v>
      </c>
      <c r="D45" s="178" t="s">
        <v>560</v>
      </c>
      <c r="E45" s="191" t="s">
        <v>655</v>
      </c>
    </row>
    <row r="46" spans="1:5" ht="32.049999999999997" customHeight="1" x14ac:dyDescent="0.55000000000000004">
      <c r="A46" s="206" t="s">
        <v>656</v>
      </c>
      <c r="B46" s="194" t="s">
        <v>572</v>
      </c>
      <c r="C46" s="199" t="s">
        <v>563</v>
      </c>
      <c r="D46" s="194" t="s">
        <v>560</v>
      </c>
      <c r="E46" s="207" t="s">
        <v>657</v>
      </c>
    </row>
    <row r="47" spans="1:5" ht="32.049999999999997" customHeight="1" x14ac:dyDescent="0.55000000000000004">
      <c r="A47" s="208" t="s">
        <v>658</v>
      </c>
      <c r="B47" s="200" t="s">
        <v>558</v>
      </c>
      <c r="C47" s="203" t="s">
        <v>571</v>
      </c>
      <c r="D47" s="200" t="s">
        <v>560</v>
      </c>
      <c r="E47" s="209" t="s">
        <v>659</v>
      </c>
    </row>
    <row r="48" spans="1:5" ht="32.049999999999997" customHeight="1" x14ac:dyDescent="0.55000000000000004">
      <c r="A48" s="206" t="s">
        <v>660</v>
      </c>
      <c r="B48" s="194" t="s">
        <v>572</v>
      </c>
      <c r="C48" s="203" t="s">
        <v>571</v>
      </c>
      <c r="D48" s="194" t="s">
        <v>560</v>
      </c>
      <c r="E48" s="207" t="s">
        <v>661</v>
      </c>
    </row>
    <row r="49" spans="1:5" x14ac:dyDescent="0.55000000000000004">
      <c r="A49" t="s">
        <v>662</v>
      </c>
      <c r="B49" t="s">
        <v>558</v>
      </c>
      <c r="C49" t="s">
        <v>571</v>
      </c>
      <c r="D49" t="s">
        <v>560</v>
      </c>
      <c r="E49" t="s">
        <v>663</v>
      </c>
    </row>
    <row r="50" spans="1:5" x14ac:dyDescent="0.55000000000000004">
      <c r="A50" t="s">
        <v>664</v>
      </c>
      <c r="B50" t="s">
        <v>558</v>
      </c>
      <c r="C50" t="s">
        <v>571</v>
      </c>
      <c r="D50" t="s">
        <v>560</v>
      </c>
      <c r="E50" t="s">
        <v>665</v>
      </c>
    </row>
    <row r="51" spans="1:5" x14ac:dyDescent="0.55000000000000004">
      <c r="A51" t="s">
        <v>666</v>
      </c>
      <c r="B51" t="s">
        <v>558</v>
      </c>
      <c r="C51" t="s">
        <v>571</v>
      </c>
      <c r="D51" t="s">
        <v>560</v>
      </c>
      <c r="E51" t="s">
        <v>667</v>
      </c>
    </row>
    <row r="52" spans="1:5" x14ac:dyDescent="0.55000000000000004">
      <c r="A52" t="s">
        <v>668</v>
      </c>
      <c r="B52" t="s">
        <v>572</v>
      </c>
      <c r="C52" t="s">
        <v>669</v>
      </c>
      <c r="D52" t="s">
        <v>603</v>
      </c>
      <c r="E52" t="s">
        <v>670</v>
      </c>
    </row>
    <row r="53" spans="1:5" x14ac:dyDescent="0.55000000000000004">
      <c r="A53" t="s">
        <v>671</v>
      </c>
      <c r="B53" t="s">
        <v>572</v>
      </c>
      <c r="C53" t="s">
        <v>669</v>
      </c>
      <c r="D53" t="s">
        <v>603</v>
      </c>
      <c r="E53" t="s">
        <v>672</v>
      </c>
    </row>
    <row r="54" spans="1:5" ht="57.6" customHeight="1" x14ac:dyDescent="0.55000000000000004">
      <c r="A54" s="215" t="s">
        <v>673</v>
      </c>
      <c r="B54" s="215" t="s">
        <v>572</v>
      </c>
      <c r="C54" s="215" t="s">
        <v>669</v>
      </c>
      <c r="D54" s="215" t="s">
        <v>603</v>
      </c>
      <c r="E54" s="215" t="s">
        <v>674</v>
      </c>
    </row>
    <row r="55" spans="1:5" ht="72" customHeight="1" x14ac:dyDescent="0.55000000000000004">
      <c r="A55" s="215" t="s">
        <v>675</v>
      </c>
      <c r="B55" s="215" t="s">
        <v>558</v>
      </c>
      <c r="C55" s="215" t="s">
        <v>563</v>
      </c>
      <c r="D55" s="215" t="s">
        <v>603</v>
      </c>
      <c r="E55" s="215" t="s">
        <v>676</v>
      </c>
    </row>
    <row r="56" spans="1:5" ht="43.2" customHeight="1" x14ac:dyDescent="0.55000000000000004">
      <c r="A56" s="215" t="s">
        <v>677</v>
      </c>
      <c r="B56" s="215" t="s">
        <v>558</v>
      </c>
      <c r="C56" s="215" t="s">
        <v>571</v>
      </c>
      <c r="D56" s="215" t="s">
        <v>560</v>
      </c>
      <c r="E56" s="215" t="s">
        <v>678</v>
      </c>
    </row>
    <row r="57" spans="1:5" ht="43.2" customHeight="1" x14ac:dyDescent="0.55000000000000004">
      <c r="A57" s="215" t="s">
        <v>679</v>
      </c>
      <c r="B57" s="215" t="s">
        <v>558</v>
      </c>
      <c r="C57" s="215" t="s">
        <v>571</v>
      </c>
      <c r="D57" s="215" t="s">
        <v>603</v>
      </c>
      <c r="E57" s="215" t="s">
        <v>680</v>
      </c>
    </row>
    <row r="58" spans="1:5" ht="72" customHeight="1" x14ac:dyDescent="0.55000000000000004">
      <c r="A58" s="215" t="s">
        <v>681</v>
      </c>
      <c r="B58" s="215" t="s">
        <v>558</v>
      </c>
      <c r="C58" s="215" t="s">
        <v>571</v>
      </c>
      <c r="D58" s="215" t="s">
        <v>603</v>
      </c>
      <c r="E58" s="215" t="s">
        <v>682</v>
      </c>
    </row>
    <row r="59" spans="1:5" ht="100.8" customHeight="1" x14ac:dyDescent="0.55000000000000004">
      <c r="A59" s="215" t="s">
        <v>683</v>
      </c>
      <c r="B59" s="215" t="s">
        <v>558</v>
      </c>
      <c r="C59" s="215" t="s">
        <v>563</v>
      </c>
      <c r="D59" s="215" t="s">
        <v>560</v>
      </c>
      <c r="E59" s="215" t="s">
        <v>684</v>
      </c>
    </row>
    <row r="60" spans="1:5" ht="72" customHeight="1" x14ac:dyDescent="0.55000000000000004">
      <c r="A60" s="215" t="s">
        <v>685</v>
      </c>
      <c r="B60" s="215" t="s">
        <v>558</v>
      </c>
      <c r="C60" s="215" t="s">
        <v>563</v>
      </c>
      <c r="D60" s="215" t="s">
        <v>603</v>
      </c>
      <c r="E60" s="215" t="s">
        <v>686</v>
      </c>
    </row>
    <row r="61" spans="1:5" ht="72" customHeight="1" x14ac:dyDescent="0.55000000000000004">
      <c r="A61" s="215" t="s">
        <v>687</v>
      </c>
      <c r="B61" s="215" t="s">
        <v>558</v>
      </c>
      <c r="C61" s="215" t="s">
        <v>571</v>
      </c>
      <c r="D61" s="215" t="s">
        <v>560</v>
      </c>
      <c r="E61" s="215" t="s">
        <v>688</v>
      </c>
    </row>
    <row r="62" spans="1:5" ht="72" customHeight="1" x14ac:dyDescent="0.55000000000000004">
      <c r="A62" s="215" t="s">
        <v>689</v>
      </c>
      <c r="B62" s="215" t="s">
        <v>558</v>
      </c>
      <c r="C62" s="215" t="s">
        <v>571</v>
      </c>
      <c r="D62" s="215" t="s">
        <v>560</v>
      </c>
      <c r="E62" s="215" t="s">
        <v>690</v>
      </c>
    </row>
    <row r="63" spans="1:5" ht="57.6" customHeight="1" x14ac:dyDescent="0.55000000000000004">
      <c r="A63" s="215" t="s">
        <v>691</v>
      </c>
      <c r="B63" s="215" t="s">
        <v>558</v>
      </c>
      <c r="C63" s="215" t="s">
        <v>583</v>
      </c>
      <c r="D63" s="215" t="s">
        <v>560</v>
      </c>
      <c r="E63" s="215" t="s">
        <v>692</v>
      </c>
    </row>
    <row r="64" spans="1:5" ht="28.8" customHeight="1" x14ac:dyDescent="0.55000000000000004">
      <c r="A64" s="215" t="s">
        <v>693</v>
      </c>
      <c r="B64" s="215" t="s">
        <v>558</v>
      </c>
      <c r="C64" s="215" t="s">
        <v>583</v>
      </c>
      <c r="D64" s="215" t="s">
        <v>560</v>
      </c>
      <c r="E64" s="215" t="s">
        <v>694</v>
      </c>
    </row>
    <row r="65" spans="1:5" ht="129.6" customHeight="1" x14ac:dyDescent="0.55000000000000004">
      <c r="A65" s="215" t="s">
        <v>695</v>
      </c>
      <c r="B65" s="215" t="s">
        <v>558</v>
      </c>
      <c r="C65" s="215" t="s">
        <v>571</v>
      </c>
      <c r="D65" s="215" t="s">
        <v>560</v>
      </c>
      <c r="E65" s="215" t="s">
        <v>696</v>
      </c>
    </row>
    <row r="66" spans="1:5" ht="28.8" customHeight="1" x14ac:dyDescent="0.55000000000000004">
      <c r="A66" s="215" t="s">
        <v>697</v>
      </c>
      <c r="B66" t="s">
        <v>572</v>
      </c>
      <c r="C66" t="s">
        <v>571</v>
      </c>
      <c r="D66" t="s">
        <v>603</v>
      </c>
      <c r="E66" t="s">
        <v>698</v>
      </c>
    </row>
    <row r="67" spans="1:5" x14ac:dyDescent="0.55000000000000004">
      <c r="A67" s="215" t="s">
        <v>699</v>
      </c>
      <c r="B67" t="s">
        <v>558</v>
      </c>
      <c r="C67" t="s">
        <v>583</v>
      </c>
      <c r="D67" t="s">
        <v>560</v>
      </c>
      <c r="E67" t="s">
        <v>700</v>
      </c>
    </row>
    <row r="68" spans="1:5" x14ac:dyDescent="0.55000000000000004">
      <c r="A68" s="215" t="s">
        <v>701</v>
      </c>
      <c r="B68" t="s">
        <v>572</v>
      </c>
      <c r="C68" t="s">
        <v>583</v>
      </c>
      <c r="D68" t="s">
        <v>603</v>
      </c>
      <c r="E68" t="s">
        <v>702</v>
      </c>
    </row>
    <row r="69" spans="1:5" x14ac:dyDescent="0.55000000000000004">
      <c r="A69" s="215" t="s">
        <v>703</v>
      </c>
      <c r="B69" t="s">
        <v>558</v>
      </c>
      <c r="C69" t="s">
        <v>571</v>
      </c>
      <c r="D69" t="s">
        <v>560</v>
      </c>
      <c r="E69" t="s">
        <v>704</v>
      </c>
    </row>
    <row r="70" spans="1:5" x14ac:dyDescent="0.55000000000000004">
      <c r="A70" s="215" t="s">
        <v>705</v>
      </c>
      <c r="B70" t="s">
        <v>572</v>
      </c>
      <c r="C70" t="s">
        <v>563</v>
      </c>
      <c r="D70" t="s">
        <v>603</v>
      </c>
      <c r="E70" t="s">
        <v>706</v>
      </c>
    </row>
    <row r="71" spans="1:5" ht="28.8" x14ac:dyDescent="0.55000000000000004">
      <c r="A71" s="215" t="s">
        <v>707</v>
      </c>
      <c r="B71" t="s">
        <v>558</v>
      </c>
      <c r="C71" t="s">
        <v>563</v>
      </c>
      <c r="D71" t="s">
        <v>560</v>
      </c>
      <c r="E71" t="s">
        <v>708</v>
      </c>
    </row>
    <row r="72" spans="1:5" ht="28.8" x14ac:dyDescent="0.55000000000000004">
      <c r="A72" s="215" t="s">
        <v>709</v>
      </c>
      <c r="B72" t="s">
        <v>572</v>
      </c>
      <c r="C72" t="s">
        <v>571</v>
      </c>
      <c r="D72" t="s">
        <v>603</v>
      </c>
      <c r="E72" t="s">
        <v>710</v>
      </c>
    </row>
  </sheetData>
  <mergeCells count="1">
    <mergeCell ref="A1:E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73"/>
  <sheetViews>
    <sheetView workbookViewId="0">
      <pane ySplit="4" topLeftCell="A5" activePane="bottomLeft" state="frozen"/>
      <selection pane="bottomLeft"/>
    </sheetView>
  </sheetViews>
  <sheetFormatPr defaultRowHeight="14.4" x14ac:dyDescent="0.55000000000000004"/>
  <cols>
    <col min="1" max="1" width="10" customWidth="1"/>
    <col min="2" max="2" width="48" customWidth="1"/>
    <col min="3" max="3" width="12" customWidth="1"/>
    <col min="4" max="4" width="18" customWidth="1"/>
    <col min="5" max="5" width="86" customWidth="1"/>
  </cols>
  <sheetData>
    <row r="1" spans="1:5" ht="18.3" customHeight="1" x14ac:dyDescent="0.7">
      <c r="A1" s="219" t="s">
        <v>711</v>
      </c>
    </row>
    <row r="2" spans="1:5" ht="46" customHeight="1" x14ac:dyDescent="0.55000000000000004">
      <c r="A2" s="303" t="s">
        <v>712</v>
      </c>
      <c r="B2" s="283"/>
      <c r="C2" s="283"/>
      <c r="D2" s="283"/>
      <c r="E2" s="283"/>
    </row>
    <row r="4" spans="1:5" x14ac:dyDescent="0.55000000000000004">
      <c r="A4" s="220" t="s">
        <v>713</v>
      </c>
      <c r="B4" s="220" t="s">
        <v>553</v>
      </c>
      <c r="C4" s="220" t="s">
        <v>4</v>
      </c>
      <c r="D4" s="220" t="s">
        <v>714</v>
      </c>
      <c r="E4" s="220" t="s">
        <v>715</v>
      </c>
    </row>
    <row r="5" spans="1:5" ht="44.05" customHeight="1" x14ac:dyDescent="0.55000000000000004">
      <c r="A5" s="221" t="s">
        <v>716</v>
      </c>
      <c r="B5" s="215" t="s">
        <v>717</v>
      </c>
      <c r="C5" s="228" t="s">
        <v>22</v>
      </c>
      <c r="D5" s="215" t="s">
        <v>718</v>
      </c>
      <c r="E5" s="215" t="s">
        <v>719</v>
      </c>
    </row>
    <row r="6" spans="1:5" ht="44.05" customHeight="1" x14ac:dyDescent="0.55000000000000004">
      <c r="A6" s="221" t="s">
        <v>716</v>
      </c>
      <c r="B6" s="215" t="s">
        <v>720</v>
      </c>
      <c r="C6" s="228" t="s">
        <v>22</v>
      </c>
      <c r="D6" s="215" t="s">
        <v>718</v>
      </c>
      <c r="E6" s="215" t="s">
        <v>721</v>
      </c>
    </row>
    <row r="7" spans="1:5" ht="44.05" customHeight="1" x14ac:dyDescent="0.55000000000000004">
      <c r="A7" s="231" t="s">
        <v>722</v>
      </c>
      <c r="B7" s="215" t="s">
        <v>723</v>
      </c>
      <c r="C7" s="232" t="s">
        <v>22</v>
      </c>
      <c r="D7" s="215" t="s">
        <v>716</v>
      </c>
      <c r="E7" s="215" t="s">
        <v>724</v>
      </c>
    </row>
    <row r="8" spans="1:5" ht="44.05" customHeight="1" x14ac:dyDescent="0.55000000000000004">
      <c r="A8" s="223" t="s">
        <v>722</v>
      </c>
      <c r="B8" s="215" t="s">
        <v>725</v>
      </c>
      <c r="C8" s="234" t="s">
        <v>22</v>
      </c>
      <c r="D8" s="215" t="s">
        <v>726</v>
      </c>
      <c r="E8" s="215" t="s">
        <v>727</v>
      </c>
    </row>
    <row r="9" spans="1:5" ht="44.05" customHeight="1" x14ac:dyDescent="0.55000000000000004">
      <c r="A9" s="223" t="s">
        <v>722</v>
      </c>
      <c r="B9" s="215" t="s">
        <v>728</v>
      </c>
      <c r="C9" s="233" t="s">
        <v>22</v>
      </c>
      <c r="D9" s="215" t="s">
        <v>716</v>
      </c>
      <c r="E9" s="215" t="s">
        <v>729</v>
      </c>
    </row>
    <row r="10" spans="1:5" ht="44.05" customHeight="1" x14ac:dyDescent="0.55000000000000004">
      <c r="A10" s="224" t="s">
        <v>730</v>
      </c>
      <c r="B10" s="215" t="s">
        <v>731</v>
      </c>
      <c r="C10" s="222" t="s">
        <v>22</v>
      </c>
      <c r="D10" s="215" t="s">
        <v>732</v>
      </c>
      <c r="E10" s="215" t="s">
        <v>733</v>
      </c>
    </row>
    <row r="11" spans="1:5" ht="44.05" customHeight="1" x14ac:dyDescent="0.55000000000000004">
      <c r="A11" t="s">
        <v>730</v>
      </c>
      <c r="B11" s="215" t="s">
        <v>734</v>
      </c>
      <c r="C11" t="s">
        <v>22</v>
      </c>
      <c r="D11" t="s">
        <v>735</v>
      </c>
    </row>
    <row r="12" spans="1:5" ht="44.05" customHeight="1" x14ac:dyDescent="0.55000000000000004">
      <c r="A12" t="s">
        <v>730</v>
      </c>
      <c r="B12" s="215" t="s">
        <v>736</v>
      </c>
      <c r="C12" t="s">
        <v>22</v>
      </c>
      <c r="D12" t="s">
        <v>735</v>
      </c>
    </row>
    <row r="13" spans="1:5" ht="44.05" customHeight="1" x14ac:dyDescent="0.55000000000000004">
      <c r="A13" s="224" t="s">
        <v>730</v>
      </c>
      <c r="B13" s="215" t="s">
        <v>737</v>
      </c>
      <c r="C13" s="222" t="s">
        <v>128</v>
      </c>
      <c r="D13" s="215" t="s">
        <v>738</v>
      </c>
      <c r="E13" s="215" t="s">
        <v>739</v>
      </c>
    </row>
    <row r="14" spans="1:5" ht="44.05" customHeight="1" x14ac:dyDescent="0.55000000000000004">
      <c r="A14" s="235" t="s">
        <v>730</v>
      </c>
      <c r="B14" s="215" t="s">
        <v>740</v>
      </c>
      <c r="C14" s="236" t="s">
        <v>22</v>
      </c>
      <c r="D14" s="215" t="s">
        <v>741</v>
      </c>
      <c r="E14" s="215" t="s">
        <v>742</v>
      </c>
    </row>
    <row r="15" spans="1:5" ht="44.05" customHeight="1" x14ac:dyDescent="0.55000000000000004">
      <c r="A15" s="235" t="s">
        <v>730</v>
      </c>
      <c r="B15" s="215" t="s">
        <v>743</v>
      </c>
      <c r="C15" s="236" t="s">
        <v>22</v>
      </c>
      <c r="D15" s="215" t="s">
        <v>738</v>
      </c>
      <c r="E15" s="215" t="s">
        <v>744</v>
      </c>
    </row>
    <row r="16" spans="1:5" ht="44.05" customHeight="1" x14ac:dyDescent="0.55000000000000004">
      <c r="A16" s="235" t="s">
        <v>730</v>
      </c>
      <c r="B16" s="215" t="s">
        <v>745</v>
      </c>
      <c r="C16" s="236" t="s">
        <v>22</v>
      </c>
      <c r="D16" s="215" t="s">
        <v>738</v>
      </c>
      <c r="E16" s="215" t="s">
        <v>746</v>
      </c>
    </row>
    <row r="17" spans="1:5" ht="44.05" customHeight="1" x14ac:dyDescent="0.55000000000000004">
      <c r="A17" s="225" t="s">
        <v>747</v>
      </c>
      <c r="B17" s="215" t="s">
        <v>748</v>
      </c>
      <c r="C17" s="222" t="s">
        <v>22</v>
      </c>
      <c r="D17" s="215" t="s">
        <v>749</v>
      </c>
      <c r="E17" s="215" t="s">
        <v>750</v>
      </c>
    </row>
    <row r="18" spans="1:5" ht="44.05" customHeight="1" x14ac:dyDescent="0.55000000000000004">
      <c r="A18" s="225" t="s">
        <v>747</v>
      </c>
      <c r="B18" s="215" t="s">
        <v>751</v>
      </c>
      <c r="C18" s="223" t="s">
        <v>138</v>
      </c>
      <c r="D18" s="215" t="s">
        <v>749</v>
      </c>
      <c r="E18" s="215" t="s">
        <v>752</v>
      </c>
    </row>
    <row r="19" spans="1:5" ht="44.05" customHeight="1" x14ac:dyDescent="0.55000000000000004">
      <c r="A19" s="226" t="s">
        <v>753</v>
      </c>
      <c r="B19" s="215" t="s">
        <v>754</v>
      </c>
      <c r="C19" s="225" t="s">
        <v>755</v>
      </c>
      <c r="D19" s="215" t="s">
        <v>718</v>
      </c>
      <c r="E19" s="215" t="s">
        <v>756</v>
      </c>
    </row>
    <row r="20" spans="1:5" x14ac:dyDescent="0.55000000000000004">
      <c r="A20" s="226" t="s">
        <v>753</v>
      </c>
      <c r="B20" s="215" t="s">
        <v>757</v>
      </c>
      <c r="C20" s="225" t="s">
        <v>755</v>
      </c>
      <c r="D20" s="215" t="s">
        <v>718</v>
      </c>
      <c r="E20" s="215" t="s">
        <v>758</v>
      </c>
    </row>
    <row r="21" spans="1:5" ht="58" customHeight="1" x14ac:dyDescent="0.55000000000000004">
      <c r="A21" s="226" t="s">
        <v>753</v>
      </c>
      <c r="B21" s="215" t="s">
        <v>759</v>
      </c>
      <c r="C21" s="225" t="s">
        <v>755</v>
      </c>
      <c r="D21" s="215" t="s">
        <v>718</v>
      </c>
      <c r="E21" s="215" t="s">
        <v>760</v>
      </c>
    </row>
    <row r="22" spans="1:5" ht="58" customHeight="1" x14ac:dyDescent="0.55000000000000004"/>
    <row r="23" spans="1:5" ht="58" customHeight="1" x14ac:dyDescent="0.55000000000000004">
      <c r="A23" s="229" t="s">
        <v>716</v>
      </c>
      <c r="B23" s="215" t="s">
        <v>761</v>
      </c>
      <c r="C23" s="228" t="s">
        <v>22</v>
      </c>
      <c r="D23" s="215" t="s">
        <v>762</v>
      </c>
      <c r="E23" s="215" t="s">
        <v>763</v>
      </c>
    </row>
    <row r="24" spans="1:5" ht="58" customHeight="1" x14ac:dyDescent="0.55000000000000004">
      <c r="A24" s="230" t="s">
        <v>722</v>
      </c>
      <c r="B24" s="215" t="s">
        <v>764</v>
      </c>
      <c r="C24" s="234" t="s">
        <v>22</v>
      </c>
      <c r="D24" s="215" t="s">
        <v>765</v>
      </c>
      <c r="E24" s="215" t="s">
        <v>766</v>
      </c>
    </row>
    <row r="25" spans="1:5" ht="58" customHeight="1" x14ac:dyDescent="0.55000000000000004">
      <c r="A25" s="231" t="s">
        <v>722</v>
      </c>
      <c r="B25" s="215" t="s">
        <v>767</v>
      </c>
      <c r="C25" s="234" t="s">
        <v>22</v>
      </c>
      <c r="D25" s="215" t="s">
        <v>768</v>
      </c>
      <c r="E25" s="215" t="s">
        <v>769</v>
      </c>
    </row>
    <row r="26" spans="1:5" ht="43.2" customHeight="1" x14ac:dyDescent="0.55000000000000004">
      <c r="A26" s="231" t="s">
        <v>722</v>
      </c>
      <c r="B26" s="215" t="s">
        <v>770</v>
      </c>
      <c r="C26" s="233" t="s">
        <v>22</v>
      </c>
      <c r="D26" s="215" t="s">
        <v>765</v>
      </c>
      <c r="E26" s="215" t="s">
        <v>771</v>
      </c>
    </row>
    <row r="27" spans="1:5" ht="86.4" customHeight="1" x14ac:dyDescent="0.55000000000000004">
      <c r="A27" s="235" t="s">
        <v>730</v>
      </c>
      <c r="B27" s="215" t="s">
        <v>772</v>
      </c>
      <c r="C27" s="237" t="s">
        <v>22</v>
      </c>
      <c r="D27" s="215" t="s">
        <v>735</v>
      </c>
      <c r="E27" s="215" t="s">
        <v>773</v>
      </c>
    </row>
    <row r="28" spans="1:5" ht="72" customHeight="1" x14ac:dyDescent="0.55000000000000004">
      <c r="A28" s="227" t="s">
        <v>716</v>
      </c>
      <c r="B28" s="215" t="s">
        <v>774</v>
      </c>
      <c r="C28" t="s">
        <v>22</v>
      </c>
      <c r="D28" t="s">
        <v>775</v>
      </c>
    </row>
    <row r="29" spans="1:5" ht="57.6" customHeight="1" x14ac:dyDescent="0.55000000000000004">
      <c r="A29" t="s">
        <v>730</v>
      </c>
      <c r="B29" s="215" t="s">
        <v>776</v>
      </c>
      <c r="C29" t="s">
        <v>22</v>
      </c>
      <c r="D29" t="s">
        <v>735</v>
      </c>
    </row>
    <row r="30" spans="1:5" ht="72" customHeight="1" x14ac:dyDescent="0.55000000000000004">
      <c r="A30" t="s">
        <v>730</v>
      </c>
      <c r="B30" s="215" t="s">
        <v>777</v>
      </c>
      <c r="C30" t="s">
        <v>22</v>
      </c>
      <c r="D30" t="s">
        <v>778</v>
      </c>
    </row>
    <row r="31" spans="1:5" ht="72" customHeight="1" x14ac:dyDescent="0.55000000000000004">
      <c r="A31" t="s">
        <v>722</v>
      </c>
      <c r="B31" s="215" t="s">
        <v>779</v>
      </c>
      <c r="C31" t="s">
        <v>22</v>
      </c>
      <c r="D31" t="s">
        <v>780</v>
      </c>
    </row>
    <row r="32" spans="1:5" ht="57.6" customHeight="1" x14ac:dyDescent="0.55000000000000004">
      <c r="A32" t="s">
        <v>722</v>
      </c>
      <c r="B32" s="215" t="s">
        <v>781</v>
      </c>
      <c r="C32" t="s">
        <v>22</v>
      </c>
      <c r="D32" t="s">
        <v>782</v>
      </c>
    </row>
    <row r="33" spans="1:4" ht="72" customHeight="1" x14ac:dyDescent="0.55000000000000004">
      <c r="A33" t="s">
        <v>722</v>
      </c>
      <c r="B33" s="215" t="s">
        <v>783</v>
      </c>
      <c r="C33" t="s">
        <v>22</v>
      </c>
      <c r="D33" t="s">
        <v>780</v>
      </c>
    </row>
    <row r="34" spans="1:4" ht="72" customHeight="1" x14ac:dyDescent="0.55000000000000004">
      <c r="A34" t="s">
        <v>722</v>
      </c>
      <c r="B34" s="215" t="s">
        <v>784</v>
      </c>
      <c r="C34" t="s">
        <v>22</v>
      </c>
      <c r="D34" t="s">
        <v>785</v>
      </c>
    </row>
    <row r="35" spans="1:4" ht="72" customHeight="1" x14ac:dyDescent="0.55000000000000004">
      <c r="A35" t="s">
        <v>730</v>
      </c>
      <c r="B35" s="215" t="s">
        <v>786</v>
      </c>
      <c r="C35" t="s">
        <v>22</v>
      </c>
      <c r="D35" t="s">
        <v>787</v>
      </c>
    </row>
    <row r="36" spans="1:4" ht="86.4" customHeight="1" x14ac:dyDescent="0.55000000000000004">
      <c r="A36" t="s">
        <v>722</v>
      </c>
      <c r="B36" s="215" t="s">
        <v>788</v>
      </c>
      <c r="C36" t="s">
        <v>22</v>
      </c>
      <c r="D36" t="s">
        <v>789</v>
      </c>
    </row>
    <row r="37" spans="1:4" ht="72" customHeight="1" x14ac:dyDescent="0.55000000000000004">
      <c r="A37" t="s">
        <v>730</v>
      </c>
      <c r="B37" s="215" t="s">
        <v>790</v>
      </c>
      <c r="C37" t="s">
        <v>22</v>
      </c>
      <c r="D37" t="s">
        <v>789</v>
      </c>
    </row>
    <row r="38" spans="1:4" ht="57.6" customHeight="1" x14ac:dyDescent="0.55000000000000004">
      <c r="A38" t="s">
        <v>747</v>
      </c>
      <c r="B38" s="215" t="s">
        <v>791</v>
      </c>
      <c r="C38" t="s">
        <v>22</v>
      </c>
      <c r="D38" t="s">
        <v>789</v>
      </c>
    </row>
    <row r="39" spans="1:4" ht="86.4" customHeight="1" x14ac:dyDescent="0.55000000000000004">
      <c r="A39" t="s">
        <v>722</v>
      </c>
      <c r="B39" s="215" t="s">
        <v>792</v>
      </c>
      <c r="C39" t="s">
        <v>22</v>
      </c>
      <c r="D39" t="s">
        <v>789</v>
      </c>
    </row>
    <row r="40" spans="1:4" ht="57.6" customHeight="1" x14ac:dyDescent="0.55000000000000004">
      <c r="A40" t="s">
        <v>730</v>
      </c>
      <c r="B40" s="215" t="s">
        <v>793</v>
      </c>
      <c r="C40" t="s">
        <v>22</v>
      </c>
      <c r="D40" t="s">
        <v>789</v>
      </c>
    </row>
    <row r="41" spans="1:4" ht="100.8" customHeight="1" x14ac:dyDescent="0.55000000000000004">
      <c r="A41" t="s">
        <v>722</v>
      </c>
      <c r="B41" s="215" t="s">
        <v>794</v>
      </c>
      <c r="C41" t="s">
        <v>22</v>
      </c>
      <c r="D41" t="s">
        <v>795</v>
      </c>
    </row>
    <row r="42" spans="1:4" ht="57.6" customHeight="1" x14ac:dyDescent="0.55000000000000004">
      <c r="A42" t="s">
        <v>730</v>
      </c>
      <c r="B42" s="215" t="s">
        <v>796</v>
      </c>
      <c r="C42" t="s">
        <v>22</v>
      </c>
      <c r="D42" t="s">
        <v>795</v>
      </c>
    </row>
    <row r="43" spans="1:4" ht="86.4" customHeight="1" x14ac:dyDescent="0.55000000000000004">
      <c r="A43" t="s">
        <v>730</v>
      </c>
      <c r="B43" s="215" t="s">
        <v>797</v>
      </c>
      <c r="C43" t="s">
        <v>22</v>
      </c>
      <c r="D43" t="s">
        <v>798</v>
      </c>
    </row>
    <row r="44" spans="1:4" ht="72" customHeight="1" x14ac:dyDescent="0.55000000000000004">
      <c r="A44" t="s">
        <v>730</v>
      </c>
      <c r="B44" s="215" t="s">
        <v>799</v>
      </c>
      <c r="C44" t="s">
        <v>22</v>
      </c>
      <c r="D44" t="s">
        <v>798</v>
      </c>
    </row>
    <row r="45" spans="1:4" ht="43.2" customHeight="1" x14ac:dyDescent="0.55000000000000004">
      <c r="A45" t="s">
        <v>747</v>
      </c>
      <c r="B45" s="215" t="s">
        <v>800</v>
      </c>
      <c r="C45" t="s">
        <v>128</v>
      </c>
      <c r="D45" t="s">
        <v>801</v>
      </c>
    </row>
    <row r="46" spans="1:4" ht="72" customHeight="1" x14ac:dyDescent="0.55000000000000004">
      <c r="A46" s="274" t="s">
        <v>802</v>
      </c>
      <c r="B46" s="215" t="s">
        <v>803</v>
      </c>
      <c r="C46" t="s">
        <v>22</v>
      </c>
      <c r="D46" t="s">
        <v>804</v>
      </c>
    </row>
    <row r="47" spans="1:4" ht="72" customHeight="1" x14ac:dyDescent="0.55000000000000004">
      <c r="A47" s="274" t="s">
        <v>802</v>
      </c>
      <c r="B47" s="215" t="s">
        <v>805</v>
      </c>
      <c r="C47" t="s">
        <v>22</v>
      </c>
      <c r="D47" t="s">
        <v>806</v>
      </c>
    </row>
    <row r="48" spans="1:4" ht="57.6" customHeight="1" x14ac:dyDescent="0.55000000000000004">
      <c r="A48" s="274" t="s">
        <v>802</v>
      </c>
      <c r="B48" s="215" t="s">
        <v>807</v>
      </c>
      <c r="C48" t="s">
        <v>22</v>
      </c>
      <c r="D48" t="s">
        <v>806</v>
      </c>
    </row>
    <row r="49" spans="1:4" ht="72" customHeight="1" x14ac:dyDescent="0.55000000000000004">
      <c r="A49" s="274" t="s">
        <v>802</v>
      </c>
      <c r="B49" s="215" t="s">
        <v>808</v>
      </c>
      <c r="C49" t="s">
        <v>22</v>
      </c>
      <c r="D49" t="s">
        <v>806</v>
      </c>
    </row>
    <row r="50" spans="1:4" ht="86.4" customHeight="1" x14ac:dyDescent="0.55000000000000004">
      <c r="A50" s="274" t="s">
        <v>802</v>
      </c>
      <c r="B50" s="215" t="s">
        <v>809</v>
      </c>
      <c r="C50" t="s">
        <v>22</v>
      </c>
      <c r="D50" t="s">
        <v>810</v>
      </c>
    </row>
    <row r="51" spans="1:4" ht="115.2" customHeight="1" x14ac:dyDescent="0.55000000000000004">
      <c r="A51" s="274" t="s">
        <v>802</v>
      </c>
      <c r="B51" s="215" t="s">
        <v>811</v>
      </c>
      <c r="C51" t="s">
        <v>22</v>
      </c>
      <c r="D51" t="s">
        <v>812</v>
      </c>
    </row>
    <row r="52" spans="1:4" ht="100.8" customHeight="1" x14ac:dyDescent="0.55000000000000004">
      <c r="A52" s="274" t="s">
        <v>802</v>
      </c>
      <c r="B52" s="215" t="s">
        <v>813</v>
      </c>
      <c r="C52" t="s">
        <v>22</v>
      </c>
      <c r="D52" t="s">
        <v>814</v>
      </c>
    </row>
    <row r="53" spans="1:4" ht="72" customHeight="1" x14ac:dyDescent="0.55000000000000004">
      <c r="A53" s="274" t="s">
        <v>802</v>
      </c>
      <c r="B53" s="215" t="s">
        <v>815</v>
      </c>
      <c r="C53" t="s">
        <v>128</v>
      </c>
      <c r="D53" t="s">
        <v>812</v>
      </c>
    </row>
    <row r="54" spans="1:4" ht="100.8" customHeight="1" x14ac:dyDescent="0.55000000000000004">
      <c r="A54" s="274" t="s">
        <v>802</v>
      </c>
      <c r="B54" s="215" t="s">
        <v>816</v>
      </c>
      <c r="C54" t="s">
        <v>22</v>
      </c>
      <c r="D54" t="s">
        <v>814</v>
      </c>
    </row>
    <row r="55" spans="1:4" ht="57.6" customHeight="1" x14ac:dyDescent="0.55000000000000004">
      <c r="A55" s="274" t="s">
        <v>802</v>
      </c>
      <c r="B55" s="215" t="s">
        <v>817</v>
      </c>
      <c r="C55" t="s">
        <v>22</v>
      </c>
      <c r="D55" t="s">
        <v>818</v>
      </c>
    </row>
    <row r="56" spans="1:4" ht="43.2" customHeight="1" x14ac:dyDescent="0.55000000000000004">
      <c r="A56" s="274" t="s">
        <v>802</v>
      </c>
      <c r="B56" s="215" t="s">
        <v>819</v>
      </c>
      <c r="C56" t="s">
        <v>128</v>
      </c>
      <c r="D56" t="s">
        <v>820</v>
      </c>
    </row>
    <row r="57" spans="1:4" ht="115.2" customHeight="1" x14ac:dyDescent="0.55000000000000004">
      <c r="A57" s="274" t="s">
        <v>802</v>
      </c>
      <c r="B57" s="215" t="s">
        <v>821</v>
      </c>
      <c r="C57" t="s">
        <v>22</v>
      </c>
      <c r="D57" t="s">
        <v>822</v>
      </c>
    </row>
    <row r="58" spans="1:4" ht="57.6" customHeight="1" x14ac:dyDescent="0.55000000000000004">
      <c r="A58" s="274" t="s">
        <v>802</v>
      </c>
      <c r="B58" s="215" t="s">
        <v>823</v>
      </c>
      <c r="C58" t="s">
        <v>22</v>
      </c>
      <c r="D58" t="s">
        <v>822</v>
      </c>
    </row>
    <row r="59" spans="1:4" ht="72" customHeight="1" x14ac:dyDescent="0.55000000000000004">
      <c r="A59" s="274" t="s">
        <v>802</v>
      </c>
      <c r="B59" s="215" t="s">
        <v>824</v>
      </c>
      <c r="C59" t="s">
        <v>22</v>
      </c>
      <c r="D59" t="s">
        <v>822</v>
      </c>
    </row>
    <row r="60" spans="1:4" ht="57.6" customHeight="1" x14ac:dyDescent="0.55000000000000004">
      <c r="A60" s="274" t="s">
        <v>802</v>
      </c>
      <c r="B60" s="215" t="s">
        <v>825</v>
      </c>
      <c r="C60" t="s">
        <v>128</v>
      </c>
      <c r="D60" t="s">
        <v>822</v>
      </c>
    </row>
    <row r="61" spans="1:4" ht="72" customHeight="1" x14ac:dyDescent="0.55000000000000004">
      <c r="A61" s="274" t="s">
        <v>826</v>
      </c>
      <c r="B61" s="215" t="s">
        <v>827</v>
      </c>
      <c r="C61" t="s">
        <v>22</v>
      </c>
      <c r="D61" t="s">
        <v>795</v>
      </c>
    </row>
    <row r="62" spans="1:4" ht="72" customHeight="1" x14ac:dyDescent="0.55000000000000004">
      <c r="A62" s="274" t="s">
        <v>826</v>
      </c>
      <c r="B62" s="215" t="s">
        <v>828</v>
      </c>
      <c r="C62" t="s">
        <v>22</v>
      </c>
      <c r="D62" t="s">
        <v>795</v>
      </c>
    </row>
    <row r="63" spans="1:4" ht="72" customHeight="1" x14ac:dyDescent="0.55000000000000004">
      <c r="A63" s="274" t="s">
        <v>826</v>
      </c>
      <c r="B63" s="215" t="s">
        <v>829</v>
      </c>
      <c r="C63" t="s">
        <v>22</v>
      </c>
      <c r="D63" t="s">
        <v>795</v>
      </c>
    </row>
    <row r="64" spans="1:4" ht="86.4" customHeight="1" x14ac:dyDescent="0.55000000000000004">
      <c r="A64" s="274" t="s">
        <v>802</v>
      </c>
      <c r="B64" s="215" t="s">
        <v>830</v>
      </c>
      <c r="C64" t="s">
        <v>22</v>
      </c>
      <c r="D64" t="s">
        <v>831</v>
      </c>
    </row>
    <row r="65" spans="1:4" ht="72" customHeight="1" x14ac:dyDescent="0.55000000000000004">
      <c r="A65" s="274" t="s">
        <v>802</v>
      </c>
      <c r="B65" s="215" t="s">
        <v>832</v>
      </c>
      <c r="C65" t="s">
        <v>22</v>
      </c>
      <c r="D65" t="s">
        <v>831</v>
      </c>
    </row>
    <row r="66" spans="1:4" ht="72" customHeight="1" x14ac:dyDescent="0.55000000000000004">
      <c r="A66" s="274" t="s">
        <v>802</v>
      </c>
      <c r="B66" s="215" t="s">
        <v>833</v>
      </c>
      <c r="C66" t="s">
        <v>22</v>
      </c>
      <c r="D66" t="s">
        <v>831</v>
      </c>
    </row>
    <row r="67" spans="1:4" ht="86.4" customHeight="1" x14ac:dyDescent="0.55000000000000004">
      <c r="A67" s="274" t="s">
        <v>834</v>
      </c>
      <c r="B67" s="215" t="s">
        <v>835</v>
      </c>
      <c r="C67" t="s">
        <v>22</v>
      </c>
      <c r="D67" t="s">
        <v>795</v>
      </c>
    </row>
    <row r="68" spans="1:4" ht="72" customHeight="1" x14ac:dyDescent="0.55000000000000004">
      <c r="A68" s="274" t="s">
        <v>834</v>
      </c>
      <c r="B68" s="215" t="s">
        <v>836</v>
      </c>
      <c r="C68" t="s">
        <v>22</v>
      </c>
      <c r="D68" t="s">
        <v>795</v>
      </c>
    </row>
    <row r="69" spans="1:4" ht="57.6" customHeight="1" x14ac:dyDescent="0.55000000000000004">
      <c r="A69" s="274" t="s">
        <v>834</v>
      </c>
      <c r="B69" s="215" t="s">
        <v>837</v>
      </c>
      <c r="C69" t="s">
        <v>22</v>
      </c>
      <c r="D69" t="s">
        <v>795</v>
      </c>
    </row>
    <row r="70" spans="1:4" ht="86.4" customHeight="1" x14ac:dyDescent="0.55000000000000004">
      <c r="A70" s="274" t="s">
        <v>802</v>
      </c>
      <c r="B70" s="215" t="s">
        <v>838</v>
      </c>
      <c r="C70" t="s">
        <v>22</v>
      </c>
      <c r="D70" t="s">
        <v>839</v>
      </c>
    </row>
    <row r="71" spans="1:4" ht="43.2" customHeight="1" x14ac:dyDescent="0.55000000000000004">
      <c r="A71" s="274" t="s">
        <v>802</v>
      </c>
      <c r="B71" s="215" t="s">
        <v>840</v>
      </c>
      <c r="C71" t="s">
        <v>22</v>
      </c>
      <c r="D71" t="s">
        <v>839</v>
      </c>
    </row>
    <row r="72" spans="1:4" ht="72" customHeight="1" x14ac:dyDescent="0.55000000000000004">
      <c r="A72" s="274" t="s">
        <v>802</v>
      </c>
      <c r="B72" s="215" t="s">
        <v>841</v>
      </c>
      <c r="C72" t="s">
        <v>22</v>
      </c>
      <c r="D72" t="s">
        <v>839</v>
      </c>
    </row>
    <row r="73" spans="1:4" ht="57.6" customHeight="1" x14ac:dyDescent="0.55000000000000004">
      <c r="A73" s="274" t="s">
        <v>802</v>
      </c>
      <c r="B73" s="215" t="s">
        <v>842</v>
      </c>
      <c r="C73" t="s">
        <v>128</v>
      </c>
      <c r="D73" t="s">
        <v>839</v>
      </c>
    </row>
  </sheetData>
  <mergeCells count="1">
    <mergeCell ref="A2:E2"/>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6"/>
  <sheetViews>
    <sheetView workbookViewId="0">
      <pane ySplit="4" topLeftCell="A5" activePane="bottomLeft" state="frozen"/>
      <selection pane="bottomLeft"/>
    </sheetView>
  </sheetViews>
  <sheetFormatPr defaultRowHeight="14.4" x14ac:dyDescent="0.55000000000000004"/>
  <cols>
    <col min="1" max="1" width="26" customWidth="1"/>
    <col min="2" max="2" width="42" customWidth="1"/>
    <col min="3" max="3" width="20" customWidth="1"/>
    <col min="4" max="4" width="22" customWidth="1"/>
    <col min="5" max="5" width="16" customWidth="1"/>
    <col min="6" max="6" width="14" customWidth="1"/>
    <col min="7" max="7" width="26" customWidth="1"/>
    <col min="8" max="8" width="17" customWidth="1"/>
    <col min="9" max="9" width="62" customWidth="1"/>
  </cols>
  <sheetData>
    <row r="1" spans="1:9" ht="18.3" customHeight="1" x14ac:dyDescent="0.7">
      <c r="A1" s="211" t="s">
        <v>843</v>
      </c>
    </row>
    <row r="2" spans="1:9" x14ac:dyDescent="0.55000000000000004">
      <c r="A2" s="212" t="s">
        <v>844</v>
      </c>
    </row>
    <row r="4" spans="1:9" x14ac:dyDescent="0.55000000000000004">
      <c r="A4" s="213" t="s">
        <v>845</v>
      </c>
      <c r="B4" s="213" t="s">
        <v>846</v>
      </c>
      <c r="C4" s="213" t="s">
        <v>847</v>
      </c>
      <c r="D4" s="213" t="s">
        <v>848</v>
      </c>
      <c r="E4" s="213" t="s">
        <v>849</v>
      </c>
      <c r="F4" s="213" t="s">
        <v>850</v>
      </c>
      <c r="G4" s="213" t="s">
        <v>851</v>
      </c>
      <c r="H4" s="213" t="s">
        <v>4</v>
      </c>
      <c r="I4" s="213" t="s">
        <v>852</v>
      </c>
    </row>
    <row r="5" spans="1:9" ht="62.05" customHeight="1" x14ac:dyDescent="0.55000000000000004">
      <c r="A5" s="214" t="s">
        <v>853</v>
      </c>
      <c r="B5" s="215" t="s">
        <v>854</v>
      </c>
      <c r="C5" s="215" t="s">
        <v>855</v>
      </c>
      <c r="D5" s="215" t="s">
        <v>856</v>
      </c>
      <c r="E5" s="215" t="s">
        <v>857</v>
      </c>
      <c r="F5" s="215" t="s">
        <v>858</v>
      </c>
      <c r="G5" s="215" t="s">
        <v>859</v>
      </c>
      <c r="H5" s="216" t="s">
        <v>860</v>
      </c>
      <c r="I5" s="215" t="s">
        <v>861</v>
      </c>
    </row>
    <row r="6" spans="1:9" ht="62.05" customHeight="1" x14ac:dyDescent="0.55000000000000004">
      <c r="A6" s="214" t="s">
        <v>862</v>
      </c>
      <c r="B6" s="215" t="s">
        <v>863</v>
      </c>
      <c r="C6" s="215" t="s">
        <v>864</v>
      </c>
      <c r="D6" s="215" t="s">
        <v>865</v>
      </c>
      <c r="E6" s="215" t="s">
        <v>866</v>
      </c>
      <c r="F6" s="215" t="s">
        <v>867</v>
      </c>
      <c r="G6" s="215" t="s">
        <v>868</v>
      </c>
      <c r="H6" s="217" t="s">
        <v>860</v>
      </c>
      <c r="I6" s="215" t="s">
        <v>869</v>
      </c>
    </row>
    <row r="7" spans="1:9" ht="62.05" customHeight="1" x14ac:dyDescent="0.55000000000000004">
      <c r="A7" s="214" t="s">
        <v>870</v>
      </c>
      <c r="B7" s="215" t="s">
        <v>871</v>
      </c>
      <c r="C7" s="215" t="s">
        <v>872</v>
      </c>
      <c r="D7" s="215" t="s">
        <v>873</v>
      </c>
      <c r="E7" s="215" t="s">
        <v>874</v>
      </c>
      <c r="F7" s="215" t="s">
        <v>875</v>
      </c>
      <c r="G7" s="215" t="s">
        <v>876</v>
      </c>
      <c r="H7" s="217" t="s">
        <v>860</v>
      </c>
      <c r="I7" s="215" t="s">
        <v>877</v>
      </c>
    </row>
    <row r="8" spans="1:9" ht="62.05" customHeight="1" x14ac:dyDescent="0.55000000000000004">
      <c r="A8" s="214" t="s">
        <v>878</v>
      </c>
      <c r="B8" s="215" t="s">
        <v>879</v>
      </c>
      <c r="C8" s="215" t="s">
        <v>880</v>
      </c>
      <c r="D8" s="215" t="s">
        <v>881</v>
      </c>
      <c r="E8" s="215" t="s">
        <v>669</v>
      </c>
      <c r="F8" s="215" t="s">
        <v>669</v>
      </c>
      <c r="G8" s="215" t="s">
        <v>669</v>
      </c>
      <c r="H8" s="216" t="s">
        <v>882</v>
      </c>
      <c r="I8" s="215" t="s">
        <v>883</v>
      </c>
    </row>
    <row r="9" spans="1:9" ht="62.05" customHeight="1" x14ac:dyDescent="0.55000000000000004">
      <c r="A9" s="214" t="s">
        <v>884</v>
      </c>
      <c r="B9" s="215" t="s">
        <v>885</v>
      </c>
      <c r="C9" s="215" t="s">
        <v>886</v>
      </c>
      <c r="D9" s="215" t="s">
        <v>881</v>
      </c>
      <c r="E9" s="215" t="s">
        <v>874</v>
      </c>
      <c r="F9" s="215" t="s">
        <v>887</v>
      </c>
      <c r="G9" s="215" t="s">
        <v>888</v>
      </c>
      <c r="H9" s="218" t="s">
        <v>889</v>
      </c>
      <c r="I9" s="215" t="s">
        <v>890</v>
      </c>
    </row>
    <row r="10" spans="1:9" ht="62.05" customHeight="1" x14ac:dyDescent="0.55000000000000004">
      <c r="A10" s="214" t="s">
        <v>891</v>
      </c>
      <c r="B10" s="215" t="s">
        <v>892</v>
      </c>
      <c r="C10" s="215" t="s">
        <v>893</v>
      </c>
      <c r="D10" s="215" t="s">
        <v>894</v>
      </c>
      <c r="E10" s="215" t="s">
        <v>895</v>
      </c>
      <c r="F10" s="215" t="s">
        <v>896</v>
      </c>
      <c r="G10" s="215" t="s">
        <v>897</v>
      </c>
      <c r="H10" s="218" t="s">
        <v>898</v>
      </c>
      <c r="I10" s="215" t="s">
        <v>899</v>
      </c>
    </row>
    <row r="11" spans="1:9" ht="62.05" customHeight="1" x14ac:dyDescent="0.55000000000000004">
      <c r="A11" s="214" t="s">
        <v>900</v>
      </c>
      <c r="B11" s="215" t="s">
        <v>901</v>
      </c>
      <c r="C11" s="215" t="s">
        <v>902</v>
      </c>
      <c r="D11" s="215" t="s">
        <v>903</v>
      </c>
      <c r="E11" s="215" t="s">
        <v>669</v>
      </c>
      <c r="F11" s="215" t="s">
        <v>669</v>
      </c>
      <c r="G11" s="215" t="s">
        <v>904</v>
      </c>
      <c r="H11" s="218" t="s">
        <v>905</v>
      </c>
      <c r="I11" s="215" t="s">
        <v>906</v>
      </c>
    </row>
    <row r="12" spans="1:9" ht="62.05" customHeight="1" x14ac:dyDescent="0.55000000000000004">
      <c r="A12" s="214" t="s">
        <v>907</v>
      </c>
      <c r="B12" s="215" t="s">
        <v>908</v>
      </c>
      <c r="C12" s="215" t="s">
        <v>909</v>
      </c>
      <c r="D12" s="215" t="s">
        <v>910</v>
      </c>
      <c r="E12" s="215" t="s">
        <v>669</v>
      </c>
      <c r="F12" s="215" t="s">
        <v>669</v>
      </c>
      <c r="G12" s="215" t="s">
        <v>904</v>
      </c>
      <c r="H12" s="217" t="s">
        <v>911</v>
      </c>
      <c r="I12" s="215" t="s">
        <v>912</v>
      </c>
    </row>
    <row r="13" spans="1:9" ht="62.05" customHeight="1" x14ac:dyDescent="0.55000000000000004">
      <c r="A13" s="214" t="s">
        <v>913</v>
      </c>
      <c r="B13" s="215" t="s">
        <v>914</v>
      </c>
      <c r="C13" s="215" t="s">
        <v>915</v>
      </c>
      <c r="D13" s="215" t="s">
        <v>669</v>
      </c>
      <c r="E13" s="215" t="s">
        <v>669</v>
      </c>
      <c r="F13" s="215" t="s">
        <v>669</v>
      </c>
      <c r="G13" s="215" t="s">
        <v>669</v>
      </c>
      <c r="H13" s="218" t="s">
        <v>916</v>
      </c>
      <c r="I13" s="215" t="s">
        <v>917</v>
      </c>
    </row>
    <row r="14" spans="1:9" ht="62.05" customHeight="1" x14ac:dyDescent="0.55000000000000004">
      <c r="A14" s="214" t="s">
        <v>918</v>
      </c>
      <c r="B14" s="215" t="s">
        <v>919</v>
      </c>
      <c r="C14" s="215" t="s">
        <v>915</v>
      </c>
      <c r="D14" s="215" t="s">
        <v>669</v>
      </c>
      <c r="E14" s="215" t="s">
        <v>669</v>
      </c>
      <c r="F14" s="215" t="s">
        <v>669</v>
      </c>
      <c r="G14" s="215" t="s">
        <v>669</v>
      </c>
      <c r="H14" s="218" t="s">
        <v>916</v>
      </c>
      <c r="I14" s="215" t="s">
        <v>920</v>
      </c>
    </row>
    <row r="16" spans="1:9" x14ac:dyDescent="0.55000000000000004">
      <c r="A16" s="304" t="s">
        <v>921</v>
      </c>
      <c r="B16" s="283"/>
      <c r="C16" s="283"/>
      <c r="D16" s="283"/>
      <c r="E16" s="283"/>
      <c r="F16" s="283"/>
      <c r="G16" s="283"/>
      <c r="H16" s="283"/>
      <c r="I16" s="283"/>
    </row>
  </sheetData>
  <mergeCells count="1">
    <mergeCell ref="A16:I1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Delivery Board</vt:lpstr>
      <vt:lpstr>Architecture</vt:lpstr>
      <vt:lpstr>Epic Summary</vt:lpstr>
      <vt:lpstr>Risks &amp; Decisions</vt:lpstr>
      <vt:lpstr>Edge Measurement</vt:lpstr>
      <vt:lpstr>APIs &amp; Quotas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RichardUsang@outlook.com</dc:creator>
  <cp:lastModifiedBy>Richard Usang</cp:lastModifiedBy>
  <dcterms:created xsi:type="dcterms:W3CDTF">2026-08-03T22:52:33Z</dcterms:created>
  <dcterms:modified xsi:type="dcterms:W3CDTF">2026-08-13T01:29:44Z</dcterms:modified>
</cp:coreProperties>
</file>