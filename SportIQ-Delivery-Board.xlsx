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A9897BB-BC64-44A3-A80D-877D83A05266}"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33" i="1" l="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2" i="1"/>
  <c r="R33" i="1" s="1"/>
  <c r="R34" i="1" s="1"/>
  <c r="R35" i="1" s="1"/>
  <c r="R36" i="1" s="1"/>
  <c r="R37" i="1" s="1"/>
  <c r="R31" i="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D8" i="3" l="1"/>
  <c r="E11" i="3"/>
  <c r="C10" i="3"/>
  <c r="R6" i="1"/>
  <c r="R7" i="1" s="1"/>
  <c r="R8" i="1" s="1"/>
  <c r="C12" i="3" s="1"/>
  <c r="C4" i="3"/>
  <c r="D7" i="3"/>
  <c r="E10" i="3"/>
  <c r="E4" i="3"/>
  <c r="C6" i="3"/>
  <c r="D9" i="3"/>
  <c r="E12" i="3"/>
  <c r="E14" i="3" l="1"/>
  <c r="C11" i="3"/>
  <c r="D12" i="3"/>
  <c r="B12" i="3" s="1"/>
  <c r="F12" i="3" s="1"/>
  <c r="E13" i="3"/>
  <c r="E9" i="3"/>
  <c r="D10" i="3"/>
  <c r="B10" i="3" s="1"/>
  <c r="F10" i="3" s="1"/>
  <c r="D6" i="3"/>
  <c r="E7" i="3"/>
  <c r="C7" i="3"/>
  <c r="C9" i="3"/>
  <c r="C14" i="3"/>
  <c r="D4" i="3"/>
  <c r="B4" i="3" s="1"/>
  <c r="D13" i="3"/>
  <c r="B7" i="3"/>
  <c r="F7" i="3" s="1"/>
  <c r="E5" i="3"/>
  <c r="C5" i="3"/>
  <c r="D11" i="3"/>
  <c r="B11" i="3" s="1"/>
  <c r="F11" i="3" s="1"/>
  <c r="E8" i="3"/>
  <c r="C8" i="3"/>
  <c r="B8" i="3" s="1"/>
  <c r="F8" i="3" s="1"/>
  <c r="D5" i="3"/>
  <c r="D16" i="3" s="1"/>
  <c r="E6" i="3"/>
  <c r="E16" i="3" s="1"/>
  <c r="B9" i="3"/>
  <c r="F9" i="3" s="1"/>
  <c r="C13" i="3"/>
  <c r="D14" i="3"/>
  <c r="B14" i="3" s="1"/>
  <c r="F14" i="3" s="1"/>
  <c r="B13" i="3" l="1"/>
  <c r="F13" i="3" s="1"/>
  <c r="B5" i="3"/>
  <c r="F5" i="3" s="1"/>
  <c r="F4" i="3"/>
  <c r="C16" i="3"/>
  <c r="B6" i="3"/>
  <c r="F6" i="3" s="1"/>
  <c r="B16" i="3" l="1"/>
  <c r="B18" i="3" l="1"/>
  <c r="F16" i="3"/>
</calcChain>
</file>

<file path=xl/sharedStrings.xml><?xml version="1.0" encoding="utf-8"?>
<sst xmlns="http://schemas.openxmlformats.org/spreadsheetml/2006/main" count="2075" uniqueCount="973">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</sst>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1" borderId="0" xfId="0" applyFont="1" applyFill="1" applyAlignment="1">
      <alignment horizontal="center" vertical="center"/>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3" fillId="2" borderId="0" xfId="0" applyFont="1" applyFill="1" applyAlignment="1">
      <alignment horizontal="left" vertical="center" indent="1"/>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35"/>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33"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2" spans="1:18" x14ac:dyDescent="0.55000000000000004">
      <c r="A232" t="s">
        <v>99</v>
      </c>
      <c r="B232" t="s">
        <v>496</v>
      </c>
      <c r="C232" s="273" t="s">
        <v>22</v>
      </c>
      <c r="D232" t="s">
        <v>75</v>
      </c>
      <c r="E232" s="210">
        <v>46247</v>
      </c>
      <c r="F232" s="210">
        <v>46247</v>
      </c>
      <c r="G232" s="215"/>
      <c r="J232" t="s">
        <v>400</v>
      </c>
      <c r="R232" t="str">
        <f t="shared" si="3"/>
        <v>E8 Model Quality</v>
      </c>
    </row>
    <row r="233" spans="1:18" x14ac:dyDescent="0.55000000000000004">
      <c r="A233" t="s">
        <v>191</v>
      </c>
      <c r="B233" t="s">
        <v>497</v>
      </c>
      <c r="C233" s="273" t="s">
        <v>22</v>
      </c>
      <c r="D233" t="s">
        <v>75</v>
      </c>
      <c r="E233" s="210">
        <v>46247</v>
      </c>
      <c r="F233" s="210">
        <v>46247</v>
      </c>
      <c r="G233" s="215"/>
      <c r="J233" t="s">
        <v>400</v>
      </c>
      <c r="R233" t="str">
        <f t="shared" si="3"/>
        <v>E11 Ops Resilience</v>
      </c>
    </row>
    <row r="235" spans="1:18" x14ac:dyDescent="0.55000000000000004">
      <c r="A235" s="23" t="s">
        <v>498</v>
      </c>
      <c r="B235" s="5" t="s">
        <v>22</v>
      </c>
      <c r="C235" s="15" t="s">
        <v>499</v>
      </c>
      <c r="D235" s="17" t="s">
        <v>128</v>
      </c>
      <c r="E235" s="21" t="s">
        <v>145</v>
      </c>
      <c r="F235"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5" t="s">
        <v>500</v>
      </c>
      <c r="B1" s="284"/>
      <c r="C1" s="284"/>
      <c r="D1" s="284"/>
      <c r="E1" s="284"/>
      <c r="F1" s="284"/>
      <c r="G1" s="284"/>
      <c r="H1" s="284"/>
      <c r="I1" s="284"/>
      <c r="J1" s="284"/>
      <c r="K1" s="284"/>
      <c r="L1" s="284"/>
      <c r="M1" s="284"/>
      <c r="N1" s="284"/>
      <c r="O1" s="284"/>
      <c r="P1" s="284"/>
      <c r="Q1" s="284"/>
      <c r="R1" s="284"/>
      <c r="S1" s="284"/>
    </row>
    <row r="2" spans="1:19" ht="18" customHeight="1" x14ac:dyDescent="0.55000000000000004">
      <c r="A2" s="301" t="s">
        <v>501</v>
      </c>
      <c r="B2" s="284"/>
      <c r="C2" s="284"/>
      <c r="D2" s="284"/>
      <c r="E2" s="284"/>
      <c r="F2" s="284"/>
      <c r="G2" s="284"/>
      <c r="H2" s="284"/>
      <c r="I2" s="284"/>
      <c r="J2" s="284"/>
      <c r="K2" s="284"/>
      <c r="L2" s="284"/>
      <c r="M2" s="284"/>
      <c r="N2" s="284"/>
      <c r="O2" s="284"/>
      <c r="P2" s="284"/>
      <c r="Q2" s="284"/>
      <c r="R2" s="284"/>
      <c r="S2" s="284"/>
    </row>
    <row r="4" spans="1:19" ht="20.05" customHeight="1" x14ac:dyDescent="0.55000000000000004">
      <c r="A4" s="289" t="s">
        <v>502</v>
      </c>
      <c r="B4" s="284"/>
      <c r="C4" s="284"/>
      <c r="D4" s="284"/>
      <c r="E4" s="284"/>
      <c r="F4" s="284"/>
      <c r="G4" s="284"/>
      <c r="H4" s="284"/>
      <c r="I4" s="284"/>
      <c r="J4" s="284"/>
      <c r="K4" s="284"/>
      <c r="L4" s="284"/>
      <c r="M4" s="284"/>
      <c r="N4" s="284"/>
      <c r="O4" s="284"/>
      <c r="P4" s="284"/>
      <c r="Q4" s="284"/>
      <c r="R4" s="284"/>
      <c r="S4" s="284"/>
    </row>
    <row r="5" spans="1:19" ht="52" customHeight="1" x14ac:dyDescent="0.55000000000000004">
      <c r="A5" s="35" t="s">
        <v>503</v>
      </c>
      <c r="B5" s="279" t="s">
        <v>504</v>
      </c>
      <c r="C5" s="280"/>
      <c r="D5" s="281"/>
      <c r="E5" s="282" t="s">
        <v>505</v>
      </c>
      <c r="F5" s="280"/>
      <c r="G5" s="281"/>
      <c r="H5" s="282" t="s">
        <v>506</v>
      </c>
      <c r="I5" s="280"/>
      <c r="J5" s="281"/>
      <c r="K5" s="279" t="s">
        <v>507</v>
      </c>
      <c r="L5" s="280"/>
      <c r="M5" s="281"/>
      <c r="N5" s="286" t="s">
        <v>508</v>
      </c>
      <c r="O5" s="280"/>
      <c r="P5" s="281"/>
      <c r="Q5" s="286" t="s">
        <v>509</v>
      </c>
      <c r="R5" s="280"/>
      <c r="S5" s="281"/>
    </row>
    <row r="6" spans="1:19" ht="15" customHeight="1" x14ac:dyDescent="0.55000000000000004">
      <c r="B6" s="283" t="s">
        <v>510</v>
      </c>
      <c r="C6" s="284"/>
      <c r="D6" s="284"/>
      <c r="E6" s="284"/>
      <c r="F6" s="284"/>
      <c r="G6" s="284"/>
      <c r="H6" s="284"/>
      <c r="I6" s="284"/>
      <c r="J6" s="284"/>
      <c r="K6" s="284"/>
      <c r="L6" s="284"/>
      <c r="M6" s="284"/>
      <c r="N6" s="284"/>
      <c r="O6" s="284"/>
      <c r="P6" s="284"/>
      <c r="Q6" s="284"/>
      <c r="R6" s="284"/>
      <c r="S6" s="284"/>
    </row>
    <row r="7" spans="1:19" ht="20.05" customHeight="1" x14ac:dyDescent="0.55000000000000004">
      <c r="A7" s="289" t="s">
        <v>511</v>
      </c>
      <c r="B7" s="284"/>
      <c r="C7" s="284"/>
      <c r="D7" s="284"/>
      <c r="E7" s="284"/>
      <c r="F7" s="284"/>
      <c r="G7" s="284"/>
      <c r="H7" s="284"/>
      <c r="I7" s="284"/>
      <c r="J7" s="284"/>
      <c r="K7" s="284"/>
      <c r="L7" s="284"/>
      <c r="M7" s="284"/>
      <c r="N7" s="284"/>
      <c r="O7" s="284"/>
      <c r="P7" s="284"/>
      <c r="Q7" s="284"/>
      <c r="R7" s="284"/>
      <c r="S7" s="284"/>
    </row>
    <row r="8" spans="1:19" ht="46" customHeight="1" x14ac:dyDescent="0.55000000000000004">
      <c r="A8" s="35" t="s">
        <v>512</v>
      </c>
      <c r="B8" s="292" t="s">
        <v>513</v>
      </c>
      <c r="C8" s="280"/>
      <c r="D8" s="280"/>
      <c r="E8" s="280"/>
      <c r="F8" s="280"/>
      <c r="G8" s="280"/>
      <c r="H8" s="280"/>
      <c r="I8" s="280"/>
      <c r="J8" s="281"/>
      <c r="K8" s="292" t="s">
        <v>514</v>
      </c>
      <c r="L8" s="280"/>
      <c r="M8" s="280"/>
      <c r="N8" s="280"/>
      <c r="O8" s="280"/>
      <c r="P8" s="280"/>
      <c r="Q8" s="280"/>
      <c r="R8" s="280"/>
      <c r="S8" s="281"/>
    </row>
    <row r="9" spans="1:19" ht="15" customHeight="1" x14ac:dyDescent="0.55000000000000004">
      <c r="B9" s="283" t="s">
        <v>510</v>
      </c>
      <c r="C9" s="284"/>
      <c r="D9" s="284"/>
      <c r="E9" s="284"/>
      <c r="F9" s="284"/>
      <c r="G9" s="284"/>
      <c r="H9" s="284"/>
      <c r="I9" s="284"/>
      <c r="J9" s="284"/>
      <c r="K9" s="284"/>
      <c r="L9" s="284"/>
      <c r="M9" s="284"/>
      <c r="N9" s="284"/>
      <c r="O9" s="284"/>
      <c r="P9" s="284"/>
      <c r="Q9" s="284"/>
      <c r="R9" s="284"/>
      <c r="S9" s="284"/>
    </row>
    <row r="10" spans="1:19" ht="20.05" customHeight="1" x14ac:dyDescent="0.55000000000000004">
      <c r="A10" s="289" t="s">
        <v>515</v>
      </c>
      <c r="B10" s="284"/>
      <c r="C10" s="284"/>
      <c r="D10" s="284"/>
      <c r="E10" s="284"/>
      <c r="F10" s="284"/>
      <c r="G10" s="284"/>
      <c r="H10" s="284"/>
      <c r="I10" s="284"/>
      <c r="J10" s="284"/>
      <c r="K10" s="284"/>
      <c r="L10" s="284"/>
      <c r="M10" s="284"/>
      <c r="N10" s="284"/>
      <c r="O10" s="284"/>
      <c r="P10" s="284"/>
      <c r="Q10" s="284"/>
      <c r="R10" s="284"/>
      <c r="S10" s="284"/>
    </row>
    <row r="11" spans="1:19" ht="54" customHeight="1" x14ac:dyDescent="0.55000000000000004">
      <c r="A11" s="35" t="s">
        <v>516</v>
      </c>
      <c r="B11" s="279" t="s">
        <v>517</v>
      </c>
      <c r="C11" s="280"/>
      <c r="D11" s="281"/>
      <c r="E11" s="279" t="s">
        <v>518</v>
      </c>
      <c r="F11" s="280"/>
      <c r="G11" s="281"/>
      <c r="H11" s="279" t="s">
        <v>519</v>
      </c>
      <c r="I11" s="280"/>
      <c r="J11" s="281"/>
      <c r="K11" s="282" t="s">
        <v>520</v>
      </c>
      <c r="L11" s="280"/>
      <c r="M11" s="281"/>
      <c r="N11" s="279" t="s">
        <v>521</v>
      </c>
      <c r="O11" s="280"/>
      <c r="P11" s="281"/>
      <c r="Q11" s="279" t="s">
        <v>522</v>
      </c>
      <c r="R11" s="280"/>
      <c r="S11" s="281"/>
    </row>
    <row r="12" spans="1:19" ht="15" customHeight="1" x14ac:dyDescent="0.55000000000000004">
      <c r="B12" s="283" t="s">
        <v>510</v>
      </c>
      <c r="C12" s="284"/>
      <c r="D12" s="284"/>
      <c r="E12" s="284"/>
      <c r="F12" s="284"/>
      <c r="G12" s="284"/>
      <c r="H12" s="284"/>
      <c r="I12" s="284"/>
      <c r="J12" s="284"/>
      <c r="K12" s="284"/>
      <c r="L12" s="284"/>
      <c r="M12" s="284"/>
      <c r="N12" s="284"/>
      <c r="O12" s="284"/>
      <c r="P12" s="284"/>
      <c r="Q12" s="284"/>
      <c r="R12" s="284"/>
      <c r="S12" s="284"/>
    </row>
    <row r="13" spans="1:19" ht="20.05" customHeight="1" x14ac:dyDescent="0.55000000000000004">
      <c r="A13" s="289" t="s">
        <v>523</v>
      </c>
      <c r="B13" s="284"/>
      <c r="C13" s="284"/>
      <c r="D13" s="284"/>
      <c r="E13" s="284"/>
      <c r="F13" s="284"/>
      <c r="G13" s="284"/>
      <c r="H13" s="284"/>
      <c r="I13" s="284"/>
      <c r="J13" s="284"/>
      <c r="K13" s="284"/>
      <c r="L13" s="284"/>
      <c r="M13" s="284"/>
      <c r="N13" s="284"/>
      <c r="O13" s="284"/>
      <c r="P13" s="284"/>
      <c r="Q13" s="284"/>
      <c r="R13" s="284"/>
      <c r="S13" s="284"/>
    </row>
    <row r="14" spans="1:19" ht="52" customHeight="1" x14ac:dyDescent="0.55000000000000004">
      <c r="A14" s="35" t="s">
        <v>524</v>
      </c>
      <c r="B14" s="287" t="s">
        <v>525</v>
      </c>
      <c r="C14" s="280"/>
      <c r="D14" s="280"/>
      <c r="E14" s="280"/>
      <c r="F14" s="280"/>
      <c r="G14" s="281"/>
      <c r="H14" s="287" t="s">
        <v>526</v>
      </c>
      <c r="I14" s="280"/>
      <c r="J14" s="280"/>
      <c r="K14" s="280"/>
      <c r="L14" s="280"/>
      <c r="M14" s="281"/>
      <c r="N14" s="287" t="s">
        <v>527</v>
      </c>
      <c r="O14" s="280"/>
      <c r="P14" s="281"/>
      <c r="Q14" s="282" t="s">
        <v>528</v>
      </c>
      <c r="R14" s="280"/>
      <c r="S14" s="281"/>
    </row>
    <row r="15" spans="1:19" ht="15" customHeight="1" x14ac:dyDescent="0.55000000000000004">
      <c r="B15" s="283" t="s">
        <v>529</v>
      </c>
      <c r="C15" s="284"/>
      <c r="D15" s="284"/>
      <c r="E15" s="284"/>
      <c r="F15" s="284"/>
      <c r="G15" s="284"/>
      <c r="H15" s="284"/>
      <c r="I15" s="284"/>
      <c r="J15" s="284"/>
      <c r="K15" s="284"/>
      <c r="L15" s="284"/>
      <c r="M15" s="284"/>
      <c r="N15" s="284"/>
      <c r="O15" s="284"/>
      <c r="P15" s="284"/>
      <c r="Q15" s="284"/>
      <c r="R15" s="284"/>
      <c r="S15" s="284"/>
    </row>
    <row r="16" spans="1:19" ht="20.05" customHeight="1" x14ac:dyDescent="0.55000000000000004">
      <c r="A16" s="289" t="s">
        <v>530</v>
      </c>
      <c r="B16" s="284"/>
      <c r="C16" s="284"/>
      <c r="D16" s="284"/>
      <c r="E16" s="284"/>
      <c r="F16" s="284"/>
      <c r="G16" s="284"/>
      <c r="H16" s="284"/>
      <c r="I16" s="284"/>
      <c r="J16" s="284"/>
      <c r="K16" s="284"/>
      <c r="L16" s="284"/>
      <c r="M16" s="284"/>
      <c r="N16" s="284"/>
      <c r="O16" s="284"/>
      <c r="P16" s="284"/>
      <c r="Q16" s="284"/>
      <c r="R16" s="284"/>
      <c r="S16" s="284"/>
    </row>
    <row r="17" spans="1:19" ht="54" customHeight="1" x14ac:dyDescent="0.55000000000000004">
      <c r="A17" s="35" t="s">
        <v>531</v>
      </c>
      <c r="B17" s="288" t="s">
        <v>532</v>
      </c>
      <c r="C17" s="280"/>
      <c r="D17" s="280"/>
      <c r="E17" s="280"/>
      <c r="F17" s="280"/>
      <c r="G17" s="281"/>
      <c r="H17" s="288" t="s">
        <v>533</v>
      </c>
      <c r="I17" s="280"/>
      <c r="J17" s="281"/>
      <c r="K17" s="288" t="s">
        <v>534</v>
      </c>
      <c r="L17" s="280"/>
      <c r="M17" s="281"/>
      <c r="N17" s="288" t="s">
        <v>535</v>
      </c>
      <c r="O17" s="280"/>
      <c r="P17" s="281"/>
      <c r="Q17" s="288" t="s">
        <v>536</v>
      </c>
      <c r="R17" s="280"/>
      <c r="S17" s="281"/>
    </row>
    <row r="18" spans="1:19" ht="15" customHeight="1" x14ac:dyDescent="0.55000000000000004">
      <c r="B18" s="283" t="s">
        <v>510</v>
      </c>
      <c r="C18" s="284"/>
      <c r="D18" s="284"/>
      <c r="E18" s="284"/>
      <c r="F18" s="284"/>
      <c r="G18" s="284"/>
      <c r="H18" s="284"/>
      <c r="I18" s="284"/>
      <c r="J18" s="284"/>
      <c r="K18" s="284"/>
      <c r="L18" s="284"/>
      <c r="M18" s="284"/>
      <c r="N18" s="284"/>
      <c r="O18" s="284"/>
      <c r="P18" s="284"/>
      <c r="Q18" s="284"/>
      <c r="R18" s="284"/>
      <c r="S18" s="284"/>
    </row>
    <row r="19" spans="1:19" ht="20.05" customHeight="1" x14ac:dyDescent="0.55000000000000004">
      <c r="A19" s="289" t="s">
        <v>537</v>
      </c>
      <c r="B19" s="284"/>
      <c r="C19" s="284"/>
      <c r="D19" s="284"/>
      <c r="E19" s="284"/>
      <c r="F19" s="284"/>
      <c r="G19" s="284"/>
      <c r="H19" s="284"/>
      <c r="I19" s="284"/>
      <c r="J19" s="284"/>
      <c r="K19" s="284"/>
      <c r="L19" s="284"/>
      <c r="M19" s="284"/>
      <c r="N19" s="284"/>
      <c r="O19" s="284"/>
      <c r="P19" s="284"/>
      <c r="Q19" s="284"/>
      <c r="R19" s="284"/>
      <c r="S19" s="284"/>
    </row>
    <row r="20" spans="1:19" ht="46" customHeight="1" x14ac:dyDescent="0.55000000000000004">
      <c r="A20" s="35" t="s">
        <v>538</v>
      </c>
      <c r="B20" s="290" t="s">
        <v>539</v>
      </c>
      <c r="C20" s="280"/>
      <c r="D20" s="280"/>
      <c r="E20" s="280"/>
      <c r="F20" s="280"/>
      <c r="G20" s="281"/>
      <c r="H20" s="290" t="s">
        <v>540</v>
      </c>
      <c r="I20" s="280"/>
      <c r="J20" s="280"/>
      <c r="K20" s="280"/>
      <c r="L20" s="280"/>
      <c r="M20" s="281"/>
      <c r="N20" s="290" t="s">
        <v>541</v>
      </c>
      <c r="O20" s="280"/>
      <c r="P20" s="280"/>
      <c r="Q20" s="280"/>
      <c r="R20" s="280"/>
      <c r="S20" s="281"/>
    </row>
    <row r="21" spans="1:19" ht="15" customHeight="1" x14ac:dyDescent="0.55000000000000004">
      <c r="B21" s="283" t="s">
        <v>510</v>
      </c>
      <c r="C21" s="284"/>
      <c r="D21" s="284"/>
      <c r="E21" s="284"/>
      <c r="F21" s="284"/>
      <c r="G21" s="284"/>
      <c r="H21" s="284"/>
      <c r="I21" s="284"/>
      <c r="J21" s="284"/>
      <c r="K21" s="284"/>
      <c r="L21" s="284"/>
      <c r="M21" s="284"/>
      <c r="N21" s="284"/>
      <c r="O21" s="284"/>
      <c r="P21" s="284"/>
      <c r="Q21" s="284"/>
      <c r="R21" s="284"/>
      <c r="S21" s="284"/>
    </row>
    <row r="22" spans="1:19" ht="20.05" customHeight="1" x14ac:dyDescent="0.55000000000000004">
      <c r="A22" s="289" t="s">
        <v>542</v>
      </c>
      <c r="B22" s="284"/>
      <c r="C22" s="284"/>
      <c r="D22" s="284"/>
      <c r="E22" s="284"/>
      <c r="F22" s="284"/>
      <c r="G22" s="284"/>
      <c r="H22" s="284"/>
      <c r="I22" s="284"/>
      <c r="J22" s="284"/>
      <c r="K22" s="284"/>
      <c r="L22" s="284"/>
      <c r="M22" s="284"/>
      <c r="N22" s="284"/>
      <c r="O22" s="284"/>
      <c r="P22" s="284"/>
      <c r="Q22" s="284"/>
      <c r="R22" s="284"/>
      <c r="S22" s="284"/>
    </row>
    <row r="23" spans="1:19" ht="52" customHeight="1" x14ac:dyDescent="0.55000000000000004">
      <c r="A23" s="35" t="s">
        <v>543</v>
      </c>
      <c r="B23" s="290" t="s">
        <v>544</v>
      </c>
      <c r="C23" s="280"/>
      <c r="D23" s="280"/>
      <c r="E23" s="280"/>
      <c r="F23" s="280"/>
      <c r="G23" s="281"/>
      <c r="H23" s="290" t="s">
        <v>545</v>
      </c>
      <c r="I23" s="280"/>
      <c r="J23" s="281"/>
      <c r="K23" s="290" t="s">
        <v>546</v>
      </c>
      <c r="L23" s="280"/>
      <c r="M23" s="281"/>
      <c r="N23" s="290" t="s">
        <v>547</v>
      </c>
      <c r="O23" s="280"/>
      <c r="P23" s="281"/>
      <c r="Q23" s="286" t="s">
        <v>548</v>
      </c>
      <c r="R23" s="280"/>
      <c r="S23" s="281"/>
    </row>
    <row r="26" spans="1:19" ht="20.05" customHeight="1" x14ac:dyDescent="0.55000000000000004">
      <c r="A26" s="300" t="s">
        <v>549</v>
      </c>
      <c r="B26" s="284"/>
      <c r="C26" s="284"/>
      <c r="D26" s="284"/>
      <c r="E26" s="284"/>
      <c r="F26" s="284"/>
      <c r="G26" s="284"/>
      <c r="H26" s="284"/>
      <c r="I26" s="284"/>
      <c r="J26" s="284"/>
      <c r="K26" s="284"/>
      <c r="L26" s="284"/>
      <c r="M26" s="284"/>
      <c r="N26" s="284"/>
      <c r="O26" s="284"/>
      <c r="P26" s="284"/>
      <c r="Q26" s="284"/>
      <c r="R26" s="284"/>
      <c r="S26" s="284"/>
    </row>
    <row r="27" spans="1:19" ht="52" customHeight="1" x14ac:dyDescent="0.55000000000000004">
      <c r="A27" s="35" t="s">
        <v>550</v>
      </c>
      <c r="B27" s="279" t="s">
        <v>551</v>
      </c>
      <c r="C27" s="280"/>
      <c r="D27" s="281"/>
      <c r="E27" s="279" t="s">
        <v>552</v>
      </c>
      <c r="F27" s="280"/>
      <c r="G27" s="281"/>
      <c r="H27" s="287" t="s">
        <v>553</v>
      </c>
      <c r="I27" s="280"/>
      <c r="J27" s="281"/>
      <c r="K27" s="288" t="s">
        <v>554</v>
      </c>
      <c r="L27" s="280"/>
      <c r="M27" s="281"/>
      <c r="N27" s="288" t="s">
        <v>555</v>
      </c>
      <c r="O27" s="280"/>
      <c r="P27" s="281"/>
      <c r="Q27" s="287" t="s">
        <v>556</v>
      </c>
      <c r="R27" s="280"/>
      <c r="S27" s="281"/>
    </row>
    <row r="30" spans="1:19" ht="20.05" customHeight="1" x14ac:dyDescent="0.55000000000000004">
      <c r="A30" s="289" t="s">
        <v>557</v>
      </c>
      <c r="B30" s="284"/>
      <c r="C30" s="284"/>
      <c r="D30" s="284"/>
      <c r="E30" s="284"/>
      <c r="F30" s="284"/>
      <c r="G30" s="284"/>
      <c r="H30" s="284"/>
      <c r="I30" s="284"/>
      <c r="J30" s="284"/>
      <c r="K30" s="284"/>
      <c r="L30" s="284"/>
      <c r="M30" s="284"/>
      <c r="N30" s="284"/>
      <c r="O30" s="284"/>
      <c r="P30" s="284"/>
      <c r="Q30" s="284"/>
      <c r="R30" s="284"/>
      <c r="S30" s="284"/>
    </row>
    <row r="31" spans="1:19" ht="16" customHeight="1" x14ac:dyDescent="0.55000000000000004">
      <c r="A31" s="285" t="s">
        <v>558</v>
      </c>
      <c r="B31" s="284"/>
      <c r="C31" s="284"/>
      <c r="D31" s="284"/>
      <c r="E31" s="284"/>
      <c r="F31" s="284"/>
      <c r="G31" s="284"/>
      <c r="H31" s="284"/>
      <c r="I31" s="284"/>
      <c r="J31" s="284"/>
      <c r="K31" s="284"/>
      <c r="L31" s="284"/>
      <c r="M31" s="284"/>
      <c r="N31" s="284"/>
      <c r="O31" s="284"/>
      <c r="P31" s="284"/>
      <c r="Q31" s="284"/>
      <c r="R31" s="284"/>
      <c r="S31" s="284"/>
    </row>
    <row r="32" spans="1:19" ht="16" customHeight="1" x14ac:dyDescent="0.55000000000000004">
      <c r="A32" s="285" t="s">
        <v>559</v>
      </c>
      <c r="B32" s="284"/>
      <c r="C32" s="284"/>
      <c r="D32" s="284"/>
      <c r="E32" s="284"/>
      <c r="F32" s="284"/>
      <c r="G32" s="284"/>
      <c r="H32" s="284"/>
      <c r="I32" s="284"/>
      <c r="J32" s="284"/>
      <c r="K32" s="284"/>
      <c r="L32" s="284"/>
      <c r="M32" s="284"/>
      <c r="N32" s="284"/>
      <c r="O32" s="284"/>
      <c r="P32" s="284"/>
      <c r="Q32" s="284"/>
      <c r="R32" s="284"/>
      <c r="S32" s="284"/>
    </row>
    <row r="33" spans="1:19" ht="16" customHeight="1" x14ac:dyDescent="0.55000000000000004">
      <c r="A33" s="285" t="s">
        <v>560</v>
      </c>
      <c r="B33" s="284"/>
      <c r="C33" s="284"/>
      <c r="D33" s="284"/>
      <c r="E33" s="284"/>
      <c r="F33" s="284"/>
      <c r="G33" s="284"/>
      <c r="H33" s="284"/>
      <c r="I33" s="284"/>
      <c r="J33" s="284"/>
      <c r="K33" s="284"/>
      <c r="L33" s="284"/>
      <c r="M33" s="284"/>
      <c r="N33" s="284"/>
      <c r="O33" s="284"/>
      <c r="P33" s="284"/>
      <c r="Q33" s="284"/>
      <c r="R33" s="284"/>
      <c r="S33" s="284"/>
    </row>
    <row r="34" spans="1:19" ht="16" customHeight="1" x14ac:dyDescent="0.55000000000000004">
      <c r="A34" s="285" t="s">
        <v>561</v>
      </c>
      <c r="B34" s="284"/>
      <c r="C34" s="284"/>
      <c r="D34" s="284"/>
      <c r="E34" s="284"/>
      <c r="F34" s="284"/>
      <c r="G34" s="284"/>
      <c r="H34" s="284"/>
      <c r="I34" s="284"/>
      <c r="J34" s="284"/>
      <c r="K34" s="284"/>
      <c r="L34" s="284"/>
      <c r="M34" s="284"/>
      <c r="N34" s="284"/>
      <c r="O34" s="284"/>
      <c r="P34" s="284"/>
      <c r="Q34" s="284"/>
      <c r="R34" s="284"/>
      <c r="S34" s="284"/>
    </row>
    <row r="35" spans="1:19" ht="16" customHeight="1" x14ac:dyDescent="0.55000000000000004">
      <c r="A35" s="285" t="s">
        <v>562</v>
      </c>
      <c r="B35" s="284"/>
      <c r="C35" s="284"/>
      <c r="D35" s="284"/>
      <c r="E35" s="284"/>
      <c r="F35" s="284"/>
      <c r="G35" s="284"/>
      <c r="H35" s="284"/>
      <c r="I35" s="284"/>
      <c r="J35" s="284"/>
      <c r="K35" s="284"/>
      <c r="L35" s="284"/>
      <c r="M35" s="284"/>
      <c r="N35" s="284"/>
      <c r="O35" s="284"/>
      <c r="P35" s="284"/>
      <c r="Q35" s="284"/>
      <c r="R35" s="284"/>
      <c r="S35" s="284"/>
    </row>
    <row r="36" spans="1:19" ht="16" customHeight="1" x14ac:dyDescent="0.55000000000000004">
      <c r="A36" s="285" t="s">
        <v>563</v>
      </c>
      <c r="B36" s="284"/>
      <c r="C36" s="284"/>
      <c r="D36" s="284"/>
      <c r="E36" s="284"/>
      <c r="F36" s="284"/>
      <c r="G36" s="284"/>
      <c r="H36" s="284"/>
      <c r="I36" s="284"/>
      <c r="J36" s="284"/>
      <c r="K36" s="284"/>
      <c r="L36" s="284"/>
      <c r="M36" s="284"/>
      <c r="N36" s="284"/>
      <c r="O36" s="284"/>
      <c r="P36" s="284"/>
      <c r="Q36" s="284"/>
      <c r="R36" s="284"/>
      <c r="S36" s="284"/>
    </row>
    <row r="37" spans="1:19" ht="16" customHeight="1" x14ac:dyDescent="0.55000000000000004">
      <c r="A37" s="296" t="s">
        <v>564</v>
      </c>
      <c r="B37" s="284"/>
      <c r="C37" s="284"/>
      <c r="D37" s="284"/>
      <c r="E37" s="284"/>
      <c r="F37" s="284"/>
      <c r="G37" s="284"/>
      <c r="H37" s="284"/>
      <c r="I37" s="284"/>
      <c r="J37" s="284"/>
      <c r="K37" s="284"/>
      <c r="L37" s="284"/>
      <c r="M37" s="284"/>
      <c r="N37" s="284"/>
      <c r="O37" s="284"/>
      <c r="P37" s="284"/>
      <c r="Q37" s="284"/>
      <c r="R37" s="284"/>
      <c r="S37" s="284"/>
    </row>
    <row r="39" spans="1:19" ht="18" customHeight="1" x14ac:dyDescent="0.55000000000000004">
      <c r="A39" s="36" t="s">
        <v>498</v>
      </c>
      <c r="B39" s="299" t="s">
        <v>565</v>
      </c>
      <c r="C39" s="284"/>
      <c r="D39" s="284"/>
      <c r="E39" s="297" t="s">
        <v>566</v>
      </c>
      <c r="F39" s="284"/>
      <c r="G39" s="284"/>
      <c r="H39" s="293" t="s">
        <v>567</v>
      </c>
      <c r="I39" s="284"/>
      <c r="J39" s="284"/>
      <c r="K39" s="294" t="s">
        <v>568</v>
      </c>
      <c r="L39" s="284"/>
      <c r="M39" s="284"/>
      <c r="N39" s="291" t="s">
        <v>45</v>
      </c>
      <c r="O39" s="284"/>
      <c r="P39" s="284"/>
      <c r="Q39" s="298" t="s">
        <v>569</v>
      </c>
      <c r="R39" s="284"/>
      <c r="S39" s="284"/>
    </row>
  </sheetData>
  <mergeCells count="67">
    <mergeCell ref="A1:S1"/>
    <mergeCell ref="H14:M14"/>
    <mergeCell ref="N27:P27"/>
    <mergeCell ref="H20:M20"/>
    <mergeCell ref="A16:S16"/>
    <mergeCell ref="N20:S20"/>
    <mergeCell ref="A7:S7"/>
    <mergeCell ref="N11:P11"/>
    <mergeCell ref="E5:G5"/>
    <mergeCell ref="K5:M5"/>
    <mergeCell ref="B27:D27"/>
    <mergeCell ref="A26:S26"/>
    <mergeCell ref="A2:S2"/>
    <mergeCell ref="K11:M11"/>
    <mergeCell ref="B18:S18"/>
    <mergeCell ref="B6:S6"/>
    <mergeCell ref="Q11:S11"/>
    <mergeCell ref="B20:G20"/>
    <mergeCell ref="B5:D5"/>
    <mergeCell ref="B15:S15"/>
    <mergeCell ref="H5:J5"/>
    <mergeCell ref="K23:M23"/>
    <mergeCell ref="A31:S31"/>
    <mergeCell ref="K39:M39"/>
    <mergeCell ref="A34:S34"/>
    <mergeCell ref="B9:S9"/>
    <mergeCell ref="K17:M17"/>
    <mergeCell ref="Q17:S17"/>
    <mergeCell ref="A30:S30"/>
    <mergeCell ref="A36:S36"/>
    <mergeCell ref="H23:J23"/>
    <mergeCell ref="A37:S37"/>
    <mergeCell ref="E39:G39"/>
    <mergeCell ref="Q39:S39"/>
    <mergeCell ref="B39:D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39:J39"/>
    <mergeCell ref="B11:D11"/>
    <mergeCell ref="Q14:S14"/>
    <mergeCell ref="B21:S21"/>
    <mergeCell ref="A33:S33"/>
    <mergeCell ref="Q5:S5"/>
    <mergeCell ref="Q23:S23"/>
    <mergeCell ref="B14:G14"/>
    <mergeCell ref="A32:S32"/>
    <mergeCell ref="B17:G17"/>
    <mergeCell ref="N14:P14"/>
    <mergeCell ref="A22:S22"/>
    <mergeCell ref="B23:G23"/>
    <mergeCell ref="N5:P5"/>
    <mergeCell ref="N23:P23"/>
    <mergeCell ref="N17:P17"/>
    <mergeCell ref="H27:J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570</v>
      </c>
      <c r="B1" s="276"/>
      <c r="C1" s="276"/>
      <c r="D1" s="276"/>
      <c r="E1" s="276"/>
      <c r="F1" s="277"/>
    </row>
    <row r="3" spans="1:6" x14ac:dyDescent="0.55000000000000004">
      <c r="A3" s="1" t="s">
        <v>2</v>
      </c>
      <c r="B3" s="1" t="s">
        <v>571</v>
      </c>
      <c r="C3" s="1" t="s">
        <v>22</v>
      </c>
      <c r="D3" s="1" t="s">
        <v>572</v>
      </c>
      <c r="E3" s="1" t="s">
        <v>145</v>
      </c>
      <c r="F3" s="1" t="s">
        <v>573</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53</v>
      </c>
      <c r="C11" s="24">
        <f>COUNTIFS('Delivery Board'!$R$5:$R$500,$A11,'Delivery Board'!$C$5:$C$500,"Done")</f>
        <v>45</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0.84905660377358494</v>
      </c>
    </row>
    <row r="12" spans="1:6" x14ac:dyDescent="0.55000000000000004">
      <c r="A12" s="23" t="s">
        <v>130</v>
      </c>
      <c r="B12" s="24">
        <f t="shared" si="0"/>
        <v>44</v>
      </c>
      <c r="C12" s="24">
        <f>COUNTIFS('Delivery Board'!$R$5:$R$500,$A12,'Delivery Board'!$C$5:$C$500,"Done")</f>
        <v>29</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0.65909090909090906</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24</v>
      </c>
      <c r="C14" s="24">
        <f>COUNTIFS('Delivery Board'!$R$5:$R$500,$A14,'Delivery Board'!$C$5:$C$500,"Done")</f>
        <v>18</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0.75</v>
      </c>
    </row>
    <row r="16" spans="1:6" x14ac:dyDescent="0.55000000000000004">
      <c r="A16" s="26" t="s">
        <v>574</v>
      </c>
      <c r="B16" s="27">
        <f>SUM(B4:B14)</f>
        <v>229</v>
      </c>
      <c r="C16" s="27">
        <f>SUM(C4:C14)</f>
        <v>183</v>
      </c>
      <c r="D16">
        <f>SUM(D4:D14)</f>
        <v>45</v>
      </c>
      <c r="E16">
        <f>SUM(E4:E14)</f>
        <v>1</v>
      </c>
      <c r="F16" s="28">
        <f>IF(B16=0,0,C16/B16)</f>
        <v>0.79912663755458513</v>
      </c>
    </row>
    <row r="18" spans="1:2" x14ac:dyDescent="0.55000000000000004">
      <c r="A18" s="41" t="s">
        <v>575</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576</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5"/>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577</v>
      </c>
      <c r="B1" s="276"/>
      <c r="C1" s="276"/>
      <c r="D1" s="276"/>
      <c r="E1" s="277"/>
    </row>
    <row r="3" spans="1:5" x14ac:dyDescent="0.55000000000000004">
      <c r="A3" s="29" t="s">
        <v>578</v>
      </c>
      <c r="B3" s="29" t="s">
        <v>579</v>
      </c>
      <c r="C3" s="29" t="s">
        <v>580</v>
      </c>
      <c r="D3" s="29" t="s">
        <v>4</v>
      </c>
      <c r="E3" s="29" t="s">
        <v>581</v>
      </c>
    </row>
    <row r="4" spans="1:5" ht="28" customHeight="1" x14ac:dyDescent="0.55000000000000004">
      <c r="A4" s="30" t="s">
        <v>582</v>
      </c>
      <c r="B4" s="11" t="s">
        <v>583</v>
      </c>
      <c r="C4" s="21" t="s">
        <v>584</v>
      </c>
      <c r="D4" s="11" t="s">
        <v>585</v>
      </c>
      <c r="E4" s="31" t="s">
        <v>586</v>
      </c>
    </row>
    <row r="5" spans="1:5" ht="28" customHeight="1" x14ac:dyDescent="0.55000000000000004">
      <c r="A5" s="32" t="s">
        <v>587</v>
      </c>
      <c r="B5" s="6" t="s">
        <v>583</v>
      </c>
      <c r="C5" s="19" t="s">
        <v>588</v>
      </c>
      <c r="D5" s="6" t="s">
        <v>585</v>
      </c>
      <c r="E5" s="33" t="s">
        <v>589</v>
      </c>
    </row>
    <row r="6" spans="1:5" ht="28" customHeight="1" x14ac:dyDescent="0.55000000000000004">
      <c r="A6" s="30" t="s">
        <v>590</v>
      </c>
      <c r="B6" s="11" t="s">
        <v>591</v>
      </c>
      <c r="C6" s="21" t="s">
        <v>584</v>
      </c>
      <c r="D6" s="11" t="s">
        <v>128</v>
      </c>
      <c r="E6" s="31" t="s">
        <v>592</v>
      </c>
    </row>
    <row r="7" spans="1:5" ht="28" customHeight="1" x14ac:dyDescent="0.55000000000000004">
      <c r="A7" s="32" t="s">
        <v>593</v>
      </c>
      <c r="B7" s="6" t="s">
        <v>583</v>
      </c>
      <c r="C7" s="19" t="s">
        <v>588</v>
      </c>
      <c r="D7" s="6" t="s">
        <v>128</v>
      </c>
      <c r="E7" s="33" t="s">
        <v>594</v>
      </c>
    </row>
    <row r="8" spans="1:5" ht="28" customHeight="1" x14ac:dyDescent="0.55000000000000004">
      <c r="A8" s="30" t="s">
        <v>595</v>
      </c>
      <c r="B8" s="11" t="s">
        <v>591</v>
      </c>
      <c r="C8" s="17" t="s">
        <v>596</v>
      </c>
      <c r="D8" s="11" t="s">
        <v>597</v>
      </c>
      <c r="E8" s="31" t="s">
        <v>598</v>
      </c>
    </row>
    <row r="9" spans="1:5" ht="28" customHeight="1" x14ac:dyDescent="0.55000000000000004">
      <c r="A9" s="32" t="s">
        <v>599</v>
      </c>
      <c r="B9" s="6" t="s">
        <v>583</v>
      </c>
      <c r="C9" s="19" t="s">
        <v>588</v>
      </c>
      <c r="D9" s="6" t="s">
        <v>600</v>
      </c>
      <c r="E9" s="33" t="s">
        <v>601</v>
      </c>
    </row>
    <row r="10" spans="1:5" ht="28" customHeight="1" x14ac:dyDescent="0.55000000000000004">
      <c r="A10" s="30" t="s">
        <v>602</v>
      </c>
      <c r="B10" s="11" t="s">
        <v>603</v>
      </c>
      <c r="C10" s="17" t="s">
        <v>596</v>
      </c>
      <c r="D10" s="11" t="s">
        <v>585</v>
      </c>
      <c r="E10" s="31" t="s">
        <v>604</v>
      </c>
    </row>
    <row r="11" spans="1:5" ht="28" customHeight="1" x14ac:dyDescent="0.55000000000000004">
      <c r="A11" s="32" t="s">
        <v>605</v>
      </c>
      <c r="B11" s="6" t="s">
        <v>591</v>
      </c>
      <c r="C11" s="19" t="s">
        <v>588</v>
      </c>
      <c r="D11" s="6" t="s">
        <v>128</v>
      </c>
      <c r="E11" s="33" t="s">
        <v>606</v>
      </c>
    </row>
    <row r="12" spans="1:5" ht="28" customHeight="1" x14ac:dyDescent="0.55000000000000004">
      <c r="A12" s="30" t="s">
        <v>607</v>
      </c>
      <c r="B12" s="11" t="s">
        <v>591</v>
      </c>
      <c r="C12" s="34" t="s">
        <v>608</v>
      </c>
      <c r="D12" s="11" t="s">
        <v>609</v>
      </c>
      <c r="E12" s="31" t="s">
        <v>610</v>
      </c>
    </row>
    <row r="13" spans="1:5" ht="28" customHeight="1" x14ac:dyDescent="0.55000000000000004">
      <c r="A13" s="32" t="s">
        <v>611</v>
      </c>
      <c r="B13" s="6" t="s">
        <v>591</v>
      </c>
      <c r="C13" s="17" t="s">
        <v>596</v>
      </c>
      <c r="D13" s="6" t="s">
        <v>609</v>
      </c>
      <c r="E13" s="33" t="s">
        <v>612</v>
      </c>
    </row>
    <row r="14" spans="1:5" ht="28" customHeight="1" x14ac:dyDescent="0.55000000000000004">
      <c r="A14" s="30" t="s">
        <v>613</v>
      </c>
      <c r="B14" s="11" t="s">
        <v>583</v>
      </c>
      <c r="C14" s="17" t="s">
        <v>596</v>
      </c>
      <c r="D14" s="11" t="s">
        <v>128</v>
      </c>
      <c r="E14" s="31" t="s">
        <v>614</v>
      </c>
    </row>
    <row r="15" spans="1:5" ht="28" customHeight="1" x14ac:dyDescent="0.55000000000000004">
      <c r="A15" s="32" t="s">
        <v>615</v>
      </c>
      <c r="B15" s="6" t="s">
        <v>583</v>
      </c>
      <c r="C15" s="17" t="s">
        <v>596</v>
      </c>
      <c r="D15" s="6" t="s">
        <v>585</v>
      </c>
      <c r="E15" s="33" t="s">
        <v>616</v>
      </c>
    </row>
    <row r="16" spans="1:5" ht="30" customHeight="1" x14ac:dyDescent="0.55000000000000004">
      <c r="A16" s="30" t="s">
        <v>617</v>
      </c>
      <c r="B16" s="11" t="s">
        <v>583</v>
      </c>
      <c r="C16" s="19" t="s">
        <v>588</v>
      </c>
      <c r="D16" s="11" t="s">
        <v>618</v>
      </c>
      <c r="E16" s="31" t="s">
        <v>619</v>
      </c>
    </row>
    <row r="17" spans="1:5" ht="30" customHeight="1" x14ac:dyDescent="0.55000000000000004">
      <c r="A17" s="32" t="s">
        <v>620</v>
      </c>
      <c r="B17" s="6" t="s">
        <v>583</v>
      </c>
      <c r="C17" s="21" t="s">
        <v>584</v>
      </c>
      <c r="D17" s="6" t="s">
        <v>585</v>
      </c>
      <c r="E17" s="33" t="s">
        <v>621</v>
      </c>
    </row>
    <row r="18" spans="1:5" ht="30" customHeight="1" x14ac:dyDescent="0.55000000000000004">
      <c r="A18" s="30" t="s">
        <v>622</v>
      </c>
      <c r="B18" s="11" t="s">
        <v>591</v>
      </c>
      <c r="C18" s="17" t="s">
        <v>596</v>
      </c>
      <c r="D18" s="11" t="s">
        <v>597</v>
      </c>
      <c r="E18" s="31" t="s">
        <v>623</v>
      </c>
    </row>
    <row r="19" spans="1:5" ht="30" customHeight="1" x14ac:dyDescent="0.55000000000000004">
      <c r="A19" s="32" t="s">
        <v>624</v>
      </c>
      <c r="B19" s="6" t="s">
        <v>583</v>
      </c>
      <c r="C19" s="17" t="s">
        <v>596</v>
      </c>
      <c r="D19" s="6" t="s">
        <v>585</v>
      </c>
      <c r="E19" s="33" t="s">
        <v>625</v>
      </c>
    </row>
    <row r="20" spans="1:5" ht="32.049999999999997" customHeight="1" x14ac:dyDescent="0.55000000000000004">
      <c r="A20" s="30" t="s">
        <v>626</v>
      </c>
      <c r="B20" s="11" t="s">
        <v>627</v>
      </c>
      <c r="C20" s="21" t="s">
        <v>584</v>
      </c>
      <c r="D20" s="11" t="s">
        <v>628</v>
      </c>
      <c r="E20" s="31" t="s">
        <v>629</v>
      </c>
    </row>
    <row r="21" spans="1:5" ht="32.049999999999997" customHeight="1" x14ac:dyDescent="0.55000000000000004">
      <c r="A21" s="32" t="s">
        <v>630</v>
      </c>
      <c r="B21" s="6" t="s">
        <v>583</v>
      </c>
      <c r="C21" s="19" t="s">
        <v>588</v>
      </c>
      <c r="D21" s="6" t="s">
        <v>618</v>
      </c>
      <c r="E21" s="33" t="s">
        <v>631</v>
      </c>
    </row>
    <row r="22" spans="1:5" ht="32.049999999999997" customHeight="1" x14ac:dyDescent="0.55000000000000004">
      <c r="A22" s="30" t="s">
        <v>632</v>
      </c>
      <c r="B22" s="11" t="s">
        <v>633</v>
      </c>
      <c r="C22" s="17" t="s">
        <v>596</v>
      </c>
      <c r="D22" s="11" t="s">
        <v>585</v>
      </c>
      <c r="E22" s="31" t="s">
        <v>634</v>
      </c>
    </row>
    <row r="23" spans="1:5" ht="32.049999999999997" customHeight="1" x14ac:dyDescent="0.55000000000000004">
      <c r="A23" s="32" t="s">
        <v>635</v>
      </c>
      <c r="B23" s="6" t="s">
        <v>633</v>
      </c>
      <c r="C23" s="17" t="s">
        <v>596</v>
      </c>
      <c r="D23" s="6" t="s">
        <v>585</v>
      </c>
      <c r="E23" s="33" t="s">
        <v>636</v>
      </c>
    </row>
    <row r="24" spans="1:5" ht="32.049999999999997" customHeight="1" x14ac:dyDescent="0.55000000000000004">
      <c r="A24" s="30" t="s">
        <v>637</v>
      </c>
      <c r="B24" s="11" t="s">
        <v>633</v>
      </c>
      <c r="C24" s="17" t="s">
        <v>596</v>
      </c>
      <c r="D24" s="11" t="s">
        <v>585</v>
      </c>
      <c r="E24" s="31" t="s">
        <v>638</v>
      </c>
    </row>
    <row r="25" spans="1:5" ht="32.049999999999997" customHeight="1" x14ac:dyDescent="0.55000000000000004">
      <c r="A25" s="53" t="s">
        <v>639</v>
      </c>
      <c r="B25" s="51" t="s">
        <v>597</v>
      </c>
      <c r="C25" s="54" t="s">
        <v>596</v>
      </c>
      <c r="D25" s="51" t="s">
        <v>585</v>
      </c>
      <c r="E25" s="55" t="s">
        <v>640</v>
      </c>
    </row>
    <row r="26" spans="1:5" ht="32.049999999999997" customHeight="1" x14ac:dyDescent="0.55000000000000004">
      <c r="A26" s="56" t="s">
        <v>641</v>
      </c>
      <c r="B26" s="46" t="s">
        <v>633</v>
      </c>
      <c r="C26" s="54" t="s">
        <v>608</v>
      </c>
      <c r="D26" s="46" t="s">
        <v>628</v>
      </c>
      <c r="E26" s="57" t="s">
        <v>642</v>
      </c>
    </row>
    <row r="27" spans="1:5" ht="32.049999999999997" customHeight="1" x14ac:dyDescent="0.55000000000000004">
      <c r="A27" s="53" t="s">
        <v>643</v>
      </c>
      <c r="B27" s="51" t="s">
        <v>597</v>
      </c>
      <c r="C27" s="54" t="s">
        <v>608</v>
      </c>
      <c r="D27" s="51" t="s">
        <v>585</v>
      </c>
      <c r="E27" s="55" t="s">
        <v>644</v>
      </c>
    </row>
    <row r="28" spans="1:5" ht="46" customHeight="1" x14ac:dyDescent="0.55000000000000004">
      <c r="A28" s="71" t="s">
        <v>645</v>
      </c>
      <c r="B28" s="60" t="s">
        <v>597</v>
      </c>
      <c r="C28" s="67" t="s">
        <v>588</v>
      </c>
      <c r="D28" s="94" t="s">
        <v>628</v>
      </c>
      <c r="E28" s="94" t="s">
        <v>646</v>
      </c>
    </row>
    <row r="29" spans="1:5" ht="46" customHeight="1" x14ac:dyDescent="0.55000000000000004">
      <c r="A29" s="72" t="s">
        <v>647</v>
      </c>
      <c r="B29" s="65" t="s">
        <v>583</v>
      </c>
      <c r="C29" s="69" t="s">
        <v>596</v>
      </c>
      <c r="D29" s="93" t="s">
        <v>628</v>
      </c>
      <c r="E29" s="93" t="s">
        <v>648</v>
      </c>
    </row>
    <row r="30" spans="1:5" ht="32.049999999999997" customHeight="1" x14ac:dyDescent="0.55000000000000004">
      <c r="A30" s="78" t="s">
        <v>649</v>
      </c>
      <c r="B30" s="75" t="s">
        <v>583</v>
      </c>
      <c r="C30" s="79" t="s">
        <v>596</v>
      </c>
      <c r="D30" s="75" t="s">
        <v>585</v>
      </c>
      <c r="E30" s="80" t="s">
        <v>650</v>
      </c>
    </row>
    <row r="31" spans="1:5" ht="32.049999999999997" customHeight="1" x14ac:dyDescent="0.55000000000000004">
      <c r="A31" s="92" t="s">
        <v>651</v>
      </c>
      <c r="B31" s="83" t="s">
        <v>633</v>
      </c>
      <c r="C31" s="90" t="s">
        <v>596</v>
      </c>
      <c r="D31" s="83" t="s">
        <v>652</v>
      </c>
      <c r="E31" s="93" t="s">
        <v>653</v>
      </c>
    </row>
    <row r="32" spans="1:5" ht="32.049999999999997" customHeight="1" x14ac:dyDescent="0.55000000000000004">
      <c r="A32" s="106" t="s">
        <v>654</v>
      </c>
      <c r="B32" s="102" t="s">
        <v>597</v>
      </c>
      <c r="C32" s="104" t="s">
        <v>596</v>
      </c>
      <c r="D32" s="102" t="s">
        <v>628</v>
      </c>
      <c r="E32" s="107" t="s">
        <v>655</v>
      </c>
    </row>
    <row r="33" spans="1:5" ht="32.049999999999997" customHeight="1" x14ac:dyDescent="0.55000000000000004">
      <c r="A33" s="108" t="s">
        <v>656</v>
      </c>
      <c r="B33" s="97" t="s">
        <v>583</v>
      </c>
      <c r="C33" s="104" t="s">
        <v>596</v>
      </c>
      <c r="D33" s="97" t="s">
        <v>618</v>
      </c>
      <c r="E33" s="109" t="s">
        <v>657</v>
      </c>
    </row>
    <row r="34" spans="1:5" ht="32.049999999999997" customHeight="1" x14ac:dyDescent="0.55000000000000004">
      <c r="A34" s="134" t="s">
        <v>658</v>
      </c>
      <c r="B34" s="129" t="s">
        <v>633</v>
      </c>
      <c r="C34" s="123" t="s">
        <v>588</v>
      </c>
      <c r="D34" s="129" t="s">
        <v>585</v>
      </c>
      <c r="E34" s="135" t="s">
        <v>659</v>
      </c>
    </row>
    <row r="35" spans="1:5" ht="32.049999999999997" customHeight="1" x14ac:dyDescent="0.55000000000000004">
      <c r="A35" s="136" t="s">
        <v>660</v>
      </c>
      <c r="B35" s="124" t="s">
        <v>583</v>
      </c>
      <c r="C35" s="132" t="s">
        <v>596</v>
      </c>
      <c r="D35" s="124" t="s">
        <v>585</v>
      </c>
      <c r="E35" s="137" t="s">
        <v>661</v>
      </c>
    </row>
    <row r="36" spans="1:5" ht="74.05" customHeight="1" x14ac:dyDescent="0.55000000000000004">
      <c r="A36" s="147" t="s">
        <v>595</v>
      </c>
      <c r="B36" s="145" t="s">
        <v>583</v>
      </c>
      <c r="C36" s="148" t="s">
        <v>584</v>
      </c>
      <c r="D36" s="153" t="s">
        <v>662</v>
      </c>
      <c r="E36" s="153" t="s">
        <v>663</v>
      </c>
    </row>
    <row r="37" spans="1:5" ht="32.049999999999997" customHeight="1" x14ac:dyDescent="0.55000000000000004">
      <c r="A37" s="150" t="s">
        <v>664</v>
      </c>
      <c r="B37" s="140" t="s">
        <v>633</v>
      </c>
      <c r="C37" s="151" t="s">
        <v>596</v>
      </c>
      <c r="D37" s="140" t="s">
        <v>585</v>
      </c>
      <c r="E37" s="152" t="s">
        <v>665</v>
      </c>
    </row>
    <row r="38" spans="1:5" ht="32.049999999999997" customHeight="1" x14ac:dyDescent="0.55000000000000004">
      <c r="A38" s="147" t="s">
        <v>666</v>
      </c>
      <c r="B38" s="145" t="s">
        <v>633</v>
      </c>
      <c r="C38" s="151" t="s">
        <v>608</v>
      </c>
      <c r="D38" s="145" t="s">
        <v>585</v>
      </c>
      <c r="E38" s="149" t="s">
        <v>667</v>
      </c>
    </row>
    <row r="39" spans="1:5" ht="32.049999999999997" customHeight="1" x14ac:dyDescent="0.55000000000000004">
      <c r="A39" s="160" t="s">
        <v>668</v>
      </c>
      <c r="B39" s="157" t="s">
        <v>583</v>
      </c>
      <c r="C39" s="161" t="s">
        <v>588</v>
      </c>
      <c r="D39" s="157" t="s">
        <v>585</v>
      </c>
      <c r="E39" s="162" t="s">
        <v>669</v>
      </c>
    </row>
    <row r="40" spans="1:5" ht="32.049999999999997" customHeight="1" x14ac:dyDescent="0.55000000000000004">
      <c r="A40" s="168" t="s">
        <v>670</v>
      </c>
      <c r="B40" s="165" t="s">
        <v>633</v>
      </c>
      <c r="C40" s="169" t="s">
        <v>588</v>
      </c>
      <c r="D40" s="165" t="s">
        <v>585</v>
      </c>
      <c r="E40" s="170" t="s">
        <v>671</v>
      </c>
    </row>
    <row r="41" spans="1:5" ht="32.049999999999997" customHeight="1" x14ac:dyDescent="0.55000000000000004">
      <c r="A41" s="171" t="s">
        <v>140</v>
      </c>
      <c r="B41" s="172" t="s">
        <v>597</v>
      </c>
      <c r="C41" s="173" t="s">
        <v>596</v>
      </c>
      <c r="D41" s="172" t="s">
        <v>628</v>
      </c>
      <c r="E41" s="174" t="s">
        <v>672</v>
      </c>
    </row>
    <row r="42" spans="1:5" ht="32.049999999999997" customHeight="1" x14ac:dyDescent="0.55000000000000004">
      <c r="A42" s="188" t="s">
        <v>673</v>
      </c>
      <c r="B42" s="183" t="s">
        <v>633</v>
      </c>
      <c r="C42" s="177" t="s">
        <v>588</v>
      </c>
      <c r="D42" s="183" t="s">
        <v>585</v>
      </c>
      <c r="E42" s="189" t="s">
        <v>674</v>
      </c>
    </row>
    <row r="43" spans="1:5" ht="32.049999999999997" customHeight="1" x14ac:dyDescent="0.55000000000000004">
      <c r="A43" s="190" t="s">
        <v>675</v>
      </c>
      <c r="B43" s="178" t="s">
        <v>583</v>
      </c>
      <c r="C43" s="186" t="s">
        <v>596</v>
      </c>
      <c r="D43" s="178" t="s">
        <v>618</v>
      </c>
      <c r="E43" s="191" t="s">
        <v>676</v>
      </c>
    </row>
    <row r="44" spans="1:5" ht="32.049999999999997" customHeight="1" x14ac:dyDescent="0.55000000000000004">
      <c r="A44" s="188" t="s">
        <v>677</v>
      </c>
      <c r="B44" s="183" t="s">
        <v>633</v>
      </c>
      <c r="C44" s="186" t="s">
        <v>596</v>
      </c>
      <c r="D44" s="183" t="s">
        <v>628</v>
      </c>
      <c r="E44" s="189" t="s">
        <v>678</v>
      </c>
    </row>
    <row r="45" spans="1:5" ht="32.049999999999997" customHeight="1" x14ac:dyDescent="0.55000000000000004">
      <c r="A45" s="190" t="s">
        <v>679</v>
      </c>
      <c r="B45" s="178" t="s">
        <v>597</v>
      </c>
      <c r="C45" s="186" t="s">
        <v>608</v>
      </c>
      <c r="D45" s="178" t="s">
        <v>585</v>
      </c>
      <c r="E45" s="191" t="s">
        <v>680</v>
      </c>
    </row>
    <row r="46" spans="1:5" ht="32.049999999999997" customHeight="1" x14ac:dyDescent="0.55000000000000004">
      <c r="A46" s="206" t="s">
        <v>681</v>
      </c>
      <c r="B46" s="194" t="s">
        <v>597</v>
      </c>
      <c r="C46" s="199" t="s">
        <v>588</v>
      </c>
      <c r="D46" s="194" t="s">
        <v>585</v>
      </c>
      <c r="E46" s="207" t="s">
        <v>682</v>
      </c>
    </row>
    <row r="47" spans="1:5" ht="32.049999999999997" customHeight="1" x14ac:dyDescent="0.55000000000000004">
      <c r="A47" s="208" t="s">
        <v>683</v>
      </c>
      <c r="B47" s="200" t="s">
        <v>583</v>
      </c>
      <c r="C47" s="203" t="s">
        <v>596</v>
      </c>
      <c r="D47" s="200" t="s">
        <v>585</v>
      </c>
      <c r="E47" s="209" t="s">
        <v>684</v>
      </c>
    </row>
    <row r="48" spans="1:5" ht="32.049999999999997" customHeight="1" x14ac:dyDescent="0.55000000000000004">
      <c r="A48" s="206" t="s">
        <v>685</v>
      </c>
      <c r="B48" s="194" t="s">
        <v>597</v>
      </c>
      <c r="C48" s="203" t="s">
        <v>596</v>
      </c>
      <c r="D48" s="194" t="s">
        <v>585</v>
      </c>
      <c r="E48" s="207" t="s">
        <v>686</v>
      </c>
    </row>
    <row r="49" spans="1:5" x14ac:dyDescent="0.55000000000000004">
      <c r="A49" t="s">
        <v>687</v>
      </c>
      <c r="B49" t="s">
        <v>583</v>
      </c>
      <c r="C49" t="s">
        <v>596</v>
      </c>
      <c r="D49" t="s">
        <v>585</v>
      </c>
      <c r="E49" t="s">
        <v>688</v>
      </c>
    </row>
    <row r="50" spans="1:5" x14ac:dyDescent="0.55000000000000004">
      <c r="A50" t="s">
        <v>689</v>
      </c>
      <c r="B50" t="s">
        <v>583</v>
      </c>
      <c r="C50" t="s">
        <v>596</v>
      </c>
      <c r="D50" t="s">
        <v>585</v>
      </c>
      <c r="E50" t="s">
        <v>690</v>
      </c>
    </row>
    <row r="51" spans="1:5" x14ac:dyDescent="0.55000000000000004">
      <c r="A51" t="s">
        <v>691</v>
      </c>
      <c r="B51" t="s">
        <v>583</v>
      </c>
      <c r="C51" t="s">
        <v>596</v>
      </c>
      <c r="D51" t="s">
        <v>585</v>
      </c>
      <c r="E51" t="s">
        <v>692</v>
      </c>
    </row>
    <row r="52" spans="1:5" x14ac:dyDescent="0.55000000000000004">
      <c r="A52" t="s">
        <v>693</v>
      </c>
      <c r="B52" t="s">
        <v>597</v>
      </c>
      <c r="C52" t="s">
        <v>694</v>
      </c>
      <c r="D52" t="s">
        <v>628</v>
      </c>
      <c r="E52" t="s">
        <v>695</v>
      </c>
    </row>
    <row r="53" spans="1:5" x14ac:dyDescent="0.55000000000000004">
      <c r="A53" t="s">
        <v>696</v>
      </c>
      <c r="B53" t="s">
        <v>597</v>
      </c>
      <c r="C53" t="s">
        <v>694</v>
      </c>
      <c r="D53" t="s">
        <v>628</v>
      </c>
      <c r="E53" t="s">
        <v>697</v>
      </c>
    </row>
    <row r="54" spans="1:5" ht="57.6" customHeight="1" x14ac:dyDescent="0.55000000000000004">
      <c r="A54" s="215" t="s">
        <v>698</v>
      </c>
      <c r="B54" s="215" t="s">
        <v>597</v>
      </c>
      <c r="C54" s="215" t="s">
        <v>694</v>
      </c>
      <c r="D54" s="215" t="s">
        <v>628</v>
      </c>
      <c r="E54" s="215" t="s">
        <v>699</v>
      </c>
    </row>
    <row r="55" spans="1:5" ht="72" customHeight="1" x14ac:dyDescent="0.55000000000000004">
      <c r="A55" s="215" t="s">
        <v>700</v>
      </c>
      <c r="B55" s="215" t="s">
        <v>583</v>
      </c>
      <c r="C55" s="215" t="s">
        <v>588</v>
      </c>
      <c r="D55" s="215" t="s">
        <v>628</v>
      </c>
      <c r="E55" s="215" t="s">
        <v>701</v>
      </c>
    </row>
    <row r="56" spans="1:5" ht="43.2" customHeight="1" x14ac:dyDescent="0.55000000000000004">
      <c r="A56" s="215" t="s">
        <v>702</v>
      </c>
      <c r="B56" s="215" t="s">
        <v>583</v>
      </c>
      <c r="C56" s="215" t="s">
        <v>596</v>
      </c>
      <c r="D56" s="215" t="s">
        <v>585</v>
      </c>
      <c r="E56" s="215" t="s">
        <v>703</v>
      </c>
    </row>
    <row r="57" spans="1:5" ht="43.2" customHeight="1" x14ac:dyDescent="0.55000000000000004">
      <c r="A57" s="215" t="s">
        <v>704</v>
      </c>
      <c r="B57" s="215" t="s">
        <v>583</v>
      </c>
      <c r="C57" s="215" t="s">
        <v>596</v>
      </c>
      <c r="D57" s="215" t="s">
        <v>628</v>
      </c>
      <c r="E57" s="215" t="s">
        <v>705</v>
      </c>
    </row>
    <row r="58" spans="1:5" ht="72" customHeight="1" x14ac:dyDescent="0.55000000000000004">
      <c r="A58" s="215" t="s">
        <v>706</v>
      </c>
      <c r="B58" s="215" t="s">
        <v>583</v>
      </c>
      <c r="C58" s="215" t="s">
        <v>596</v>
      </c>
      <c r="D58" s="215" t="s">
        <v>628</v>
      </c>
      <c r="E58" s="215" t="s">
        <v>707</v>
      </c>
    </row>
    <row r="59" spans="1:5" ht="100.8" customHeight="1" x14ac:dyDescent="0.55000000000000004">
      <c r="A59" s="215" t="s">
        <v>708</v>
      </c>
      <c r="B59" s="215" t="s">
        <v>583</v>
      </c>
      <c r="C59" s="215" t="s">
        <v>588</v>
      </c>
      <c r="D59" s="215" t="s">
        <v>585</v>
      </c>
      <c r="E59" s="215" t="s">
        <v>709</v>
      </c>
    </row>
    <row r="60" spans="1:5" ht="72" customHeight="1" x14ac:dyDescent="0.55000000000000004">
      <c r="A60" s="215" t="s">
        <v>710</v>
      </c>
      <c r="B60" s="215" t="s">
        <v>583</v>
      </c>
      <c r="C60" s="215" t="s">
        <v>588</v>
      </c>
      <c r="D60" s="215" t="s">
        <v>628</v>
      </c>
      <c r="E60" s="215" t="s">
        <v>711</v>
      </c>
    </row>
    <row r="61" spans="1:5" ht="72" customHeight="1" x14ac:dyDescent="0.55000000000000004">
      <c r="A61" s="215" t="s">
        <v>712</v>
      </c>
      <c r="B61" s="215" t="s">
        <v>583</v>
      </c>
      <c r="C61" s="215" t="s">
        <v>596</v>
      </c>
      <c r="D61" s="215" t="s">
        <v>585</v>
      </c>
      <c r="E61" s="215" t="s">
        <v>713</v>
      </c>
    </row>
    <row r="62" spans="1:5" ht="72" customHeight="1" x14ac:dyDescent="0.55000000000000004">
      <c r="A62" s="215" t="s">
        <v>714</v>
      </c>
      <c r="B62" s="215" t="s">
        <v>583</v>
      </c>
      <c r="C62" s="215" t="s">
        <v>596</v>
      </c>
      <c r="D62" s="215" t="s">
        <v>585</v>
      </c>
      <c r="E62" s="215" t="s">
        <v>715</v>
      </c>
    </row>
    <row r="63" spans="1:5" ht="57.6" customHeight="1" x14ac:dyDescent="0.55000000000000004">
      <c r="A63" s="215" t="s">
        <v>716</v>
      </c>
      <c r="B63" s="215" t="s">
        <v>583</v>
      </c>
      <c r="C63" s="215" t="s">
        <v>608</v>
      </c>
      <c r="D63" s="215" t="s">
        <v>585</v>
      </c>
      <c r="E63" s="215" t="s">
        <v>717</v>
      </c>
    </row>
    <row r="64" spans="1:5" ht="28.8" customHeight="1" x14ac:dyDescent="0.55000000000000004">
      <c r="A64" s="215" t="s">
        <v>718</v>
      </c>
      <c r="B64" s="215" t="s">
        <v>583</v>
      </c>
      <c r="C64" s="215" t="s">
        <v>608</v>
      </c>
      <c r="D64" s="215" t="s">
        <v>585</v>
      </c>
      <c r="E64" s="215" t="s">
        <v>719</v>
      </c>
    </row>
    <row r="65" spans="1:5" ht="129.6" customHeight="1" x14ac:dyDescent="0.55000000000000004">
      <c r="A65" s="215" t="s">
        <v>720</v>
      </c>
      <c r="B65" s="215" t="s">
        <v>583</v>
      </c>
      <c r="C65" s="215" t="s">
        <v>596</v>
      </c>
      <c r="D65" s="215" t="s">
        <v>585</v>
      </c>
      <c r="E65" s="215" t="s">
        <v>721</v>
      </c>
    </row>
    <row r="66" spans="1:5" ht="28.8" customHeight="1" x14ac:dyDescent="0.55000000000000004">
      <c r="A66" s="215" t="s">
        <v>722</v>
      </c>
      <c r="B66" t="s">
        <v>597</v>
      </c>
      <c r="C66" t="s">
        <v>596</v>
      </c>
      <c r="D66" t="s">
        <v>628</v>
      </c>
      <c r="E66" t="s">
        <v>723</v>
      </c>
    </row>
    <row r="67" spans="1:5" x14ac:dyDescent="0.55000000000000004">
      <c r="A67" s="215" t="s">
        <v>724</v>
      </c>
      <c r="B67" t="s">
        <v>583</v>
      </c>
      <c r="C67" t="s">
        <v>608</v>
      </c>
      <c r="D67" t="s">
        <v>585</v>
      </c>
      <c r="E67" t="s">
        <v>725</v>
      </c>
    </row>
    <row r="68" spans="1:5" x14ac:dyDescent="0.55000000000000004">
      <c r="A68" s="215" t="s">
        <v>726</v>
      </c>
      <c r="B68" t="s">
        <v>597</v>
      </c>
      <c r="C68" t="s">
        <v>608</v>
      </c>
      <c r="D68" t="s">
        <v>628</v>
      </c>
      <c r="E68" t="s">
        <v>727</v>
      </c>
    </row>
    <row r="69" spans="1:5" x14ac:dyDescent="0.55000000000000004">
      <c r="A69" s="215" t="s">
        <v>728</v>
      </c>
      <c r="B69" t="s">
        <v>583</v>
      </c>
      <c r="C69" t="s">
        <v>596</v>
      </c>
      <c r="D69" t="s">
        <v>585</v>
      </c>
      <c r="E69" t="s">
        <v>729</v>
      </c>
    </row>
    <row r="70" spans="1:5" x14ac:dyDescent="0.55000000000000004">
      <c r="A70" s="215" t="s">
        <v>730</v>
      </c>
      <c r="B70" t="s">
        <v>597</v>
      </c>
      <c r="C70" t="s">
        <v>588</v>
      </c>
      <c r="D70" t="s">
        <v>628</v>
      </c>
      <c r="E70" t="s">
        <v>731</v>
      </c>
    </row>
    <row r="71" spans="1:5" ht="28.8" customHeight="1" x14ac:dyDescent="0.55000000000000004">
      <c r="A71" s="215" t="s">
        <v>732</v>
      </c>
      <c r="B71" t="s">
        <v>583</v>
      </c>
      <c r="C71" t="s">
        <v>588</v>
      </c>
      <c r="D71" t="s">
        <v>585</v>
      </c>
      <c r="E71" t="s">
        <v>733</v>
      </c>
    </row>
    <row r="72" spans="1:5" ht="28.8" customHeight="1" x14ac:dyDescent="0.55000000000000004">
      <c r="A72" s="215" t="s">
        <v>734</v>
      </c>
      <c r="B72" t="s">
        <v>597</v>
      </c>
      <c r="C72" t="s">
        <v>596</v>
      </c>
      <c r="D72" t="s">
        <v>628</v>
      </c>
      <c r="E72" t="s">
        <v>735</v>
      </c>
    </row>
    <row r="73" spans="1:5" ht="28.8" customHeight="1" x14ac:dyDescent="0.55000000000000004">
      <c r="A73" s="215" t="s">
        <v>736</v>
      </c>
      <c r="B73" t="s">
        <v>583</v>
      </c>
      <c r="C73" t="s">
        <v>596</v>
      </c>
      <c r="D73" t="s">
        <v>585</v>
      </c>
      <c r="E73" t="s">
        <v>737</v>
      </c>
    </row>
    <row r="74" spans="1:5" ht="28.8" customHeight="1" x14ac:dyDescent="0.55000000000000004">
      <c r="A74" s="215" t="s">
        <v>738</v>
      </c>
      <c r="B74" t="s">
        <v>597</v>
      </c>
      <c r="C74" t="s">
        <v>596</v>
      </c>
      <c r="D74" t="s">
        <v>628</v>
      </c>
      <c r="E74" t="s">
        <v>739</v>
      </c>
    </row>
    <row r="75" spans="1:5" ht="28.8" customHeight="1" x14ac:dyDescent="0.55000000000000004">
      <c r="A75" s="215" t="s">
        <v>740</v>
      </c>
      <c r="B75" t="s">
        <v>597</v>
      </c>
      <c r="C75" t="s">
        <v>608</v>
      </c>
      <c r="D75" t="s">
        <v>628</v>
      </c>
      <c r="E75" t="s">
        <v>741</v>
      </c>
    </row>
    <row r="76" spans="1:5" ht="28.8" customHeight="1" x14ac:dyDescent="0.55000000000000004">
      <c r="A76" s="215" t="s">
        <v>742</v>
      </c>
      <c r="B76" t="s">
        <v>597</v>
      </c>
      <c r="C76" t="s">
        <v>596</v>
      </c>
      <c r="D76" t="s">
        <v>628</v>
      </c>
      <c r="E76" t="s">
        <v>743</v>
      </c>
    </row>
    <row r="77" spans="1:5" x14ac:dyDescent="0.55000000000000004">
      <c r="A77" s="215" t="s">
        <v>744</v>
      </c>
      <c r="B77" t="s">
        <v>583</v>
      </c>
      <c r="C77" t="s">
        <v>608</v>
      </c>
      <c r="D77" t="s">
        <v>585</v>
      </c>
      <c r="E77" t="s">
        <v>745</v>
      </c>
    </row>
    <row r="78" spans="1:5" x14ac:dyDescent="0.55000000000000004">
      <c r="A78" s="215" t="s">
        <v>746</v>
      </c>
      <c r="B78" t="s">
        <v>583</v>
      </c>
      <c r="C78" t="s">
        <v>596</v>
      </c>
      <c r="D78" t="s">
        <v>585</v>
      </c>
      <c r="E78" t="s">
        <v>747</v>
      </c>
    </row>
    <row r="79" spans="1:5" ht="28.8" customHeight="1" x14ac:dyDescent="0.55000000000000004">
      <c r="A79" s="215" t="s">
        <v>748</v>
      </c>
      <c r="B79" t="s">
        <v>597</v>
      </c>
      <c r="C79" t="s">
        <v>588</v>
      </c>
      <c r="D79" t="s">
        <v>628</v>
      </c>
      <c r="E79" t="s">
        <v>749</v>
      </c>
    </row>
    <row r="80" spans="1:5" ht="28.8" customHeight="1" x14ac:dyDescent="0.55000000000000004">
      <c r="A80" s="215" t="s">
        <v>750</v>
      </c>
      <c r="B80" t="s">
        <v>583</v>
      </c>
      <c r="C80" t="s">
        <v>596</v>
      </c>
      <c r="D80" t="s">
        <v>585</v>
      </c>
      <c r="E80" t="s">
        <v>751</v>
      </c>
    </row>
    <row r="81" spans="1:5" x14ac:dyDescent="0.55000000000000004">
      <c r="A81" s="215" t="s">
        <v>752</v>
      </c>
      <c r="B81" t="s">
        <v>583</v>
      </c>
      <c r="C81" t="s">
        <v>596</v>
      </c>
      <c r="D81" t="s">
        <v>585</v>
      </c>
      <c r="E81" t="s">
        <v>753</v>
      </c>
    </row>
    <row r="82" spans="1:5" ht="28.8" customHeight="1" x14ac:dyDescent="0.55000000000000004">
      <c r="A82" s="215" t="s">
        <v>754</v>
      </c>
      <c r="B82" t="s">
        <v>583</v>
      </c>
      <c r="C82" t="s">
        <v>596</v>
      </c>
      <c r="D82" t="s">
        <v>585</v>
      </c>
      <c r="E82" t="s">
        <v>755</v>
      </c>
    </row>
    <row r="83" spans="1:5" ht="28.8" customHeight="1" x14ac:dyDescent="0.55000000000000004">
      <c r="A83" s="215" t="s">
        <v>756</v>
      </c>
      <c r="B83" t="s">
        <v>597</v>
      </c>
      <c r="C83" t="s">
        <v>588</v>
      </c>
      <c r="D83" t="s">
        <v>628</v>
      </c>
      <c r="E83" t="s">
        <v>757</v>
      </c>
    </row>
    <row r="84" spans="1:5" x14ac:dyDescent="0.55000000000000004">
      <c r="A84" s="215" t="s">
        <v>758</v>
      </c>
      <c r="B84" t="s">
        <v>583</v>
      </c>
      <c r="C84" t="s">
        <v>596</v>
      </c>
      <c r="D84" t="s">
        <v>585</v>
      </c>
      <c r="E84" t="s">
        <v>759</v>
      </c>
    </row>
    <row r="85" spans="1:5" ht="28.8" x14ac:dyDescent="0.55000000000000004">
      <c r="A85" s="215" t="s">
        <v>760</v>
      </c>
      <c r="B85" t="s">
        <v>583</v>
      </c>
      <c r="C85" t="s">
        <v>596</v>
      </c>
      <c r="D85" t="s">
        <v>585</v>
      </c>
      <c r="E85" t="s">
        <v>761</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762</v>
      </c>
    </row>
    <row r="2" spans="1:5" ht="46" customHeight="1" x14ac:dyDescent="0.55000000000000004">
      <c r="A2" s="303" t="s">
        <v>763</v>
      </c>
      <c r="B2" s="284"/>
      <c r="C2" s="284"/>
      <c r="D2" s="284"/>
      <c r="E2" s="284"/>
    </row>
    <row r="4" spans="1:5" x14ac:dyDescent="0.55000000000000004">
      <c r="A4" s="220" t="s">
        <v>764</v>
      </c>
      <c r="B4" s="220" t="s">
        <v>578</v>
      </c>
      <c r="C4" s="220" t="s">
        <v>4</v>
      </c>
      <c r="D4" s="220" t="s">
        <v>765</v>
      </c>
      <c r="E4" s="220" t="s">
        <v>766</v>
      </c>
    </row>
    <row r="5" spans="1:5" ht="44.05" customHeight="1" x14ac:dyDescent="0.55000000000000004">
      <c r="A5" s="221" t="s">
        <v>767</v>
      </c>
      <c r="B5" s="215" t="s">
        <v>768</v>
      </c>
      <c r="C5" s="228" t="s">
        <v>22</v>
      </c>
      <c r="D5" s="215" t="s">
        <v>769</v>
      </c>
      <c r="E5" s="215" t="s">
        <v>770</v>
      </c>
    </row>
    <row r="6" spans="1:5" ht="44.05" customHeight="1" x14ac:dyDescent="0.55000000000000004">
      <c r="A6" s="221" t="s">
        <v>767</v>
      </c>
      <c r="B6" s="215" t="s">
        <v>771</v>
      </c>
      <c r="C6" s="228" t="s">
        <v>22</v>
      </c>
      <c r="D6" s="215" t="s">
        <v>769</v>
      </c>
      <c r="E6" s="215" t="s">
        <v>772</v>
      </c>
    </row>
    <row r="7" spans="1:5" ht="44.05" customHeight="1" x14ac:dyDescent="0.55000000000000004">
      <c r="A7" s="231" t="s">
        <v>773</v>
      </c>
      <c r="B7" s="215" t="s">
        <v>774</v>
      </c>
      <c r="C7" s="232" t="s">
        <v>22</v>
      </c>
      <c r="D7" s="215" t="s">
        <v>767</v>
      </c>
      <c r="E7" s="215" t="s">
        <v>775</v>
      </c>
    </row>
    <row r="8" spans="1:5" ht="44.05" customHeight="1" x14ac:dyDescent="0.55000000000000004">
      <c r="A8" s="223" t="s">
        <v>773</v>
      </c>
      <c r="B8" s="215" t="s">
        <v>776</v>
      </c>
      <c r="C8" s="234" t="s">
        <v>22</v>
      </c>
      <c r="D8" s="215" t="s">
        <v>777</v>
      </c>
      <c r="E8" s="215" t="s">
        <v>778</v>
      </c>
    </row>
    <row r="9" spans="1:5" ht="44.05" customHeight="1" x14ac:dyDescent="0.55000000000000004">
      <c r="A9" s="223" t="s">
        <v>773</v>
      </c>
      <c r="B9" s="215" t="s">
        <v>779</v>
      </c>
      <c r="C9" s="233" t="s">
        <v>22</v>
      </c>
      <c r="D9" s="215" t="s">
        <v>767</v>
      </c>
      <c r="E9" s="215" t="s">
        <v>780</v>
      </c>
    </row>
    <row r="10" spans="1:5" ht="44.05" customHeight="1" x14ac:dyDescent="0.55000000000000004">
      <c r="A10" s="224" t="s">
        <v>781</v>
      </c>
      <c r="B10" s="215" t="s">
        <v>782</v>
      </c>
      <c r="C10" s="222" t="s">
        <v>22</v>
      </c>
      <c r="D10" s="215" t="s">
        <v>783</v>
      </c>
      <c r="E10" s="215" t="s">
        <v>784</v>
      </c>
    </row>
    <row r="11" spans="1:5" ht="44.05" customHeight="1" x14ac:dyDescent="0.55000000000000004">
      <c r="A11" t="s">
        <v>781</v>
      </c>
      <c r="B11" s="215" t="s">
        <v>785</v>
      </c>
      <c r="C11" t="s">
        <v>22</v>
      </c>
      <c r="D11" t="s">
        <v>786</v>
      </c>
    </row>
    <row r="12" spans="1:5" ht="44.05" customHeight="1" x14ac:dyDescent="0.55000000000000004">
      <c r="A12" t="s">
        <v>781</v>
      </c>
      <c r="B12" s="215" t="s">
        <v>787</v>
      </c>
      <c r="C12" t="s">
        <v>22</v>
      </c>
      <c r="D12" t="s">
        <v>786</v>
      </c>
    </row>
    <row r="13" spans="1:5" ht="44.05" customHeight="1" x14ac:dyDescent="0.55000000000000004">
      <c r="A13" s="224" t="s">
        <v>781</v>
      </c>
      <c r="B13" s="215" t="s">
        <v>788</v>
      </c>
      <c r="C13" s="222" t="s">
        <v>128</v>
      </c>
      <c r="D13" s="215" t="s">
        <v>789</v>
      </c>
      <c r="E13" s="215" t="s">
        <v>790</v>
      </c>
    </row>
    <row r="14" spans="1:5" ht="44.05" customHeight="1" x14ac:dyDescent="0.55000000000000004">
      <c r="A14" s="235" t="s">
        <v>781</v>
      </c>
      <c r="B14" s="215" t="s">
        <v>791</v>
      </c>
      <c r="C14" s="236" t="s">
        <v>22</v>
      </c>
      <c r="D14" s="215" t="s">
        <v>792</v>
      </c>
      <c r="E14" s="215" t="s">
        <v>793</v>
      </c>
    </row>
    <row r="15" spans="1:5" ht="44.05" customHeight="1" x14ac:dyDescent="0.55000000000000004">
      <c r="A15" s="235" t="s">
        <v>781</v>
      </c>
      <c r="B15" s="215" t="s">
        <v>794</v>
      </c>
      <c r="C15" s="236" t="s">
        <v>22</v>
      </c>
      <c r="D15" s="215" t="s">
        <v>789</v>
      </c>
      <c r="E15" s="215" t="s">
        <v>795</v>
      </c>
    </row>
    <row r="16" spans="1:5" ht="44.05" customHeight="1" x14ac:dyDescent="0.55000000000000004">
      <c r="A16" s="235" t="s">
        <v>781</v>
      </c>
      <c r="B16" s="215" t="s">
        <v>796</v>
      </c>
      <c r="C16" s="236" t="s">
        <v>22</v>
      </c>
      <c r="D16" s="215" t="s">
        <v>789</v>
      </c>
      <c r="E16" s="215" t="s">
        <v>797</v>
      </c>
    </row>
    <row r="17" spans="1:5" ht="44.05" customHeight="1" x14ac:dyDescent="0.55000000000000004">
      <c r="A17" s="225" t="s">
        <v>798</v>
      </c>
      <c r="B17" s="215" t="s">
        <v>799</v>
      </c>
      <c r="C17" s="222" t="s">
        <v>22</v>
      </c>
      <c r="D17" s="215" t="s">
        <v>800</v>
      </c>
      <c r="E17" s="215" t="s">
        <v>801</v>
      </c>
    </row>
    <row r="18" spans="1:5" ht="44.05" customHeight="1" x14ac:dyDescent="0.55000000000000004">
      <c r="A18" s="225" t="s">
        <v>798</v>
      </c>
      <c r="B18" s="215" t="s">
        <v>802</v>
      </c>
      <c r="C18" s="223" t="s">
        <v>138</v>
      </c>
      <c r="D18" s="215" t="s">
        <v>800</v>
      </c>
      <c r="E18" s="215" t="s">
        <v>803</v>
      </c>
    </row>
    <row r="19" spans="1:5" ht="44.05" customHeight="1" x14ac:dyDescent="0.55000000000000004">
      <c r="A19" s="226" t="s">
        <v>804</v>
      </c>
      <c r="B19" s="215" t="s">
        <v>805</v>
      </c>
      <c r="C19" s="225" t="s">
        <v>806</v>
      </c>
      <c r="D19" s="215" t="s">
        <v>769</v>
      </c>
      <c r="E19" s="215" t="s">
        <v>807</v>
      </c>
    </row>
    <row r="20" spans="1:5" x14ac:dyDescent="0.55000000000000004">
      <c r="A20" s="226" t="s">
        <v>804</v>
      </c>
      <c r="B20" s="215" t="s">
        <v>808</v>
      </c>
      <c r="C20" s="225" t="s">
        <v>806</v>
      </c>
      <c r="D20" s="215" t="s">
        <v>769</v>
      </c>
      <c r="E20" s="215" t="s">
        <v>809</v>
      </c>
    </row>
    <row r="21" spans="1:5" ht="58" customHeight="1" x14ac:dyDescent="0.55000000000000004">
      <c r="A21" s="226" t="s">
        <v>804</v>
      </c>
      <c r="B21" s="215" t="s">
        <v>810</v>
      </c>
      <c r="C21" s="225" t="s">
        <v>806</v>
      </c>
      <c r="D21" s="215" t="s">
        <v>769</v>
      </c>
      <c r="E21" s="215" t="s">
        <v>811</v>
      </c>
    </row>
    <row r="22" spans="1:5" ht="58" customHeight="1" x14ac:dyDescent="0.55000000000000004"/>
    <row r="23" spans="1:5" ht="58" customHeight="1" x14ac:dyDescent="0.55000000000000004">
      <c r="A23" s="229" t="s">
        <v>767</v>
      </c>
      <c r="B23" s="215" t="s">
        <v>812</v>
      </c>
      <c r="C23" s="228" t="s">
        <v>22</v>
      </c>
      <c r="D23" s="215" t="s">
        <v>813</v>
      </c>
      <c r="E23" s="215" t="s">
        <v>814</v>
      </c>
    </row>
    <row r="24" spans="1:5" ht="58" customHeight="1" x14ac:dyDescent="0.55000000000000004">
      <c r="A24" s="230" t="s">
        <v>773</v>
      </c>
      <c r="B24" s="215" t="s">
        <v>815</v>
      </c>
      <c r="C24" s="234" t="s">
        <v>22</v>
      </c>
      <c r="D24" s="215" t="s">
        <v>816</v>
      </c>
      <c r="E24" s="215" t="s">
        <v>817</v>
      </c>
    </row>
    <row r="25" spans="1:5" ht="58" customHeight="1" x14ac:dyDescent="0.55000000000000004">
      <c r="A25" s="231" t="s">
        <v>773</v>
      </c>
      <c r="B25" s="215" t="s">
        <v>818</v>
      </c>
      <c r="C25" s="234" t="s">
        <v>22</v>
      </c>
      <c r="D25" s="215" t="s">
        <v>819</v>
      </c>
      <c r="E25" s="215" t="s">
        <v>820</v>
      </c>
    </row>
    <row r="26" spans="1:5" ht="43.2" customHeight="1" x14ac:dyDescent="0.55000000000000004">
      <c r="A26" s="231" t="s">
        <v>773</v>
      </c>
      <c r="B26" s="215" t="s">
        <v>821</v>
      </c>
      <c r="C26" s="233" t="s">
        <v>22</v>
      </c>
      <c r="D26" s="215" t="s">
        <v>816</v>
      </c>
      <c r="E26" s="215" t="s">
        <v>822</v>
      </c>
    </row>
    <row r="27" spans="1:5" ht="86.4" customHeight="1" x14ac:dyDescent="0.55000000000000004">
      <c r="A27" s="235" t="s">
        <v>781</v>
      </c>
      <c r="B27" s="215" t="s">
        <v>823</v>
      </c>
      <c r="C27" s="237" t="s">
        <v>22</v>
      </c>
      <c r="D27" s="215" t="s">
        <v>786</v>
      </c>
      <c r="E27" s="215" t="s">
        <v>824</v>
      </c>
    </row>
    <row r="28" spans="1:5" ht="72" customHeight="1" x14ac:dyDescent="0.55000000000000004">
      <c r="A28" s="227" t="s">
        <v>767</v>
      </c>
      <c r="B28" s="215" t="s">
        <v>825</v>
      </c>
      <c r="C28" t="s">
        <v>22</v>
      </c>
      <c r="D28" t="s">
        <v>826</v>
      </c>
    </row>
    <row r="29" spans="1:5" ht="57.6" customHeight="1" x14ac:dyDescent="0.55000000000000004">
      <c r="A29" t="s">
        <v>781</v>
      </c>
      <c r="B29" s="215" t="s">
        <v>827</v>
      </c>
      <c r="C29" t="s">
        <v>22</v>
      </c>
      <c r="D29" t="s">
        <v>786</v>
      </c>
    </row>
    <row r="30" spans="1:5" ht="72" customHeight="1" x14ac:dyDescent="0.55000000000000004">
      <c r="A30" t="s">
        <v>781</v>
      </c>
      <c r="B30" s="215" t="s">
        <v>828</v>
      </c>
      <c r="C30" t="s">
        <v>22</v>
      </c>
      <c r="D30" t="s">
        <v>829</v>
      </c>
    </row>
    <row r="31" spans="1:5" ht="72" customHeight="1" x14ac:dyDescent="0.55000000000000004">
      <c r="A31" t="s">
        <v>773</v>
      </c>
      <c r="B31" s="215" t="s">
        <v>830</v>
      </c>
      <c r="C31" t="s">
        <v>22</v>
      </c>
      <c r="D31" t="s">
        <v>831</v>
      </c>
    </row>
    <row r="32" spans="1:5" ht="57.6" customHeight="1" x14ac:dyDescent="0.55000000000000004">
      <c r="A32" t="s">
        <v>773</v>
      </c>
      <c r="B32" s="215" t="s">
        <v>832</v>
      </c>
      <c r="C32" t="s">
        <v>22</v>
      </c>
      <c r="D32" t="s">
        <v>833</v>
      </c>
    </row>
    <row r="33" spans="1:4" ht="72" customHeight="1" x14ac:dyDescent="0.55000000000000004">
      <c r="A33" t="s">
        <v>773</v>
      </c>
      <c r="B33" s="215" t="s">
        <v>834</v>
      </c>
      <c r="C33" t="s">
        <v>22</v>
      </c>
      <c r="D33" t="s">
        <v>831</v>
      </c>
    </row>
    <row r="34" spans="1:4" ht="72" customHeight="1" x14ac:dyDescent="0.55000000000000004">
      <c r="A34" t="s">
        <v>773</v>
      </c>
      <c r="B34" s="215" t="s">
        <v>835</v>
      </c>
      <c r="C34" t="s">
        <v>22</v>
      </c>
      <c r="D34" t="s">
        <v>836</v>
      </c>
    </row>
    <row r="35" spans="1:4" ht="72" customHeight="1" x14ac:dyDescent="0.55000000000000004">
      <c r="A35" t="s">
        <v>781</v>
      </c>
      <c r="B35" s="215" t="s">
        <v>837</v>
      </c>
      <c r="C35" t="s">
        <v>22</v>
      </c>
      <c r="D35" t="s">
        <v>838</v>
      </c>
    </row>
    <row r="36" spans="1:4" ht="86.4" customHeight="1" x14ac:dyDescent="0.55000000000000004">
      <c r="A36" t="s">
        <v>773</v>
      </c>
      <c r="B36" s="215" t="s">
        <v>839</v>
      </c>
      <c r="C36" t="s">
        <v>22</v>
      </c>
      <c r="D36" t="s">
        <v>840</v>
      </c>
    </row>
    <row r="37" spans="1:4" ht="72" customHeight="1" x14ac:dyDescent="0.55000000000000004">
      <c r="A37" t="s">
        <v>781</v>
      </c>
      <c r="B37" s="215" t="s">
        <v>841</v>
      </c>
      <c r="C37" t="s">
        <v>22</v>
      </c>
      <c r="D37" t="s">
        <v>840</v>
      </c>
    </row>
    <row r="38" spans="1:4" ht="57.6" customHeight="1" x14ac:dyDescent="0.55000000000000004">
      <c r="A38" t="s">
        <v>798</v>
      </c>
      <c r="B38" s="215" t="s">
        <v>842</v>
      </c>
      <c r="C38" t="s">
        <v>22</v>
      </c>
      <c r="D38" t="s">
        <v>840</v>
      </c>
    </row>
    <row r="39" spans="1:4" ht="86.4" customHeight="1" x14ac:dyDescent="0.55000000000000004">
      <c r="A39" t="s">
        <v>773</v>
      </c>
      <c r="B39" s="215" t="s">
        <v>843</v>
      </c>
      <c r="C39" t="s">
        <v>22</v>
      </c>
      <c r="D39" t="s">
        <v>840</v>
      </c>
    </row>
    <row r="40" spans="1:4" ht="57.6" customHeight="1" x14ac:dyDescent="0.55000000000000004">
      <c r="A40" t="s">
        <v>781</v>
      </c>
      <c r="B40" s="215" t="s">
        <v>844</v>
      </c>
      <c r="C40" t="s">
        <v>22</v>
      </c>
      <c r="D40" t="s">
        <v>840</v>
      </c>
    </row>
    <row r="41" spans="1:4" ht="100.8" customHeight="1" x14ac:dyDescent="0.55000000000000004">
      <c r="A41" t="s">
        <v>773</v>
      </c>
      <c r="B41" s="215" t="s">
        <v>845</v>
      </c>
      <c r="C41" t="s">
        <v>22</v>
      </c>
      <c r="D41" t="s">
        <v>846</v>
      </c>
    </row>
    <row r="42" spans="1:4" ht="57.6" customHeight="1" x14ac:dyDescent="0.55000000000000004">
      <c r="A42" t="s">
        <v>781</v>
      </c>
      <c r="B42" s="215" t="s">
        <v>847</v>
      </c>
      <c r="C42" t="s">
        <v>22</v>
      </c>
      <c r="D42" t="s">
        <v>846</v>
      </c>
    </row>
    <row r="43" spans="1:4" ht="86.4" customHeight="1" x14ac:dyDescent="0.55000000000000004">
      <c r="A43" t="s">
        <v>781</v>
      </c>
      <c r="B43" s="215" t="s">
        <v>848</v>
      </c>
      <c r="C43" t="s">
        <v>22</v>
      </c>
      <c r="D43" t="s">
        <v>849</v>
      </c>
    </row>
    <row r="44" spans="1:4" ht="72" customHeight="1" x14ac:dyDescent="0.55000000000000004">
      <c r="A44" t="s">
        <v>781</v>
      </c>
      <c r="B44" s="215" t="s">
        <v>850</v>
      </c>
      <c r="C44" t="s">
        <v>22</v>
      </c>
      <c r="D44" t="s">
        <v>849</v>
      </c>
    </row>
    <row r="45" spans="1:4" ht="43.2" customHeight="1" x14ac:dyDescent="0.55000000000000004">
      <c r="A45" t="s">
        <v>798</v>
      </c>
      <c r="B45" s="215" t="s">
        <v>851</v>
      </c>
      <c r="C45" t="s">
        <v>128</v>
      </c>
      <c r="D45" t="s">
        <v>852</v>
      </c>
    </row>
    <row r="46" spans="1:4" ht="72" customHeight="1" x14ac:dyDescent="0.55000000000000004">
      <c r="A46" s="274" t="s">
        <v>853</v>
      </c>
      <c r="B46" s="215" t="s">
        <v>854</v>
      </c>
      <c r="C46" t="s">
        <v>22</v>
      </c>
      <c r="D46" t="s">
        <v>855</v>
      </c>
    </row>
    <row r="47" spans="1:4" ht="72" customHeight="1" x14ac:dyDescent="0.55000000000000004">
      <c r="A47" s="274" t="s">
        <v>853</v>
      </c>
      <c r="B47" s="215" t="s">
        <v>856</v>
      </c>
      <c r="C47" t="s">
        <v>22</v>
      </c>
      <c r="D47" t="s">
        <v>857</v>
      </c>
    </row>
    <row r="48" spans="1:4" ht="57.6" customHeight="1" x14ac:dyDescent="0.55000000000000004">
      <c r="A48" s="274" t="s">
        <v>853</v>
      </c>
      <c r="B48" s="215" t="s">
        <v>858</v>
      </c>
      <c r="C48" t="s">
        <v>22</v>
      </c>
      <c r="D48" t="s">
        <v>857</v>
      </c>
    </row>
    <row r="49" spans="1:4" ht="72" customHeight="1" x14ac:dyDescent="0.55000000000000004">
      <c r="A49" s="274" t="s">
        <v>853</v>
      </c>
      <c r="B49" s="215" t="s">
        <v>859</v>
      </c>
      <c r="C49" t="s">
        <v>22</v>
      </c>
      <c r="D49" t="s">
        <v>857</v>
      </c>
    </row>
    <row r="50" spans="1:4" ht="86.4" customHeight="1" x14ac:dyDescent="0.55000000000000004">
      <c r="A50" s="274" t="s">
        <v>853</v>
      </c>
      <c r="B50" s="215" t="s">
        <v>860</v>
      </c>
      <c r="C50" t="s">
        <v>22</v>
      </c>
      <c r="D50" t="s">
        <v>861</v>
      </c>
    </row>
    <row r="51" spans="1:4" ht="115.2" customHeight="1" x14ac:dyDescent="0.55000000000000004">
      <c r="A51" s="274" t="s">
        <v>853</v>
      </c>
      <c r="B51" s="215" t="s">
        <v>862</v>
      </c>
      <c r="C51" t="s">
        <v>22</v>
      </c>
      <c r="D51" t="s">
        <v>863</v>
      </c>
    </row>
    <row r="52" spans="1:4" ht="100.8" customHeight="1" x14ac:dyDescent="0.55000000000000004">
      <c r="A52" s="274" t="s">
        <v>853</v>
      </c>
      <c r="B52" s="215" t="s">
        <v>864</v>
      </c>
      <c r="C52" t="s">
        <v>22</v>
      </c>
      <c r="D52" t="s">
        <v>865</v>
      </c>
    </row>
    <row r="53" spans="1:4" ht="72" customHeight="1" x14ac:dyDescent="0.55000000000000004">
      <c r="A53" s="274" t="s">
        <v>853</v>
      </c>
      <c r="B53" s="215" t="s">
        <v>866</v>
      </c>
      <c r="C53" t="s">
        <v>128</v>
      </c>
      <c r="D53" t="s">
        <v>863</v>
      </c>
    </row>
    <row r="54" spans="1:4" ht="100.8" customHeight="1" x14ac:dyDescent="0.55000000000000004">
      <c r="A54" s="274" t="s">
        <v>853</v>
      </c>
      <c r="B54" s="215" t="s">
        <v>867</v>
      </c>
      <c r="C54" t="s">
        <v>22</v>
      </c>
      <c r="D54" t="s">
        <v>865</v>
      </c>
    </row>
    <row r="55" spans="1:4" ht="57.6" customHeight="1" x14ac:dyDescent="0.55000000000000004">
      <c r="A55" s="274" t="s">
        <v>853</v>
      </c>
      <c r="B55" s="215" t="s">
        <v>868</v>
      </c>
      <c r="C55" t="s">
        <v>22</v>
      </c>
      <c r="D55" t="s">
        <v>869</v>
      </c>
    </row>
    <row r="56" spans="1:4" ht="43.2" customHeight="1" x14ac:dyDescent="0.55000000000000004">
      <c r="A56" s="274" t="s">
        <v>853</v>
      </c>
      <c r="B56" s="215" t="s">
        <v>870</v>
      </c>
      <c r="C56" t="s">
        <v>128</v>
      </c>
      <c r="D56" t="s">
        <v>871</v>
      </c>
    </row>
    <row r="57" spans="1:4" ht="115.2" customHeight="1" x14ac:dyDescent="0.55000000000000004">
      <c r="A57" s="274" t="s">
        <v>853</v>
      </c>
      <c r="B57" s="215" t="s">
        <v>872</v>
      </c>
      <c r="C57" t="s">
        <v>22</v>
      </c>
      <c r="D57" t="s">
        <v>873</v>
      </c>
    </row>
    <row r="58" spans="1:4" ht="57.6" customHeight="1" x14ac:dyDescent="0.55000000000000004">
      <c r="A58" s="274" t="s">
        <v>853</v>
      </c>
      <c r="B58" s="215" t="s">
        <v>874</v>
      </c>
      <c r="C58" t="s">
        <v>22</v>
      </c>
      <c r="D58" t="s">
        <v>873</v>
      </c>
    </row>
    <row r="59" spans="1:4" ht="72" customHeight="1" x14ac:dyDescent="0.55000000000000004">
      <c r="A59" s="274" t="s">
        <v>853</v>
      </c>
      <c r="B59" s="215" t="s">
        <v>875</v>
      </c>
      <c r="C59" t="s">
        <v>22</v>
      </c>
      <c r="D59" t="s">
        <v>873</v>
      </c>
    </row>
    <row r="60" spans="1:4" ht="57.6" customHeight="1" x14ac:dyDescent="0.55000000000000004">
      <c r="A60" s="274" t="s">
        <v>853</v>
      </c>
      <c r="B60" s="215" t="s">
        <v>876</v>
      </c>
      <c r="C60" t="s">
        <v>128</v>
      </c>
      <c r="D60" t="s">
        <v>873</v>
      </c>
    </row>
    <row r="61" spans="1:4" ht="72" customHeight="1" x14ac:dyDescent="0.55000000000000004">
      <c r="A61" s="274" t="s">
        <v>877</v>
      </c>
      <c r="B61" s="215" t="s">
        <v>878</v>
      </c>
      <c r="C61" t="s">
        <v>22</v>
      </c>
      <c r="D61" t="s">
        <v>846</v>
      </c>
    </row>
    <row r="62" spans="1:4" ht="72" customHeight="1" x14ac:dyDescent="0.55000000000000004">
      <c r="A62" s="274" t="s">
        <v>877</v>
      </c>
      <c r="B62" s="215" t="s">
        <v>879</v>
      </c>
      <c r="C62" t="s">
        <v>22</v>
      </c>
      <c r="D62" t="s">
        <v>846</v>
      </c>
    </row>
    <row r="63" spans="1:4" ht="72" customHeight="1" x14ac:dyDescent="0.55000000000000004">
      <c r="A63" s="274" t="s">
        <v>877</v>
      </c>
      <c r="B63" s="215" t="s">
        <v>880</v>
      </c>
      <c r="C63" t="s">
        <v>22</v>
      </c>
      <c r="D63" t="s">
        <v>846</v>
      </c>
    </row>
    <row r="64" spans="1:4" ht="86.4" customHeight="1" x14ac:dyDescent="0.55000000000000004">
      <c r="A64" s="274" t="s">
        <v>853</v>
      </c>
      <c r="B64" s="215" t="s">
        <v>881</v>
      </c>
      <c r="C64" t="s">
        <v>22</v>
      </c>
      <c r="D64" t="s">
        <v>882</v>
      </c>
    </row>
    <row r="65" spans="1:4" ht="72" customHeight="1" x14ac:dyDescent="0.55000000000000004">
      <c r="A65" s="274" t="s">
        <v>853</v>
      </c>
      <c r="B65" s="215" t="s">
        <v>883</v>
      </c>
      <c r="C65" t="s">
        <v>22</v>
      </c>
      <c r="D65" t="s">
        <v>882</v>
      </c>
    </row>
    <row r="66" spans="1:4" ht="72" customHeight="1" x14ac:dyDescent="0.55000000000000004">
      <c r="A66" s="274" t="s">
        <v>853</v>
      </c>
      <c r="B66" s="215" t="s">
        <v>884</v>
      </c>
      <c r="C66" t="s">
        <v>22</v>
      </c>
      <c r="D66" t="s">
        <v>882</v>
      </c>
    </row>
    <row r="67" spans="1:4" ht="86.4" customHeight="1" x14ac:dyDescent="0.55000000000000004">
      <c r="A67" s="274" t="s">
        <v>885</v>
      </c>
      <c r="B67" s="215" t="s">
        <v>886</v>
      </c>
      <c r="C67" t="s">
        <v>22</v>
      </c>
      <c r="D67" t="s">
        <v>846</v>
      </c>
    </row>
    <row r="68" spans="1:4" ht="72" customHeight="1" x14ac:dyDescent="0.55000000000000004">
      <c r="A68" s="274" t="s">
        <v>885</v>
      </c>
      <c r="B68" s="215" t="s">
        <v>887</v>
      </c>
      <c r="C68" t="s">
        <v>22</v>
      </c>
      <c r="D68" t="s">
        <v>846</v>
      </c>
    </row>
    <row r="69" spans="1:4" ht="57.6" customHeight="1" x14ac:dyDescent="0.55000000000000004">
      <c r="A69" s="274" t="s">
        <v>885</v>
      </c>
      <c r="B69" s="215" t="s">
        <v>888</v>
      </c>
      <c r="C69" t="s">
        <v>22</v>
      </c>
      <c r="D69" t="s">
        <v>846</v>
      </c>
    </row>
    <row r="70" spans="1:4" ht="86.4" customHeight="1" x14ac:dyDescent="0.55000000000000004">
      <c r="A70" s="274" t="s">
        <v>853</v>
      </c>
      <c r="B70" s="215" t="s">
        <v>889</v>
      </c>
      <c r="C70" t="s">
        <v>22</v>
      </c>
      <c r="D70" t="s">
        <v>890</v>
      </c>
    </row>
    <row r="71" spans="1:4" ht="43.2" customHeight="1" x14ac:dyDescent="0.55000000000000004">
      <c r="A71" s="274" t="s">
        <v>853</v>
      </c>
      <c r="B71" s="215" t="s">
        <v>891</v>
      </c>
      <c r="C71" t="s">
        <v>22</v>
      </c>
      <c r="D71" t="s">
        <v>890</v>
      </c>
    </row>
    <row r="72" spans="1:4" ht="72" customHeight="1" x14ac:dyDescent="0.55000000000000004">
      <c r="A72" s="274" t="s">
        <v>853</v>
      </c>
      <c r="B72" s="215" t="s">
        <v>892</v>
      </c>
      <c r="C72" t="s">
        <v>22</v>
      </c>
      <c r="D72" t="s">
        <v>890</v>
      </c>
    </row>
    <row r="73" spans="1:4" ht="57.6" customHeight="1" x14ac:dyDescent="0.55000000000000004">
      <c r="A73" s="274" t="s">
        <v>853</v>
      </c>
      <c r="B73" s="215" t="s">
        <v>893</v>
      </c>
      <c r="C73" t="s">
        <v>128</v>
      </c>
      <c r="D73" t="s">
        <v>890</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894</v>
      </c>
    </row>
    <row r="2" spans="1:9" x14ac:dyDescent="0.55000000000000004">
      <c r="A2" s="212" t="s">
        <v>895</v>
      </c>
    </row>
    <row r="4" spans="1:9" x14ac:dyDescent="0.55000000000000004">
      <c r="A4" s="213" t="s">
        <v>896</v>
      </c>
      <c r="B4" s="213" t="s">
        <v>897</v>
      </c>
      <c r="C4" s="213" t="s">
        <v>898</v>
      </c>
      <c r="D4" s="213" t="s">
        <v>899</v>
      </c>
      <c r="E4" s="213" t="s">
        <v>900</v>
      </c>
      <c r="F4" s="213" t="s">
        <v>901</v>
      </c>
      <c r="G4" s="213" t="s">
        <v>902</v>
      </c>
      <c r="H4" s="213" t="s">
        <v>4</v>
      </c>
      <c r="I4" s="213" t="s">
        <v>903</v>
      </c>
    </row>
    <row r="5" spans="1:9" ht="62.05" customHeight="1" x14ac:dyDescent="0.55000000000000004">
      <c r="A5" s="214" t="s">
        <v>904</v>
      </c>
      <c r="B5" s="215" t="s">
        <v>905</v>
      </c>
      <c r="C5" s="215" t="s">
        <v>906</v>
      </c>
      <c r="D5" s="215" t="s">
        <v>907</v>
      </c>
      <c r="E5" s="215" t="s">
        <v>908</v>
      </c>
      <c r="F5" s="215" t="s">
        <v>909</v>
      </c>
      <c r="G5" s="215" t="s">
        <v>910</v>
      </c>
      <c r="H5" s="216" t="s">
        <v>911</v>
      </c>
      <c r="I5" s="215" t="s">
        <v>912</v>
      </c>
    </row>
    <row r="6" spans="1:9" ht="62.05" customHeight="1" x14ac:dyDescent="0.55000000000000004">
      <c r="A6" s="214" t="s">
        <v>913</v>
      </c>
      <c r="B6" s="215" t="s">
        <v>914</v>
      </c>
      <c r="C6" s="215" t="s">
        <v>915</v>
      </c>
      <c r="D6" s="215" t="s">
        <v>916</v>
      </c>
      <c r="E6" s="215" t="s">
        <v>917</v>
      </c>
      <c r="F6" s="215" t="s">
        <v>918</v>
      </c>
      <c r="G6" s="215" t="s">
        <v>919</v>
      </c>
      <c r="H6" s="217" t="s">
        <v>911</v>
      </c>
      <c r="I6" s="215" t="s">
        <v>920</v>
      </c>
    </row>
    <row r="7" spans="1:9" ht="62.05" customHeight="1" x14ac:dyDescent="0.55000000000000004">
      <c r="A7" s="214" t="s">
        <v>921</v>
      </c>
      <c r="B7" s="215" t="s">
        <v>922</v>
      </c>
      <c r="C7" s="215" t="s">
        <v>923</v>
      </c>
      <c r="D7" s="215" t="s">
        <v>924</v>
      </c>
      <c r="E7" s="215" t="s">
        <v>925</v>
      </c>
      <c r="F7" s="215" t="s">
        <v>926</v>
      </c>
      <c r="G7" s="215" t="s">
        <v>927</v>
      </c>
      <c r="H7" s="217" t="s">
        <v>911</v>
      </c>
      <c r="I7" s="215" t="s">
        <v>928</v>
      </c>
    </row>
    <row r="8" spans="1:9" ht="62.05" customHeight="1" x14ac:dyDescent="0.55000000000000004">
      <c r="A8" s="214" t="s">
        <v>929</v>
      </c>
      <c r="B8" s="215" t="s">
        <v>930</v>
      </c>
      <c r="C8" s="215" t="s">
        <v>931</v>
      </c>
      <c r="D8" s="215" t="s">
        <v>932</v>
      </c>
      <c r="E8" s="215" t="s">
        <v>694</v>
      </c>
      <c r="F8" s="215" t="s">
        <v>694</v>
      </c>
      <c r="G8" s="215" t="s">
        <v>694</v>
      </c>
      <c r="H8" s="216" t="s">
        <v>933</v>
      </c>
      <c r="I8" s="215" t="s">
        <v>934</v>
      </c>
    </row>
    <row r="9" spans="1:9" ht="62.05" customHeight="1" x14ac:dyDescent="0.55000000000000004">
      <c r="A9" s="214" t="s">
        <v>935</v>
      </c>
      <c r="B9" s="215" t="s">
        <v>936</v>
      </c>
      <c r="C9" s="215" t="s">
        <v>937</v>
      </c>
      <c r="D9" s="215" t="s">
        <v>932</v>
      </c>
      <c r="E9" s="215" t="s">
        <v>925</v>
      </c>
      <c r="F9" s="215" t="s">
        <v>938</v>
      </c>
      <c r="G9" s="215" t="s">
        <v>939</v>
      </c>
      <c r="H9" s="218" t="s">
        <v>940</v>
      </c>
      <c r="I9" s="215" t="s">
        <v>941</v>
      </c>
    </row>
    <row r="10" spans="1:9" ht="62.05" customHeight="1" x14ac:dyDescent="0.55000000000000004">
      <c r="A10" s="214" t="s">
        <v>942</v>
      </c>
      <c r="B10" s="215" t="s">
        <v>943</v>
      </c>
      <c r="C10" s="215" t="s">
        <v>944</v>
      </c>
      <c r="D10" s="215" t="s">
        <v>945</v>
      </c>
      <c r="E10" s="215" t="s">
        <v>946</v>
      </c>
      <c r="F10" s="215" t="s">
        <v>947</v>
      </c>
      <c r="G10" s="215" t="s">
        <v>948</v>
      </c>
      <c r="H10" s="218" t="s">
        <v>949</v>
      </c>
      <c r="I10" s="215" t="s">
        <v>950</v>
      </c>
    </row>
    <row r="11" spans="1:9" ht="62.05" customHeight="1" x14ac:dyDescent="0.55000000000000004">
      <c r="A11" s="214" t="s">
        <v>951</v>
      </c>
      <c r="B11" s="215" t="s">
        <v>952</v>
      </c>
      <c r="C11" s="215" t="s">
        <v>953</v>
      </c>
      <c r="D11" s="215" t="s">
        <v>954</v>
      </c>
      <c r="E11" s="215" t="s">
        <v>694</v>
      </c>
      <c r="F11" s="215" t="s">
        <v>694</v>
      </c>
      <c r="G11" s="215" t="s">
        <v>955</v>
      </c>
      <c r="H11" s="218" t="s">
        <v>956</v>
      </c>
      <c r="I11" s="215" t="s">
        <v>957</v>
      </c>
    </row>
    <row r="12" spans="1:9" ht="62.05" customHeight="1" x14ac:dyDescent="0.55000000000000004">
      <c r="A12" s="214" t="s">
        <v>958</v>
      </c>
      <c r="B12" s="215" t="s">
        <v>959</v>
      </c>
      <c r="C12" s="215" t="s">
        <v>960</v>
      </c>
      <c r="D12" s="215" t="s">
        <v>961</v>
      </c>
      <c r="E12" s="215" t="s">
        <v>694</v>
      </c>
      <c r="F12" s="215" t="s">
        <v>694</v>
      </c>
      <c r="G12" s="215" t="s">
        <v>955</v>
      </c>
      <c r="H12" s="217" t="s">
        <v>962</v>
      </c>
      <c r="I12" s="215" t="s">
        <v>963</v>
      </c>
    </row>
    <row r="13" spans="1:9" ht="62.05" customHeight="1" x14ac:dyDescent="0.55000000000000004">
      <c r="A13" s="214" t="s">
        <v>964</v>
      </c>
      <c r="B13" s="215" t="s">
        <v>965</v>
      </c>
      <c r="C13" s="215" t="s">
        <v>966</v>
      </c>
      <c r="D13" s="215" t="s">
        <v>694</v>
      </c>
      <c r="E13" s="215" t="s">
        <v>694</v>
      </c>
      <c r="F13" s="215" t="s">
        <v>694</v>
      </c>
      <c r="G13" s="215" t="s">
        <v>694</v>
      </c>
      <c r="H13" s="218" t="s">
        <v>967</v>
      </c>
      <c r="I13" s="215" t="s">
        <v>968</v>
      </c>
    </row>
    <row r="14" spans="1:9" ht="62.05" customHeight="1" x14ac:dyDescent="0.55000000000000004">
      <c r="A14" s="214" t="s">
        <v>969</v>
      </c>
      <c r="B14" s="215" t="s">
        <v>970</v>
      </c>
      <c r="C14" s="215" t="s">
        <v>966</v>
      </c>
      <c r="D14" s="215" t="s">
        <v>694</v>
      </c>
      <c r="E14" s="215" t="s">
        <v>694</v>
      </c>
      <c r="F14" s="215" t="s">
        <v>694</v>
      </c>
      <c r="G14" s="215" t="s">
        <v>694</v>
      </c>
      <c r="H14" s="218" t="s">
        <v>967</v>
      </c>
      <c r="I14" s="215" t="s">
        <v>971</v>
      </c>
    </row>
    <row r="16" spans="1:9" x14ac:dyDescent="0.55000000000000004">
      <c r="A16" s="304" t="s">
        <v>972</v>
      </c>
      <c r="B16" s="284"/>
      <c r="C16" s="284"/>
      <c r="D16" s="284"/>
      <c r="E16" s="284"/>
      <c r="F16" s="284"/>
      <c r="G16" s="284"/>
      <c r="H16" s="284"/>
      <c r="I16" s="284"/>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2026-08-13T16:23:49Z</dcterms:modified>
</cp:coreProperties>
</file>