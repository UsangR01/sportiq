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 xmlns:r="http://schemas.openxmlformats.org/officeDocument/2006/relationships" name="APIs &amp; Quotas" sheetId="5" state="visible" r:id="rId5"/>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74">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b val="1"/>
      <sz val="14"/>
    </font>
    <font>
      <i val="1"/>
      <sz val="9"/>
    </font>
    <font>
      <b val="1"/>
      <color rgb="00FFFFFF"/>
    </font>
    <font>
      <b val="1"/>
    </font>
  </fonts>
  <fills count="74">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001F3864"/>
      </patternFill>
    </fill>
    <fill>
      <patternFill patternType="solid">
        <fgColor rgb="00F8CBAD"/>
      </patternFill>
    </fill>
    <fill>
      <patternFill patternType="solid">
        <fgColor rgb="00E2EFDA"/>
      </patternFill>
    </fill>
    <fill>
      <patternFill patternType="solid">
        <fgColor rgb="00FFF2CC"/>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285">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7" fillId="5" borderId="1" applyAlignment="1" pivotButton="0" quotePrefix="0" xfId="0">
      <alignment horizontal="left"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7" fillId="7" borderId="1" applyAlignment="1" pivotButton="0" quotePrefix="0" xfId="0">
      <alignment horizontal="left"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4" fillId="17" borderId="7" applyAlignment="1" pivotButton="0" quotePrefix="0" xfId="0">
      <alignment horizontal="center"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5" fillId="16" borderId="7" applyAlignment="1" pivotButton="0" quotePrefix="0" xfId="0">
      <alignment horizontal="left"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5" fillId="18" borderId="7" applyAlignment="1" pivotButton="0" quotePrefix="0" xfId="0">
      <alignment horizontal="left"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8" fillId="21" borderId="8" applyAlignment="1" pivotButton="0" quotePrefix="0" xfId="0">
      <alignment horizontal="center"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9" fillId="20" borderId="8" applyAlignment="1" pivotButton="0" quotePrefix="0" xfId="0">
      <alignment horizontal="left"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9" fillId="22" borderId="8" applyAlignment="1" pivotButton="0" quotePrefix="0" xfId="0">
      <alignment horizontal="left"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2" fillId="26" borderId="9" applyAlignment="1" pivotButton="0" quotePrefix="0" xfId="0">
      <alignment horizontal="center"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3" fillId="25" borderId="9" applyAlignment="1" pivotButton="0" quotePrefix="0" xfId="0">
      <alignment horizontal="left"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6" fillId="29" borderId="10" applyAlignment="1" pivotButton="0" quotePrefix="0" xfId="0">
      <alignment horizontal="center"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7" fillId="28" borderId="10" applyAlignment="1" pivotButton="0" quotePrefix="0" xfId="0">
      <alignment horizontal="left"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7" fillId="30" borderId="10" applyAlignment="1" pivotButton="0" quotePrefix="0" xfId="0">
      <alignment horizontal="left"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40" fillId="33" borderId="11" applyAlignment="1" pivotButton="0" quotePrefix="0" xfId="0">
      <alignment horizontal="center"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41" fillId="32" borderId="11" applyAlignment="1" pivotButton="0" quotePrefix="0" xfId="0">
      <alignment horizontal="left"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1" fillId="34" borderId="11" applyAlignment="1" pivotButton="0" quotePrefix="0" xfId="0">
      <alignment horizontal="left"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4" fillId="37" borderId="12" applyAlignment="1" pivotButton="0" quotePrefix="0" xfId="0">
      <alignment horizontal="center"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5" fillId="36" borderId="12" applyAlignment="1" pivotButton="0" quotePrefix="0" xfId="0">
      <alignment horizontal="left"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5" fillId="38" borderId="12" applyAlignment="1" pivotButton="0" quotePrefix="0" xfId="0">
      <alignment horizontal="left"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9" fillId="40" borderId="13" applyAlignment="1" pivotButton="0" quotePrefix="0" xfId="0">
      <alignment horizontal="left"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8" fillId="43" borderId="13" applyAlignment="1" pivotButton="0" quotePrefix="0" xfId="0">
      <alignment horizontal="center"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9" fillId="42" borderId="13" applyAlignment="1" pivotButton="0" quotePrefix="0" xfId="0">
      <alignment horizontal="left"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2" fillId="46" borderId="14" applyAlignment="1" pivotButton="0" quotePrefix="0" xfId="0">
      <alignment horizontal="center"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3" fillId="45" borderId="14" applyAlignment="1" pivotButton="0" quotePrefix="0" xfId="0">
      <alignment horizontal="left"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3" fillId="47" borderId="14" applyAlignment="1" pivotButton="0" quotePrefix="0" xfId="0">
      <alignment horizontal="left"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7" fillId="51" borderId="15" applyAlignment="1" pivotButton="0" quotePrefix="0" xfId="0">
      <alignment horizontal="left"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60" fillId="55" borderId="16" applyAlignment="1" pivotButton="0" quotePrefix="0" xfId="0">
      <alignment horizontal="center"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61" fillId="54" borderId="16" applyAlignment="1" pivotButton="0" quotePrefix="0" xfId="0">
      <alignment horizontal="left"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5" fillId="59" borderId="17" applyAlignment="1" pivotButton="0" quotePrefix="0" xfId="0">
      <alignment horizontal="left"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4" fillId="62" borderId="17" applyAlignment="1" pivotButton="0" quotePrefix="0" xfId="0">
      <alignment horizontal="center"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5" fillId="61" borderId="17" applyAlignment="1" pivotButton="0" quotePrefix="0" xfId="0">
      <alignment horizontal="left"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8" fillId="65" borderId="18" applyAlignment="1" pivotButton="0" quotePrefix="0" xfId="0">
      <alignment horizontal="center"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9" fillId="64" borderId="18" applyAlignment="1" pivotButton="0" quotePrefix="0" xfId="0">
      <alignment horizontal="left"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9" fillId="66" borderId="18" applyAlignment="1" pivotButton="0" quotePrefix="0" xfId="0">
      <alignment horizontal="left"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8" fillId="69" borderId="18" applyAlignment="1" pivotButton="0" quotePrefix="0" xfId="0">
      <alignment horizontal="center"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0" fontId="2" fillId="3" borderId="17" applyAlignment="1" pivotButton="0" quotePrefix="0" xfId="0">
      <alignment horizontal="left" vertical="center"/>
    </xf>
    <xf numFmtId="0" fontId="0" fillId="0" borderId="2" pivotButton="0" quotePrefix="0" xfId="0"/>
    <xf numFmtId="0" fontId="0" fillId="0" borderId="3" pivotButton="0" quotePrefix="0" xfId="0"/>
    <xf numFmtId="0" fontId="1" fillId="2" borderId="17" applyAlignment="1" pivotButton="0" quotePrefix="0" xfId="0">
      <alignment horizontal="left" vertical="center"/>
    </xf>
    <xf numFmtId="0" fontId="1" fillId="2" borderId="0" applyAlignment="1" pivotButton="0" quotePrefix="0" xfId="0">
      <alignment horizontal="left" vertical="center" indent="1"/>
    </xf>
    <xf numFmtId="0" fontId="0" fillId="0" borderId="0" pivotButton="0" quotePrefix="0" xfId="0"/>
    <xf numFmtId="0" fontId="15" fillId="8" borderId="4" applyAlignment="1" pivotButton="0" quotePrefix="0" xfId="0">
      <alignment horizontal="center" vertical="center" wrapText="1"/>
    </xf>
    <xf numFmtId="0" fontId="0" fillId="0" borderId="5" pivotButton="0" quotePrefix="0" xfId="0"/>
    <xf numFmtId="0" fontId="0" fillId="0" borderId="6" pivotButton="0" quotePrefix="0" xfId="0"/>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6" borderId="4" applyAlignment="1" pivotButton="0" quotePrefix="0" xfId="0">
      <alignment horizontal="center" vertical="center" wrapText="1"/>
    </xf>
    <xf numFmtId="0" fontId="15" fillId="13" borderId="4" applyAlignment="1" pivotButton="0" quotePrefix="0" xfId="0">
      <alignment horizontal="center" vertical="center" wrapText="1"/>
    </xf>
    <xf numFmtId="0" fontId="3" fillId="2" borderId="0" applyAlignment="1" pivotButton="0" quotePrefix="0" xfId="0">
      <alignment horizontal="left" vertical="center" indent="1"/>
    </xf>
    <xf numFmtId="0" fontId="13" fillId="3" borderId="0" applyAlignment="1" pivotButton="0" quotePrefix="0" xfId="0">
      <alignment horizontal="left" vertical="center" indent="1"/>
    </xf>
    <xf numFmtId="0" fontId="16" fillId="0" borderId="0" applyAlignment="1" pivotButton="0" quotePrefix="0" xfId="0">
      <alignment horizontal="center" vertical="center"/>
    </xf>
    <xf numFmtId="0" fontId="15" fillId="14"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4" borderId="0" applyAlignment="1" pivotButton="0" quotePrefix="0" xfId="0">
      <alignment horizontal="center" vertical="center"/>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1" borderId="0" applyAlignment="1" pivotButton="0" quotePrefix="0" xfId="0">
      <alignment horizontal="center" vertical="center"/>
    </xf>
    <xf numFmtId="0" fontId="15" fillId="11" borderId="4" applyAlignment="1" pivotButton="0" quotePrefix="0" xfId="0">
      <alignment horizontal="center" vertical="center" wrapText="1"/>
    </xf>
    <xf numFmtId="0" fontId="11" fillId="2" borderId="17" applyAlignment="1" pivotButton="0" quotePrefix="0" xfId="0">
      <alignment horizontal="left" vertical="center"/>
    </xf>
    <xf numFmtId="0" fontId="1" fillId="2" borderId="18" applyAlignment="1" pivotButton="0" quotePrefix="0" xfId="0">
      <alignment horizontal="left" vertical="center"/>
    </xf>
    <xf numFmtId="0" fontId="2" fillId="3" borderId="18" applyAlignment="1" pivotButton="0" quotePrefix="0" xfId="0">
      <alignment horizontal="left" vertical="center"/>
    </xf>
    <xf numFmtId="165" fontId="0" fillId="0" borderId="0" pivotButton="0" quotePrefix="0" xfId="0"/>
    <xf numFmtId="0" fontId="11" fillId="2" borderId="18" applyAlignment="1" pivotButton="0" quotePrefix="0" xfId="0">
      <alignment horizontal="left" vertical="center"/>
    </xf>
    <xf numFmtId="0" fontId="70" fillId="0" borderId="0" pivotButton="0" quotePrefix="0" xfId="0"/>
    <xf numFmtId="0" fontId="71" fillId="0" borderId="0" pivotButton="0" quotePrefix="0" xfId="0"/>
    <xf numFmtId="0" fontId="72" fillId="70" borderId="0" applyAlignment="1" pivotButton="0" quotePrefix="0" xfId="0">
      <alignment vertical="center" wrapText="1"/>
    </xf>
    <xf numFmtId="0" fontId="73" fillId="0" borderId="0" applyAlignment="1" pivotButton="0" quotePrefix="0" xfId="0">
      <alignment vertical="top" wrapText="1"/>
    </xf>
    <xf numFmtId="0" fontId="0" fillId="0" borderId="0" applyAlignment="1" pivotButton="0" quotePrefix="0" xfId="0">
      <alignment vertical="top" wrapText="1"/>
    </xf>
    <xf numFmtId="0" fontId="73" fillId="71" borderId="0" applyAlignment="1" pivotButton="0" quotePrefix="0" xfId="0">
      <alignment vertical="top" wrapText="1"/>
    </xf>
    <xf numFmtId="0" fontId="73" fillId="72" borderId="0" applyAlignment="1" pivotButton="0" quotePrefix="0" xfId="0">
      <alignment vertical="top" wrapText="1"/>
    </xf>
    <xf numFmtId="0" fontId="73" fillId="73" borderId="0" applyAlignment="1" pivotButton="0" quotePrefix="0" xfId="0">
      <alignment vertical="top" wrapText="1"/>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83"/>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50" min="1" max="1"/>
    <col width="44" customWidth="1" style="250" min="2" max="2"/>
    <col width="12" customWidth="1" style="250" min="3" max="3"/>
    <col width="10" customWidth="1" style="250" min="4" max="4"/>
    <col width="9" customWidth="1" style="250" min="5" max="6"/>
    <col width="56.3671875" bestFit="1" customWidth="1" style="250" min="7" max="7"/>
    <col width="5.41796875" customWidth="1" style="250" min="8" max="17"/>
    <col hidden="1" width="13" customWidth="1" style="250" min="18" max="18"/>
  </cols>
  <sheetData>
    <row r="1" ht="30" customHeight="1" s="250">
      <c r="A1" s="273" t="inlineStr">
        <is>
          <t>SportIQ — Delivery Board &amp; Roadmap</t>
        </is>
      </c>
      <c r="B1" s="246" t="n"/>
      <c r="C1" s="246" t="n"/>
      <c r="D1" s="246" t="n"/>
      <c r="E1" s="246" t="n"/>
      <c r="F1" s="246" t="n"/>
      <c r="G1" s="246" t="n"/>
      <c r="H1" s="246" t="n"/>
      <c r="I1" s="246" t="n"/>
      <c r="J1" s="246" t="n"/>
      <c r="K1" s="246" t="n"/>
      <c r="L1" s="246" t="n"/>
      <c r="M1" s="246" t="n"/>
      <c r="N1" s="246" t="n"/>
      <c r="O1" s="246" t="n"/>
      <c r="P1" s="246" t="n"/>
      <c r="Q1" s="247" t="n"/>
    </row>
    <row r="2" ht="18" customHeight="1" s="250">
      <c r="A2" s="274" t="inlineStr">
        <is>
          <t>Delivered dates are REAL (git history, first commit 2026-07-28). Dates from 2026-08-05 onward are PROPOSED. Updated 2026-08-04.</t>
        </is>
      </c>
      <c r="B2" s="246" t="n"/>
      <c r="C2" s="246" t="n"/>
      <c r="D2" s="246" t="n"/>
      <c r="E2" s="246" t="n"/>
      <c r="F2" s="246" t="n"/>
      <c r="G2" s="246" t="n"/>
      <c r="H2" s="246" t="n"/>
      <c r="I2" s="246" t="n"/>
      <c r="J2" s="246" t="n"/>
      <c r="K2" s="246" t="n"/>
      <c r="L2" s="246" t="n"/>
      <c r="M2" s="246" t="n"/>
      <c r="N2" s="246" t="n"/>
      <c r="O2" s="246" t="n"/>
      <c r="P2" s="246" t="n"/>
      <c r="Q2" s="247"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2" t="inlineStr">
        <is>
          <t>EpicKey (helper)</t>
        </is>
      </c>
    </row>
    <row r="5">
      <c r="A5" s="3" t="inlineStr">
        <is>
          <t>E1 Foundation</t>
        </is>
      </c>
      <c r="B5" s="4" t="inlineStr">
        <is>
          <t>PRD/TDD, repo, CLAUDE.md guidance</t>
        </is>
      </c>
      <c r="C5" s="5" t="inlineStr">
        <is>
          <t>Done</t>
        </is>
      </c>
      <c r="D5" s="6" t="inlineStr">
        <is>
          <t>Platform</t>
        </is>
      </c>
      <c r="E5" s="7" t="n">
        <v>46231</v>
      </c>
      <c r="F5" s="7" t="n">
        <v>46231</v>
      </c>
      <c r="G5" s="8" t="inlineStr">
        <is>
          <t>First commit</t>
        </is>
      </c>
      <c r="H5" s="9" t="n"/>
      <c r="I5" s="10" t="n"/>
      <c r="J5" s="10" t="n"/>
      <c r="K5" s="10" t="n"/>
      <c r="L5" s="10" t="n"/>
      <c r="M5" s="10" t="n"/>
      <c r="N5" s="10" t="n"/>
      <c r="O5" s="10" t="n"/>
      <c r="P5" s="10" t="n"/>
      <c r="Q5" s="10" t="n"/>
      <c r="R5">
        <f>$A5</f>
        <v/>
      </c>
    </row>
    <row r="6">
      <c r="A6" s="11" t="n"/>
      <c r="B6" s="11" t="inlineStr">
        <is>
          <t>FastAPI scaffold, TDD §2.1 schema, Alembic</t>
        </is>
      </c>
      <c r="C6" s="5" t="inlineStr">
        <is>
          <t>Done</t>
        </is>
      </c>
      <c r="D6" s="12" t="inlineStr">
        <is>
          <t>Platform</t>
        </is>
      </c>
      <c r="E6" s="13" t="n">
        <v>46231</v>
      </c>
      <c r="F6" s="13" t="n">
        <v>46232</v>
      </c>
      <c r="G6" s="14" t="inlineStr">
        <is>
          <t>All core tables</t>
        </is>
      </c>
      <c r="H6" s="9" t="n"/>
      <c r="I6" s="15" t="n"/>
      <c r="J6" s="15" t="n"/>
      <c r="K6" s="15" t="n"/>
      <c r="L6" s="15" t="n"/>
      <c r="M6" s="15" t="n"/>
      <c r="N6" s="15" t="n"/>
      <c r="O6" s="15" t="n"/>
      <c r="P6" s="15" t="n"/>
      <c r="Q6" s="15" t="n"/>
      <c r="R6">
        <f>IF($A6&lt;&gt;"",$A6,R5)</f>
        <v/>
      </c>
    </row>
    <row r="7">
      <c r="A7" s="4" t="n"/>
      <c r="B7" s="4" t="inlineStr">
        <is>
          <t>Docker Compose (Postgres 16 + Redis 7)</t>
        </is>
      </c>
      <c r="C7" s="5" t="inlineStr">
        <is>
          <t>Done</t>
        </is>
      </c>
      <c r="D7" s="6" t="inlineStr">
        <is>
          <t>Platform</t>
        </is>
      </c>
      <c r="E7" s="7" t="n">
        <v>46231</v>
      </c>
      <c r="F7" s="7" t="n">
        <v>46231</v>
      </c>
      <c r="G7" s="8" t="inlineStr">
        <is>
          <t>Local dev only</t>
        </is>
      </c>
      <c r="H7" s="9" t="n"/>
      <c r="I7" s="10" t="n"/>
      <c r="J7" s="10" t="n"/>
      <c r="K7" s="10" t="n"/>
      <c r="L7" s="10" t="n"/>
      <c r="M7" s="10" t="n"/>
      <c r="N7" s="10" t="n"/>
      <c r="O7" s="10" t="n"/>
      <c r="P7" s="10" t="n"/>
      <c r="Q7" s="10" t="n"/>
      <c r="R7">
        <f>IF($A7&lt;&gt;"",$A7,R6)</f>
        <v/>
      </c>
    </row>
    <row r="8">
      <c r="A8" s="11" t="n"/>
      <c r="B8" s="11" t="inlineStr">
        <is>
          <t>CI: pytest, ruff, black, tsc</t>
        </is>
      </c>
      <c r="C8" s="5" t="inlineStr">
        <is>
          <t>Done</t>
        </is>
      </c>
      <c r="D8" s="12" t="inlineStr">
        <is>
          <t>Platform</t>
        </is>
      </c>
      <c r="E8" s="13" t="n">
        <v>46233</v>
      </c>
      <c r="F8" s="13" t="n">
        <v>46233</v>
      </c>
      <c r="G8" s="14" t="inlineStr">
        <is>
          <t>GitHub Actions, green</t>
        </is>
      </c>
      <c r="H8" s="9" t="n"/>
      <c r="I8" s="15" t="n"/>
      <c r="J8" s="15" t="n"/>
      <c r="K8" s="15" t="n"/>
      <c r="L8" s="15" t="n"/>
      <c r="M8" s="15" t="n"/>
      <c r="N8" s="15" t="n"/>
      <c r="O8" s="15" t="n"/>
      <c r="P8" s="15" t="n"/>
      <c r="Q8" s="15" t="n"/>
      <c r="R8">
        <f>IF($A8&lt;&gt;"",$A8,R7)</f>
        <v/>
      </c>
    </row>
    <row r="9">
      <c r="A9" s="3" t="inlineStr">
        <is>
          <t>E2 Ingestion</t>
        </is>
      </c>
      <c r="B9" s="4" t="inlineStr">
        <is>
          <t>BallDontLie adapter (NBA)</t>
        </is>
      </c>
      <c r="C9" s="5" t="inlineStr">
        <is>
          <t>Done</t>
        </is>
      </c>
      <c r="D9" s="6" t="inlineStr">
        <is>
          <t>Data</t>
        </is>
      </c>
      <c r="E9" s="7" t="n">
        <v>46231</v>
      </c>
      <c r="F9" s="7" t="n">
        <v>46231</v>
      </c>
      <c r="G9" s="8" t="inlineStr">
        <is>
          <t>First real adapter</t>
        </is>
      </c>
      <c r="H9" s="9" t="n"/>
      <c r="I9" s="10" t="n"/>
      <c r="J9" s="10" t="n"/>
      <c r="K9" s="10" t="n"/>
      <c r="L9" s="10" t="n"/>
      <c r="M9" s="10" t="n"/>
      <c r="N9" s="10" t="n"/>
      <c r="O9" s="10" t="n"/>
      <c r="P9" s="10" t="n"/>
      <c r="Q9" s="10" t="n"/>
      <c r="R9">
        <f>IF($A9&lt;&gt;"",$A9,R8)</f>
        <v/>
      </c>
    </row>
    <row r="10">
      <c r="A10" s="11" t="n"/>
      <c r="B10" s="11" t="inlineStr">
        <is>
          <t>TheRundown adapter (odds)</t>
        </is>
      </c>
      <c r="C10" s="5" t="inlineStr">
        <is>
          <t>Done</t>
        </is>
      </c>
      <c r="D10" s="12" t="inlineStr">
        <is>
          <t>Data</t>
        </is>
      </c>
      <c r="E10" s="13" t="n">
        <v>46232</v>
      </c>
      <c r="F10" s="13" t="n">
        <v>46232</v>
      </c>
      <c r="G10" s="14" t="inlineStr">
        <is>
          <t>American-&gt;decimal</t>
        </is>
      </c>
      <c r="H10" s="9" t="n"/>
      <c r="I10" s="15" t="n"/>
      <c r="J10" s="15" t="n"/>
      <c r="K10" s="15" t="n"/>
      <c r="L10" s="15" t="n"/>
      <c r="M10" s="15" t="n"/>
      <c r="N10" s="15" t="n"/>
      <c r="O10" s="15" t="n"/>
      <c r="P10" s="15" t="n"/>
      <c r="Q10" s="15" t="n"/>
      <c r="R10">
        <f>IF($A10&lt;&gt;"",$A10,R9)</f>
        <v/>
      </c>
    </row>
    <row r="11">
      <c r="A11" s="4" t="n"/>
      <c r="B11" s="4" t="inlineStr">
        <is>
          <t>API-Football adapter (Pro tier)</t>
        </is>
      </c>
      <c r="C11" s="5" t="inlineStr">
        <is>
          <t>Done</t>
        </is>
      </c>
      <c r="D11" s="6" t="inlineStr">
        <is>
          <t>Data</t>
        </is>
      </c>
      <c r="E11" s="7" t="n">
        <v>46232</v>
      </c>
      <c r="F11" s="7" t="n">
        <v>46233</v>
      </c>
      <c r="G11" s="8" t="inlineStr">
        <is>
          <t>Fixtures/stats/injuries/H2H</t>
        </is>
      </c>
      <c r="H11" s="9" t="n"/>
      <c r="I11" s="10" t="n"/>
      <c r="J11" s="10" t="n"/>
      <c r="K11" s="10" t="n"/>
      <c r="L11" s="10" t="n"/>
      <c r="M11" s="10" t="n"/>
      <c r="N11" s="10" t="n"/>
      <c r="O11" s="10" t="n"/>
      <c r="P11" s="10" t="n"/>
      <c r="Q11" s="10" t="n"/>
      <c r="R11">
        <f>IF($A11&lt;&gt;"",$A11,R10)</f>
        <v/>
      </c>
    </row>
    <row r="12">
      <c r="A12" s="11" t="n"/>
      <c r="B12" s="11" t="inlineStr">
        <is>
          <t>Live scores + outcome settlement</t>
        </is>
      </c>
      <c r="C12" s="5" t="inlineStr">
        <is>
          <t>Done</t>
        </is>
      </c>
      <c r="D12" s="12" t="inlineStr">
        <is>
          <t>Data</t>
        </is>
      </c>
      <c r="E12" s="13" t="n">
        <v>46233</v>
      </c>
      <c r="F12" s="13" t="n">
        <v>46234</v>
      </c>
      <c r="G12" s="14" t="inlineStr">
        <is>
          <t>FixtureLiveState now written</t>
        </is>
      </c>
      <c r="H12" s="9" t="n"/>
      <c r="I12" s="15" t="n"/>
      <c r="J12" s="15" t="n"/>
      <c r="K12" s="15" t="n"/>
      <c r="L12" s="15" t="n"/>
      <c r="M12" s="15" t="n"/>
      <c r="N12" s="15" t="n"/>
      <c r="O12" s="15" t="n"/>
      <c r="P12" s="15" t="n"/>
      <c r="Q12" s="15" t="n"/>
      <c r="R12">
        <f>IF($A12&lt;&gt;"",$A12,R11)</f>
        <v/>
      </c>
    </row>
    <row r="13">
      <c r="A13" s="4" t="n"/>
      <c r="B13" s="4" t="inlineStr">
        <is>
          <t>Celery worker + beat actually running</t>
        </is>
      </c>
      <c r="C13" s="5" t="inlineStr">
        <is>
          <t>Done</t>
        </is>
      </c>
      <c r="D13" s="6" t="inlineStr">
        <is>
          <t>Data</t>
        </is>
      </c>
      <c r="E13" s="7" t="n">
        <v>46236</v>
      </c>
      <c r="F13" s="7" t="n">
        <v>46237</v>
      </c>
      <c r="G13" s="8" t="inlineStr">
        <is>
          <t>Never ran before this</t>
        </is>
      </c>
      <c r="H13" s="9" t="n"/>
      <c r="I13" s="9" t="n"/>
      <c r="J13" s="10" t="n"/>
      <c r="K13" s="10" t="n"/>
      <c r="L13" s="10" t="n"/>
      <c r="M13" s="10" t="n"/>
      <c r="N13" s="10" t="n"/>
      <c r="O13" s="10" t="n"/>
      <c r="P13" s="10" t="n"/>
      <c r="Q13" s="10" t="n"/>
      <c r="R13">
        <f>IF($A13&lt;&gt;"",$A13,R12)</f>
        <v/>
      </c>
    </row>
    <row r="14">
      <c r="A14" s="16" t="inlineStr">
        <is>
          <t>E3 ML NBA</t>
        </is>
      </c>
      <c r="B14" s="11" t="inlineStr">
        <is>
          <t>Historical collection (6 seasons)</t>
        </is>
      </c>
      <c r="C14" s="5" t="inlineStr">
        <is>
          <t>Done</t>
        </is>
      </c>
      <c r="D14" s="12" t="inlineStr">
        <is>
          <t>ML</t>
        </is>
      </c>
      <c r="E14" s="13" t="n">
        <v>46231</v>
      </c>
      <c r="F14" s="13" t="n">
        <v>46232</v>
      </c>
      <c r="G14" s="14" t="inlineStr">
        <is>
          <t>~14.5k games</t>
        </is>
      </c>
      <c r="H14" s="9" t="n"/>
      <c r="I14" s="15" t="n"/>
      <c r="J14" s="15" t="n"/>
      <c r="K14" s="15" t="n"/>
      <c r="L14" s="15" t="n"/>
      <c r="M14" s="15" t="n"/>
      <c r="N14" s="15" t="n"/>
      <c r="O14" s="15" t="n"/>
      <c r="P14" s="15" t="n"/>
      <c r="Q14" s="15" t="n"/>
      <c r="R14">
        <f>IF($A14&lt;&gt;"",$A14,R13)</f>
        <v/>
      </c>
    </row>
    <row r="15">
      <c r="A15" s="4" t="n"/>
      <c r="B15" s="4" t="inlineStr">
        <is>
          <t>XGBoost + isotonic, 16 features</t>
        </is>
      </c>
      <c r="C15" s="5" t="inlineStr">
        <is>
          <t>Done</t>
        </is>
      </c>
      <c r="D15" s="6" t="inlineStr">
        <is>
          <t>ML</t>
        </is>
      </c>
      <c r="E15" s="7" t="n">
        <v>46232</v>
      </c>
      <c r="F15" s="7" t="n">
        <v>46232</v>
      </c>
      <c r="G15" s="8" t="inlineStr">
        <is>
          <t>68.57% vs 55.43% base</t>
        </is>
      </c>
      <c r="H15" s="9" t="n"/>
      <c r="I15" s="10" t="n"/>
      <c r="J15" s="10" t="n"/>
      <c r="K15" s="10" t="n"/>
      <c r="L15" s="10" t="n"/>
      <c r="M15" s="10" t="n"/>
      <c r="N15" s="10" t="n"/>
      <c r="O15" s="10" t="n"/>
      <c r="P15" s="10" t="n"/>
      <c r="Q15" s="10" t="n"/>
      <c r="R15">
        <f>IF($A15&lt;&gt;"",$A15,R14)</f>
        <v/>
      </c>
    </row>
    <row r="16">
      <c r="A16" s="11" t="n"/>
      <c r="B16" s="11" t="inlineStr">
        <is>
          <t>Big3/Top5 key-player availability</t>
        </is>
      </c>
      <c r="C16" s="5" t="inlineStr">
        <is>
          <t>Done</t>
        </is>
      </c>
      <c r="D16" s="12" t="inlineStr">
        <is>
          <t>ML</t>
        </is>
      </c>
      <c r="E16" s="13" t="n">
        <v>46232</v>
      </c>
      <c r="F16" s="13" t="n">
        <v>46233</v>
      </c>
      <c r="G16" s="14" t="inlineStr">
        <is>
          <t>Two-stage, leakage-guarded</t>
        </is>
      </c>
      <c r="H16" s="9" t="n"/>
      <c r="I16" s="15" t="n"/>
      <c r="J16" s="15" t="n"/>
      <c r="K16" s="15" t="n"/>
      <c r="L16" s="15" t="n"/>
      <c r="M16" s="15" t="n"/>
      <c r="N16" s="15" t="n"/>
      <c r="O16" s="15" t="n"/>
      <c r="P16" s="15" t="n"/>
      <c r="Q16" s="15" t="n"/>
      <c r="R16">
        <f>IF($A16&lt;&gt;"",$A16,R15)</f>
        <v/>
      </c>
    </row>
    <row r="17">
      <c r="A17" s="3" t="inlineStr">
        <is>
          <t>E4 ML Football</t>
        </is>
      </c>
      <c r="B17" s="4" t="inlineStr">
        <is>
          <t>EPL + Brasileirao collection</t>
        </is>
      </c>
      <c r="C17" s="5" t="inlineStr">
        <is>
          <t>Done</t>
        </is>
      </c>
      <c r="D17" s="6" t="inlineStr">
        <is>
          <t>ML</t>
        </is>
      </c>
      <c r="E17" s="7" t="n">
        <v>46232</v>
      </c>
      <c r="F17" s="7" t="n">
        <v>46233</v>
      </c>
      <c r="G17" s="8" t="inlineStr">
        <is>
          <t>7.6k game-log rows</t>
        </is>
      </c>
      <c r="H17" s="9" t="n"/>
      <c r="I17" s="10" t="n"/>
      <c r="J17" s="10" t="n"/>
      <c r="K17" s="10" t="n"/>
      <c r="L17" s="10" t="n"/>
      <c r="M17" s="10" t="n"/>
      <c r="N17" s="10" t="n"/>
      <c r="O17" s="10" t="n"/>
      <c r="P17" s="10" t="n"/>
      <c r="Q17" s="10" t="n"/>
      <c r="R17">
        <f>IF($A17&lt;&gt;"",$A17,R16)</f>
        <v/>
      </c>
    </row>
    <row r="18">
      <c r="A18" s="11" t="n"/>
      <c r="B18" s="11" t="inlineStr">
        <is>
          <t>Two-layer Poisson -&gt; XGBoost 1X2</t>
        </is>
      </c>
      <c r="C18" s="5" t="inlineStr">
        <is>
          <t>Done</t>
        </is>
      </c>
      <c r="D18" s="12" t="inlineStr">
        <is>
          <t>ML</t>
        </is>
      </c>
      <c r="E18" s="13" t="n">
        <v>46233</v>
      </c>
      <c r="F18" s="13" t="n">
        <v>46233</v>
      </c>
      <c r="G18" s="14" t="inlineStr">
        <is>
          <t>47.9% vs 46.5% base</t>
        </is>
      </c>
      <c r="H18" s="9" t="n"/>
      <c r="I18" s="15" t="n"/>
      <c r="J18" s="15" t="n"/>
      <c r="K18" s="15" t="n"/>
      <c r="L18" s="15" t="n"/>
      <c r="M18" s="15" t="n"/>
      <c r="N18" s="15" t="n"/>
      <c r="O18" s="15" t="n"/>
      <c r="P18" s="15" t="n"/>
      <c r="Q18" s="15" t="n"/>
      <c r="R18">
        <f>IF($A18&lt;&gt;"",$A18,R17)</f>
        <v/>
      </c>
    </row>
    <row r="19">
      <c r="A19" s="4" t="n"/>
      <c r="B19" s="4" t="inlineStr">
        <is>
          <t>Elo, streaks, richer H2H</t>
        </is>
      </c>
      <c r="C19" s="5" t="inlineStr">
        <is>
          <t>Done</t>
        </is>
      </c>
      <c r="D19" s="6" t="inlineStr">
        <is>
          <t>ML</t>
        </is>
      </c>
      <c r="E19" s="7" t="n">
        <v>46233</v>
      </c>
      <c r="F19" s="7" t="n">
        <v>46233</v>
      </c>
      <c r="G19" s="8" t="inlineStr">
        <is>
          <t>21 features</t>
        </is>
      </c>
      <c r="H19" s="9" t="n"/>
      <c r="I19" s="10" t="n"/>
      <c r="J19" s="10" t="n"/>
      <c r="K19" s="10" t="n"/>
      <c r="L19" s="10" t="n"/>
      <c r="M19" s="10" t="n"/>
      <c r="N19" s="10" t="n"/>
      <c r="O19" s="10" t="n"/>
      <c r="P19" s="10" t="n"/>
      <c r="Q19" s="10" t="n"/>
      <c r="R19">
        <f>IF($A19&lt;&gt;"",$A19,R18)</f>
        <v/>
      </c>
    </row>
    <row r="20">
      <c r="A20" s="11" t="n"/>
      <c r="B20" s="11" t="inlineStr">
        <is>
          <t>Expand to 5 leagues (MLS/CSL/Scot)</t>
        </is>
      </c>
      <c r="C20" s="5" t="inlineStr">
        <is>
          <t>Done</t>
        </is>
      </c>
      <c r="D20" s="12" t="inlineStr">
        <is>
          <t>ML</t>
        </is>
      </c>
      <c r="E20" s="13" t="n">
        <v>46236</v>
      </c>
      <c r="F20" s="13" t="n">
        <v>46236</v>
      </c>
      <c r="G20" s="14" t="inlineStr">
        <is>
          <t>Fixed O/U bias</t>
        </is>
      </c>
      <c r="H20" s="9" t="n"/>
      <c r="I20" s="15" t="n"/>
      <c r="J20" s="15" t="n"/>
      <c r="K20" s="15" t="n"/>
      <c r="L20" s="15" t="n"/>
      <c r="M20" s="15" t="n"/>
      <c r="N20" s="15" t="n"/>
      <c r="O20" s="15" t="n"/>
      <c r="P20" s="15" t="n"/>
      <c r="Q20" s="15" t="n"/>
      <c r="R20">
        <f>IF($A20&lt;&gt;"",$A20,R19)</f>
        <v/>
      </c>
    </row>
    <row r="21">
      <c r="A21" s="4" t="n"/>
      <c r="B21" s="4" t="inlineStr">
        <is>
          <t>Retrodiction for completed fixtures</t>
        </is>
      </c>
      <c r="C21" s="5" t="inlineStr">
        <is>
          <t>Done</t>
        </is>
      </c>
      <c r="D21" s="6" t="inlineStr">
        <is>
          <t>ML</t>
        </is>
      </c>
      <c r="E21" s="7" t="n">
        <v>46234</v>
      </c>
      <c r="F21" s="7" t="n">
        <v>46234</v>
      </c>
      <c r="G21" s="8" t="inlineStr">
        <is>
          <t>Leakage-safe path</t>
        </is>
      </c>
      <c r="H21" s="9" t="n"/>
      <c r="I21" s="10" t="n"/>
      <c r="J21" s="10" t="n"/>
      <c r="K21" s="10" t="n"/>
      <c r="L21" s="10" t="n"/>
      <c r="M21" s="10" t="n"/>
      <c r="N21" s="10" t="n"/>
      <c r="O21" s="10" t="n"/>
      <c r="P21" s="10" t="n"/>
      <c r="Q21" s="10" t="n"/>
      <c r="R21">
        <f>IF($A21&lt;&gt;"",$A21,R20)</f>
        <v/>
      </c>
    </row>
    <row r="22">
      <c r="A22" s="16" t="inlineStr">
        <is>
          <t>E5 ML Tennis</t>
        </is>
      </c>
      <c r="B22" s="11" t="inlineStr">
        <is>
          <t>BallDontLie ATP adapter</t>
        </is>
      </c>
      <c r="C22" s="5" t="inlineStr">
        <is>
          <t>Done</t>
        </is>
      </c>
      <c r="D22" s="12" t="inlineStr">
        <is>
          <t>ML</t>
        </is>
      </c>
      <c r="E22" s="13" t="n">
        <v>46235</v>
      </c>
      <c r="F22" s="13" t="n">
        <v>46235</v>
      </c>
      <c r="G22" s="14" t="inlineStr">
        <is>
          <t>ALL-STAR tier</t>
        </is>
      </c>
      <c r="H22" s="9" t="n"/>
      <c r="I22" s="15" t="n"/>
      <c r="J22" s="15" t="n"/>
      <c r="K22" s="15" t="n"/>
      <c r="L22" s="15" t="n"/>
      <c r="M22" s="15" t="n"/>
      <c r="N22" s="15" t="n"/>
      <c r="O22" s="15" t="n"/>
      <c r="P22" s="15" t="n"/>
      <c r="Q22" s="15" t="n"/>
      <c r="R22">
        <f>IF($A22&lt;&gt;"",$A22,R21)</f>
        <v/>
      </c>
    </row>
    <row r="23">
      <c r="A23" s="4" t="n"/>
      <c r="B23" s="4" t="inlineStr">
        <is>
          <t>Collection + train (17.7k examples)</t>
        </is>
      </c>
      <c r="C23" s="5" t="inlineStr">
        <is>
          <t>Done</t>
        </is>
      </c>
      <c r="D23" s="6" t="inlineStr">
        <is>
          <t>ML</t>
        </is>
      </c>
      <c r="E23" s="7" t="n">
        <v>46235</v>
      </c>
      <c r="F23" s="7" t="n">
        <v>46235</v>
      </c>
      <c r="G23" s="8" t="inlineStr">
        <is>
          <t>63.9% vs 62.2% rank base</t>
        </is>
      </c>
      <c r="H23" s="9" t="n"/>
      <c r="I23" s="10" t="n"/>
      <c r="J23" s="10" t="n"/>
      <c r="K23" s="10" t="n"/>
      <c r="L23" s="10" t="n"/>
      <c r="M23" s="10" t="n"/>
      <c r="N23" s="10" t="n"/>
      <c r="O23" s="10" t="n"/>
      <c r="P23" s="10" t="n"/>
      <c r="Q23" s="10" t="n"/>
      <c r="R23">
        <f>IF($A23&lt;&gt;"",$A23,R22)</f>
        <v/>
      </c>
    </row>
    <row r="24">
      <c r="A24" s="11" t="n"/>
      <c r="B24" s="11" t="inlineStr">
        <is>
          <t>Fix target leakage (winner as player1)</t>
        </is>
      </c>
      <c r="C24" s="5" t="inlineStr">
        <is>
          <t>Done</t>
        </is>
      </c>
      <c r="D24" s="12" t="inlineStr">
        <is>
          <t>ML</t>
        </is>
      </c>
      <c r="E24" s="13" t="n">
        <v>46235</v>
      </c>
      <c r="F24" s="13" t="n">
        <v>46235</v>
      </c>
      <c r="G24" s="14" t="inlineStr">
        <is>
          <t>Caught pre-launch</t>
        </is>
      </c>
      <c r="H24" s="9" t="n"/>
      <c r="I24" s="15" t="n"/>
      <c r="J24" s="15" t="n"/>
      <c r="K24" s="15" t="n"/>
      <c r="L24" s="15" t="n"/>
      <c r="M24" s="15" t="n"/>
      <c r="N24" s="15" t="n"/>
      <c r="O24" s="15" t="n"/>
      <c r="P24" s="15" t="n"/>
      <c r="Q24" s="15" t="n"/>
      <c r="R24">
        <f>IF($A24&lt;&gt;"",$A24,R23)</f>
        <v/>
      </c>
    </row>
    <row r="25">
      <c r="A25" s="4" t="n"/>
      <c r="B25" s="4" t="inlineStr">
        <is>
          <t>Retirements, tournament grouping</t>
        </is>
      </c>
      <c r="C25" s="5" t="inlineStr">
        <is>
          <t>Done</t>
        </is>
      </c>
      <c r="D25" s="6" t="inlineStr">
        <is>
          <t>ML</t>
        </is>
      </c>
      <c r="E25" s="7" t="n">
        <v>46236</v>
      </c>
      <c r="F25" s="7" t="n">
        <v>46236</v>
      </c>
      <c r="G25" s="8" t="inlineStr">
        <is>
          <t>VOID badge</t>
        </is>
      </c>
      <c r="H25" s="9" t="n"/>
      <c r="I25" s="10" t="n"/>
      <c r="J25" s="10" t="n"/>
      <c r="K25" s="10" t="n"/>
      <c r="L25" s="10" t="n"/>
      <c r="M25" s="10" t="n"/>
      <c r="N25" s="10" t="n"/>
      <c r="O25" s="10" t="n"/>
      <c r="P25" s="10" t="n"/>
      <c r="Q25" s="10" t="n"/>
      <c r="R25">
        <f>IF($A25&lt;&gt;"",$A25,R24)</f>
        <v/>
      </c>
    </row>
    <row r="26">
      <c r="A26" s="11" t="n"/>
      <c r="B26" s="11" t="inlineStr">
        <is>
          <t>Kickoff refresh + live derivation</t>
        </is>
      </c>
      <c r="C26" s="5" t="inlineStr">
        <is>
          <t>Done</t>
        </is>
      </c>
      <c r="D26" s="12" t="inlineStr">
        <is>
          <t>Data</t>
        </is>
      </c>
      <c r="E26" s="13" t="n">
        <v>46237</v>
      </c>
      <c r="F26" s="13" t="n">
        <v>46237</v>
      </c>
      <c r="G26" s="14" t="inlineStr">
        <is>
          <t>26-&gt;20 estimated</t>
        </is>
      </c>
      <c r="H26" s="15" t="n"/>
      <c r="I26" s="9" t="n"/>
      <c r="J26" s="15" t="n"/>
      <c r="K26" s="15" t="n"/>
      <c r="L26" s="15" t="n"/>
      <c r="M26" s="15" t="n"/>
      <c r="N26" s="15" t="n"/>
      <c r="O26" s="15" t="n"/>
      <c r="P26" s="15" t="n"/>
      <c r="Q26" s="15" t="n"/>
      <c r="R26">
        <f>IF($A26&lt;&gt;"",$A26,R25)</f>
        <v/>
      </c>
    </row>
    <row r="27">
      <c r="A27" s="3" t="inlineStr">
        <is>
          <t>E6 Picks</t>
        </is>
      </c>
      <c r="B27" s="4" t="inlineStr">
        <is>
          <t>GET /picks, EV + threshold logic</t>
        </is>
      </c>
      <c r="C27" s="5" t="inlineStr">
        <is>
          <t>Done</t>
        </is>
      </c>
      <c r="D27" s="6" t="inlineStr">
        <is>
          <t>Backend</t>
        </is>
      </c>
      <c r="E27" s="7" t="n">
        <v>46232</v>
      </c>
      <c r="F27" s="7" t="n">
        <v>46233</v>
      </c>
      <c r="G27" s="8" t="inlineStr">
        <is>
          <t>TDD §4.2</t>
        </is>
      </c>
      <c r="H27" s="9" t="n"/>
      <c r="I27" s="10" t="n"/>
      <c r="J27" s="10" t="n"/>
      <c r="K27" s="10" t="n"/>
      <c r="L27" s="10" t="n"/>
      <c r="M27" s="10" t="n"/>
      <c r="N27" s="10" t="n"/>
      <c r="O27" s="10" t="n"/>
      <c r="P27" s="10" t="n"/>
      <c r="Q27" s="10" t="n"/>
      <c r="R27">
        <f>IF($A27&lt;&gt;"",$A27,R26)</f>
        <v/>
      </c>
    </row>
    <row r="28">
      <c r="A28" s="11" t="n"/>
      <c r="B28" s="11" t="inlineStr">
        <is>
          <t>Extra markets: DC, O/U goals, corners</t>
        </is>
      </c>
      <c r="C28" s="5" t="inlineStr">
        <is>
          <t>Done</t>
        </is>
      </c>
      <c r="D28" s="12" t="inlineStr">
        <is>
          <t>Backend</t>
        </is>
      </c>
      <c r="E28" s="13" t="n">
        <v>46234</v>
      </c>
      <c r="F28" s="13" t="n">
        <v>46235</v>
      </c>
      <c r="G28" s="14" t="inlineStr">
        <is>
          <t>Poisson-derived</t>
        </is>
      </c>
      <c r="H28" s="9" t="n"/>
      <c r="I28" s="15" t="n"/>
      <c r="J28" s="15" t="n"/>
      <c r="K28" s="15" t="n"/>
      <c r="L28" s="15" t="n"/>
      <c r="M28" s="15" t="n"/>
      <c r="N28" s="15" t="n"/>
      <c r="O28" s="15" t="n"/>
      <c r="P28" s="15" t="n"/>
      <c r="Q28" s="15" t="n"/>
      <c r="R28">
        <f>IF($A28&lt;&gt;"",$A28,R27)</f>
        <v/>
      </c>
    </row>
    <row r="29">
      <c r="A29" s="4" t="n"/>
      <c r="B29" s="4" t="inlineStr">
        <is>
          <t>Base-rate relative ranking</t>
        </is>
      </c>
      <c r="C29" s="5" t="inlineStr">
        <is>
          <t>Done</t>
        </is>
      </c>
      <c r="D29" s="6" t="inlineStr">
        <is>
          <t>Backend</t>
        </is>
      </c>
      <c r="E29" s="7" t="n">
        <v>46236</v>
      </c>
      <c r="F29" s="7" t="n">
        <v>46236</v>
      </c>
      <c r="G29" s="8" t="inlineStr">
        <is>
          <t>Replaced pure EV</t>
        </is>
      </c>
      <c r="H29" s="9" t="n"/>
      <c r="I29" s="10" t="n"/>
      <c r="J29" s="10" t="n"/>
      <c r="K29" s="10" t="n"/>
      <c r="L29" s="10" t="n"/>
      <c r="M29" s="10" t="n"/>
      <c r="N29" s="10" t="n"/>
      <c r="O29" s="10" t="n"/>
      <c r="P29" s="10" t="n"/>
      <c r="Q29" s="10" t="n"/>
      <c r="R29">
        <f>IF($A29&lt;&gt;"",$A29,R28)</f>
        <v/>
      </c>
    </row>
    <row r="30">
      <c r="A30" s="11" t="n"/>
      <c r="B30" s="11" t="inlineStr">
        <is>
          <t>GET /history + summary</t>
        </is>
      </c>
      <c r="C30" s="5" t="inlineStr">
        <is>
          <t>Done</t>
        </is>
      </c>
      <c r="D30" s="12" t="inlineStr">
        <is>
          <t>Backend</t>
        </is>
      </c>
      <c r="E30" s="13" t="n">
        <v>46236</v>
      </c>
      <c r="F30" s="13" t="n">
        <v>46236</v>
      </c>
      <c r="G30" s="14" t="inlineStr">
        <is>
          <t>Was a 501 stub</t>
        </is>
      </c>
      <c r="H30" s="9" t="n"/>
      <c r="I30" s="15" t="n"/>
      <c r="J30" s="15" t="n"/>
      <c r="K30" s="15" t="n"/>
      <c r="L30" s="15" t="n"/>
      <c r="M30" s="15" t="n"/>
      <c r="N30" s="15" t="n"/>
      <c r="O30" s="15" t="n"/>
      <c r="P30" s="15" t="n"/>
      <c r="Q30" s="15" t="n"/>
      <c r="R30">
        <f>IF($A30&lt;&gt;"",$A30,R29)</f>
        <v/>
      </c>
    </row>
    <row r="31">
      <c r="A31" s="3" t="inlineStr">
        <is>
          <t>E7 Mobile</t>
        </is>
      </c>
      <c r="B31" s="4" t="inlineStr">
        <is>
          <t>Expo scaffold, 8 routes, API client</t>
        </is>
      </c>
      <c r="C31" s="5" t="inlineStr">
        <is>
          <t>Done</t>
        </is>
      </c>
      <c r="D31" s="6" t="inlineStr">
        <is>
          <t>Mobile</t>
        </is>
      </c>
      <c r="E31" s="7" t="n">
        <v>46233</v>
      </c>
      <c r="F31" s="7" t="n">
        <v>46234</v>
      </c>
      <c r="G31" s="8" t="inlineStr">
        <is>
          <t>Web + Android verified</t>
        </is>
      </c>
      <c r="H31" s="9" t="n"/>
      <c r="I31" s="10" t="n"/>
      <c r="J31" s="10" t="n"/>
      <c r="K31" s="10" t="n"/>
      <c r="L31" s="10" t="n"/>
      <c r="M31" s="10" t="n"/>
      <c r="N31" s="10" t="n"/>
      <c r="O31" s="10" t="n"/>
      <c r="P31" s="10" t="n"/>
      <c r="Q31" s="10" t="n"/>
      <c r="R31">
        <f>IF($A31&lt;&gt;"",$A31,R30)</f>
        <v/>
      </c>
    </row>
    <row r="32">
      <c r="A32" s="11" t="n"/>
      <c r="B32" s="11" t="inlineStr">
        <is>
          <t>Auth, guest sessions, biometrics</t>
        </is>
      </c>
      <c r="C32" s="5" t="inlineStr">
        <is>
          <t>Done</t>
        </is>
      </c>
      <c r="D32" s="12" t="inlineStr">
        <is>
          <t>Mobile</t>
        </is>
      </c>
      <c r="E32" s="13" t="n">
        <v>46234</v>
      </c>
      <c r="F32" s="13" t="n">
        <v>46234</v>
      </c>
      <c r="G32" s="14" t="inlineStr">
        <is>
          <t>SecureStore JWT</t>
        </is>
      </c>
      <c r="H32" s="9" t="n"/>
      <c r="I32" s="15" t="n"/>
      <c r="J32" s="15" t="n"/>
      <c r="K32" s="15" t="n"/>
      <c r="L32" s="15" t="n"/>
      <c r="M32" s="15" t="n"/>
      <c r="N32" s="15" t="n"/>
      <c r="O32" s="15" t="n"/>
      <c r="P32" s="15" t="n"/>
      <c r="Q32" s="15" t="n"/>
      <c r="R32">
        <f>IF($A32&lt;&gt;"",$A32,R31)</f>
        <v/>
      </c>
    </row>
    <row r="33">
      <c r="A33" s="4" t="n"/>
      <c r="B33" s="4" t="inlineStr">
        <is>
          <t>Fixture cards, verdicts, flags</t>
        </is>
      </c>
      <c r="C33" s="5" t="inlineStr">
        <is>
          <t>Done</t>
        </is>
      </c>
      <c r="D33" s="6" t="inlineStr">
        <is>
          <t>Mobile</t>
        </is>
      </c>
      <c r="E33" s="7" t="n">
        <v>46235</v>
      </c>
      <c r="F33" s="7" t="n">
        <v>46236</v>
      </c>
      <c r="G33" s="8" t="inlineStr">
        <is>
          <t>Real flag PNGs</t>
        </is>
      </c>
      <c r="H33" s="9" t="n"/>
      <c r="I33" s="10" t="n"/>
      <c r="J33" s="10" t="n"/>
      <c r="K33" s="10" t="n"/>
      <c r="L33" s="10" t="n"/>
      <c r="M33" s="10" t="n"/>
      <c r="N33" s="10" t="n"/>
      <c r="O33" s="10" t="n"/>
      <c r="P33" s="10" t="n"/>
      <c r="Q33" s="10" t="n"/>
      <c r="R33">
        <f>IF($A33&lt;&gt;"",$A33,R32)</f>
        <v/>
      </c>
    </row>
    <row r="34">
      <c r="A34" s="11" t="n"/>
      <c r="B34" s="11" t="inlineStr">
        <is>
          <t>Picks UI rebuild (dropdowns, calendar)</t>
        </is>
      </c>
      <c r="C34" s="5" t="inlineStr">
        <is>
          <t>Done</t>
        </is>
      </c>
      <c r="D34" s="12" t="inlineStr">
        <is>
          <t>Mobile</t>
        </is>
      </c>
      <c r="E34" s="13" t="n">
        <v>46237</v>
      </c>
      <c r="F34" s="13" t="n">
        <v>46237</v>
      </c>
      <c r="G34" s="14" t="inlineStr">
        <is>
          <t>Per mockups</t>
        </is>
      </c>
      <c r="H34" s="15" t="n"/>
      <c r="I34" s="9" t="n"/>
      <c r="J34" s="15" t="n"/>
      <c r="K34" s="15" t="n"/>
      <c r="L34" s="15" t="n"/>
      <c r="M34" s="15" t="n"/>
      <c r="N34" s="15" t="n"/>
      <c r="O34" s="15" t="n"/>
      <c r="P34" s="15" t="n"/>
      <c r="Q34" s="15" t="n"/>
      <c r="R34">
        <f>IF($A34&lt;&gt;"",$A34,R33)</f>
        <v/>
      </c>
    </row>
    <row r="35">
      <c r="A35" s="4" t="n"/>
      <c r="B35" s="4" t="inlineStr">
        <is>
          <t>Theme: light/dark/system, account-synced</t>
        </is>
      </c>
      <c r="C35" s="5" t="inlineStr">
        <is>
          <t>Done</t>
        </is>
      </c>
      <c r="D35" s="6" t="inlineStr">
        <is>
          <t>Mobile</t>
        </is>
      </c>
      <c r="E35" s="7" t="n">
        <v>46237</v>
      </c>
      <c r="F35" s="7" t="n">
        <v>46237</v>
      </c>
      <c r="G35" s="8" t="inlineStr">
        <is>
          <t>Cross-device verified</t>
        </is>
      </c>
      <c r="H35" s="10" t="n"/>
      <c r="I35" s="9" t="n"/>
      <c r="J35" s="10" t="n"/>
      <c r="K35" s="10" t="n"/>
      <c r="L35" s="10" t="n"/>
      <c r="M35" s="10" t="n"/>
      <c r="N35" s="10" t="n"/>
      <c r="O35" s="10" t="n"/>
      <c r="P35" s="10" t="n"/>
      <c r="Q35" s="10" t="n"/>
      <c r="R35">
        <f>IF($A35&lt;&gt;"",$A35,R34)</f>
        <v/>
      </c>
    </row>
    <row r="36">
      <c r="A36" s="11" t="n"/>
      <c r="B36" s="11" t="inlineStr">
        <is>
          <t>Score on each team's row, badge aligned</t>
        </is>
      </c>
      <c r="C36" s="5" t="inlineStr">
        <is>
          <t>Done</t>
        </is>
      </c>
      <c r="D36" s="12" t="inlineStr">
        <is>
          <t>Mobile</t>
        </is>
      </c>
      <c r="E36" s="13" t="n">
        <v>46238</v>
      </c>
      <c r="F36" s="13" t="n">
        <v>46238</v>
      </c>
      <c r="G36" s="14" t="inlineStr">
        <is>
          <t>Per mockups; measured, not eyeballed</t>
        </is>
      </c>
      <c r="H36" s="15" t="n"/>
      <c r="I36" s="9" t="n"/>
      <c r="J36" s="15" t="n"/>
      <c r="K36" s="15" t="n"/>
      <c r="L36" s="15" t="n"/>
      <c r="M36" s="15" t="n"/>
      <c r="N36" s="15" t="n"/>
      <c r="O36" s="15" t="n"/>
      <c r="P36" s="15" t="n"/>
      <c r="Q36" s="15" t="n"/>
      <c r="R36">
        <f>IF($A36&lt;&gt;"",$A36,R35)</f>
        <v/>
      </c>
    </row>
    <row r="37">
      <c r="A37" s="4" t="n"/>
      <c r="B37" s="4" t="inlineStr">
        <is>
          <t>Equal control widths, filters aligned</t>
        </is>
      </c>
      <c r="C37" s="5" t="inlineStr">
        <is>
          <t>Done</t>
        </is>
      </c>
      <c r="D37" s="6" t="inlineStr">
        <is>
          <t>Mobile</t>
        </is>
      </c>
      <c r="E37" s="7" t="n">
        <v>46238</v>
      </c>
      <c r="F37" s="7" t="n">
        <v>46238</v>
      </c>
      <c r="G37" s="8" t="inlineStr">
        <is>
          <t>Shared FILTER_TRIGGER_WIDTH</t>
        </is>
      </c>
      <c r="H37" s="10" t="n"/>
      <c r="I37" s="9" t="n"/>
      <c r="J37" s="10" t="n"/>
      <c r="K37" s="10" t="n"/>
      <c r="L37" s="10" t="n"/>
      <c r="M37" s="10" t="n"/>
      <c r="N37" s="10" t="n"/>
      <c r="O37" s="10" t="n"/>
      <c r="P37" s="10" t="n"/>
      <c r="Q37" s="10" t="n"/>
      <c r="R37">
        <f>IF($A37&lt;&gt;"",$A37,R36)</f>
        <v/>
      </c>
    </row>
    <row r="38">
      <c r="A38" s="16" t="inlineStr">
        <is>
          <t>E8 Model Quality</t>
        </is>
      </c>
      <c r="B38" s="11" t="inlineStr">
        <is>
          <t>Measure O/U signal (found ~none)</t>
        </is>
      </c>
      <c r="C38" s="5" t="inlineStr">
        <is>
          <t>Done</t>
        </is>
      </c>
      <c r="D38" s="12" t="inlineStr">
        <is>
          <t>ML</t>
        </is>
      </c>
      <c r="E38" s="13" t="n">
        <v>46236</v>
      </c>
      <c r="F38" s="13" t="n">
        <v>46236</v>
      </c>
      <c r="G38" s="14" t="inlineStr">
        <is>
          <t>corr +0.030</t>
        </is>
      </c>
      <c r="H38" s="9" t="n"/>
      <c r="I38" s="15" t="n"/>
      <c r="J38" s="15" t="n"/>
      <c r="K38" s="15" t="n"/>
      <c r="L38" s="15" t="n"/>
      <c r="M38" s="15" t="n"/>
      <c r="N38" s="15" t="n"/>
      <c r="O38" s="15" t="n"/>
      <c r="P38" s="15" t="n"/>
      <c r="Q38" s="15" t="n"/>
      <c r="R38">
        <f>IF($A38&lt;&gt;"",$A38,R37)</f>
        <v/>
      </c>
    </row>
    <row r="39">
      <c r="A39" s="4" t="n"/>
      <c r="B39" s="4" t="inlineStr">
        <is>
          <t>Refute Negative Binomial premise</t>
        </is>
      </c>
      <c r="C39" s="5" t="inlineStr">
        <is>
          <t>Done</t>
        </is>
      </c>
      <c r="D39" s="6" t="inlineStr">
        <is>
          <t>ML</t>
        </is>
      </c>
      <c r="E39" s="7" t="n">
        <v>46236</v>
      </c>
      <c r="F39" s="7" t="n">
        <v>46236</v>
      </c>
      <c r="G39" s="8" t="inlineStr">
        <is>
          <t>var/mean = 1.003</t>
        </is>
      </c>
      <c r="H39" s="9" t="n"/>
      <c r="I39" s="10" t="n"/>
      <c r="J39" s="10" t="n"/>
      <c r="K39" s="10" t="n"/>
      <c r="L39" s="10" t="n"/>
      <c r="M39" s="10" t="n"/>
      <c r="N39" s="10" t="n"/>
      <c r="O39" s="10" t="n"/>
      <c r="P39" s="10" t="n"/>
      <c r="Q39" s="10" t="n"/>
      <c r="R39">
        <f>IF($A39&lt;&gt;"",$A39,R38)</f>
        <v/>
      </c>
    </row>
    <row r="40">
      <c r="A40" s="11" t="n"/>
      <c r="B40" s="11" t="inlineStr">
        <is>
          <t>TheStatsAPI eval + xG integration</t>
        </is>
      </c>
      <c r="C40" s="5" t="inlineStr">
        <is>
          <t>Done</t>
        </is>
      </c>
      <c r="D40" s="12" t="inlineStr">
        <is>
          <t>ML</t>
        </is>
      </c>
      <c r="E40" s="13" t="n">
        <v>46237</v>
      </c>
      <c r="F40" s="13" t="n">
        <v>46237</v>
      </c>
      <c r="G40" s="14" t="inlineStr">
        <is>
          <t>xG r=+0.129 vs goals +0.062</t>
        </is>
      </c>
      <c r="H40" s="15" t="n"/>
      <c r="I40" s="9" t="n"/>
      <c r="J40" s="15" t="n"/>
      <c r="K40" s="15" t="n"/>
      <c r="L40" s="15" t="n"/>
      <c r="M40" s="15" t="n"/>
      <c r="N40" s="15" t="n"/>
      <c r="O40" s="15" t="n"/>
      <c r="P40" s="15" t="n"/>
      <c r="Q40" s="15" t="n"/>
      <c r="R40">
        <f>IF($A40&lt;&gt;"",$A40,R39)</f>
        <v/>
      </c>
    </row>
    <row r="41">
      <c r="A41" s="4" t="n"/>
      <c r="B41" s="4" t="inlineStr">
        <is>
          <t>xG collection (5 leagues)</t>
        </is>
      </c>
      <c r="C41" s="5" t="inlineStr">
        <is>
          <t>Done</t>
        </is>
      </c>
      <c r="D41" s="6" t="inlineStr">
        <is>
          <t>ML</t>
        </is>
      </c>
      <c r="E41" s="7" t="n">
        <v>46237</v>
      </c>
      <c r="F41" s="7" t="n">
        <v>46238</v>
      </c>
      <c r="G41" s="8" t="inlineStr">
        <is>
          <t>Superseded by row 47: 5-league collection finished, 5.9k matches</t>
        </is>
      </c>
      <c r="H41" s="10" t="n"/>
      <c r="I41" s="18" t="n"/>
      <c r="J41" s="10" t="n"/>
      <c r="K41" s="10" t="n"/>
      <c r="L41" s="10" t="n"/>
      <c r="M41" s="10" t="n"/>
      <c r="N41" s="10" t="n"/>
      <c r="O41" s="10" t="n"/>
      <c r="P41" s="10" t="n"/>
      <c r="Q41" s="10" t="n"/>
      <c r="R41">
        <f>IF($A41&lt;&gt;"",$A41,R40)</f>
        <v/>
      </c>
    </row>
    <row r="42">
      <c r="A42" s="11" t="n"/>
      <c r="B42" s="11" t="inlineStr">
        <is>
          <t>Retrain + measure O/U buckets</t>
        </is>
      </c>
      <c r="C42" s="5" t="inlineStr">
        <is>
          <t>Done</t>
        </is>
      </c>
      <c r="D42" s="12" t="inlineStr">
        <is>
          <t>ML</t>
        </is>
      </c>
      <c r="E42" s="13" t="n">
        <v>46238</v>
      </c>
      <c r="F42" s="13" t="n">
        <v>46239</v>
      </c>
      <c r="G42" s="14" t="inlineStr">
        <is>
          <t>Superseded by rows 48/90: retrained, O/U buckets measured</t>
        </is>
      </c>
      <c r="H42" s="15" t="n"/>
      <c r="I42" s="20" t="n"/>
      <c r="J42" s="15" t="n"/>
      <c r="K42" s="15" t="n"/>
      <c r="L42" s="15" t="n"/>
      <c r="M42" s="15" t="n"/>
      <c r="N42" s="15" t="n"/>
      <c r="O42" s="15" t="n"/>
      <c r="P42" s="15" t="n"/>
      <c r="Q42" s="15" t="n"/>
      <c r="R42">
        <f>IF($A42&lt;&gt;"",$A42,R41)</f>
        <v/>
      </c>
    </row>
    <row r="43">
      <c r="A43" s="4" t="n"/>
      <c r="B43" s="4" t="inlineStr">
        <is>
          <t>League-identity features (partial pooling)</t>
        </is>
      </c>
      <c r="C43" s="5" t="inlineStr">
        <is>
          <t>Done</t>
        </is>
      </c>
      <c r="D43" s="6" t="inlineStr">
        <is>
          <t>ML</t>
        </is>
      </c>
      <c r="E43" s="7" t="n">
        <v>46239</v>
      </c>
      <c r="F43" s="7" t="n">
        <v>46241</v>
      </c>
      <c r="G43" s="8" t="inlineStr">
        <is>
          <t>Superseded by row 49: built, measured, NEGATIVE, disabled</t>
        </is>
      </c>
      <c r="H43" s="10" t="n"/>
      <c r="I43" s="20" t="n"/>
      <c r="J43" s="10" t="n"/>
      <c r="K43" s="10" t="n"/>
      <c r="L43" s="10" t="n"/>
      <c r="M43" s="10" t="n"/>
      <c r="N43" s="10" t="n"/>
      <c r="O43" s="10" t="n"/>
      <c r="P43" s="10" t="n"/>
      <c r="Q43" s="10" t="n"/>
      <c r="R43">
        <f>IF($A43&lt;&gt;"",$A43,R42)</f>
        <v/>
      </c>
    </row>
    <row r="44">
      <c r="A44" s="11" t="n"/>
      <c r="B44" s="11" t="inlineStr">
        <is>
          <t>Collect La Liga/Bundesliga/Ligue1 history</t>
        </is>
      </c>
      <c r="C44" s="5" t="inlineStr">
        <is>
          <t>Done</t>
        </is>
      </c>
      <c r="D44" s="12" t="inlineStr">
        <is>
          <t>ML</t>
        </is>
      </c>
      <c r="E44" s="13" t="n">
        <v>46240</v>
      </c>
      <c r="F44" s="13" t="n">
        <v>46243</v>
      </c>
      <c r="G44" s="14" t="inlineStr">
        <is>
          <t>Game logs collected for all 4 (+ Serie A). 7,028 fixtures, pool +81%</t>
        </is>
      </c>
      <c r="H44" s="15" t="n"/>
      <c r="I44" s="20" t="n"/>
      <c r="J44" s="15" t="n"/>
      <c r="K44" s="15" t="n"/>
      <c r="L44" s="15" t="n"/>
      <c r="M44" s="15" t="n"/>
      <c r="N44" s="15" t="n"/>
      <c r="O44" s="15" t="n"/>
      <c r="P44" s="15" t="n"/>
      <c r="Q44" s="15" t="n"/>
      <c r="R44">
        <f>IF($A44&lt;&gt;"",$A44,R43)</f>
        <v/>
      </c>
    </row>
    <row r="45">
      <c r="A45" s="4" t="n"/>
      <c r="B45" s="4" t="inlineStr">
        <is>
          <t>Lineups Scottish Prem + MLS, retrain</t>
        </is>
      </c>
      <c r="C45" s="5" t="inlineStr">
        <is>
          <t>Done</t>
        </is>
      </c>
      <c r="D45" s="6" t="inlineStr">
        <is>
          <t>ML</t>
        </is>
      </c>
      <c r="E45" s="7" t="n">
        <v>46241</v>
      </c>
      <c r="F45" s="7" t="n">
        <v>46244</v>
      </c>
      <c r="G45" s="8" t="inlineStr">
        <is>
          <t>DROPPED, not delivered: key-player features pruned, so lineups feed nothing</t>
        </is>
      </c>
      <c r="H45" s="10" t="n"/>
      <c r="I45" s="20" t="n"/>
      <c r="J45" s="20" t="n"/>
      <c r="K45" s="10" t="n"/>
      <c r="L45" s="10" t="n"/>
      <c r="M45" s="10" t="n"/>
      <c r="N45" s="10" t="n"/>
      <c r="O45" s="10" t="n"/>
      <c r="P45" s="10" t="n"/>
      <c r="Q45" s="10" t="n"/>
      <c r="R45">
        <f>IF($A45&lt;&gt;"",$A45,R44)</f>
        <v/>
      </c>
    </row>
    <row r="46">
      <c r="A46" s="11" t="n"/>
      <c r="B46" s="11" t="inlineStr">
        <is>
          <t>GO / NO-GO on Over-Under market</t>
        </is>
      </c>
      <c r="C46" s="5" t="inlineStr">
        <is>
          <t>Done</t>
        </is>
      </c>
      <c r="D46" s="12" t="inlineStr">
        <is>
          <t>ML</t>
        </is>
      </c>
      <c r="E46" s="13" t="n">
        <v>46244</v>
      </c>
      <c r="F46" s="13" t="n">
        <v>46244</v>
      </c>
      <c r="G46" s="14" t="inlineStr">
        <is>
          <t>GO. z=+2.96 p=0.0031 through the calibrated production path</t>
        </is>
      </c>
      <c r="H46" s="15" t="n"/>
      <c r="I46" s="15" t="n"/>
      <c r="J46" s="22" t="inlineStr">
        <is>
          <t>◆</t>
        </is>
      </c>
      <c r="K46" s="15" t="n"/>
      <c r="L46" s="15" t="n"/>
      <c r="M46" s="15" t="n"/>
      <c r="N46" s="15" t="n"/>
      <c r="O46" s="15" t="n"/>
      <c r="P46" s="15" t="n"/>
      <c r="Q46" s="15" t="n"/>
      <c r="R46">
        <f>IF($A46&lt;&gt;"",$A46,R45)</f>
        <v/>
      </c>
    </row>
    <row r="47">
      <c r="A47" s="4" t="n"/>
      <c r="B47" s="4" t="inlineStr">
        <is>
          <t>xG collection complete (5 leagues, 5.9k matches)</t>
        </is>
      </c>
      <c r="C47" s="5" t="inlineStr">
        <is>
          <t>Done</t>
        </is>
      </c>
      <c r="D47" s="6" t="inlineStr">
        <is>
          <t>ML</t>
        </is>
      </c>
      <c r="E47" s="7" t="n">
        <v>46237</v>
      </c>
      <c r="F47" s="7" t="n">
        <v>46238</v>
      </c>
      <c r="G47" s="8" t="inlineStr">
        <is>
          <t>96-100% coverage per season</t>
        </is>
      </c>
      <c r="H47" s="10" t="n"/>
      <c r="I47" s="9" t="n"/>
      <c r="J47" s="10" t="n"/>
      <c r="K47" s="10" t="n"/>
      <c r="L47" s="10" t="n"/>
      <c r="M47" s="10" t="n"/>
      <c r="N47" s="10" t="n"/>
      <c r="O47" s="10" t="n"/>
      <c r="P47" s="10" t="n"/>
      <c r="Q47" s="10" t="n"/>
      <c r="R47">
        <f>IF($A47&lt;&gt;"",$A47,R46)</f>
        <v/>
      </c>
    </row>
    <row r="48">
      <c r="A48" s="11" t="n"/>
      <c r="B48" s="11" t="inlineStr">
        <is>
          <t>Retrain on full xG coverage</t>
        </is>
      </c>
      <c r="C48" s="5" t="inlineStr">
        <is>
          <t>Done</t>
        </is>
      </c>
      <c r="D48" s="12" t="inlineStr">
        <is>
          <t>ML</t>
        </is>
      </c>
      <c r="E48" s="13" t="n">
        <v>46238</v>
      </c>
      <c r="F48" s="13" t="n">
        <v>46238</v>
      </c>
      <c r="G48" s="14" t="inlineStr">
        <is>
          <t>O/U buckets monotonic, z=+1.86 (p=0.062)</t>
        </is>
      </c>
      <c r="H48" s="15" t="n"/>
      <c r="I48" s="9" t="n"/>
      <c r="J48" s="15" t="n"/>
      <c r="K48" s="15" t="n"/>
      <c r="L48" s="15" t="n"/>
      <c r="M48" s="15" t="n"/>
      <c r="N48" s="15" t="n"/>
      <c r="O48" s="15" t="n"/>
      <c r="P48" s="15" t="n"/>
      <c r="Q48" s="15" t="n"/>
      <c r="R48">
        <f>IF($A48&lt;&gt;"",$A48,R47)</f>
        <v/>
      </c>
    </row>
    <row r="49">
      <c r="A49" s="4" t="n"/>
      <c r="B49" s="4" t="inlineStr">
        <is>
          <t>League-identity features — NEGATIVE result</t>
        </is>
      </c>
      <c r="C49" s="5" t="inlineStr">
        <is>
          <t>Done</t>
        </is>
      </c>
      <c r="D49" s="6" t="inlineStr">
        <is>
          <t>ML</t>
        </is>
      </c>
      <c r="E49" s="7" t="n">
        <v>46238</v>
      </c>
      <c r="F49" s="7" t="n">
        <v>46238</v>
      </c>
      <c r="G49" s="8" t="inlineStr">
        <is>
          <t>Made it worse; built, measured, disabled, documented</t>
        </is>
      </c>
      <c r="H49" s="10" t="n"/>
      <c r="I49" s="9" t="n"/>
      <c r="J49" s="10" t="n"/>
      <c r="K49" s="10" t="n"/>
      <c r="L49" s="10" t="n"/>
      <c r="M49" s="10" t="n"/>
      <c r="N49" s="10" t="n"/>
      <c r="O49" s="10" t="n"/>
      <c r="P49" s="10" t="n"/>
      <c r="Q49" s="10" t="n"/>
      <c r="R49">
        <f>IF($A49&lt;&gt;"",$A49,R48)</f>
        <v/>
      </c>
    </row>
    <row r="50">
      <c r="A50" s="11" t="n"/>
      <c r="B50" s="11" t="inlineStr">
        <is>
          <t>Confirm training is deterministic</t>
        </is>
      </c>
      <c r="C50" s="5" t="inlineStr">
        <is>
          <t>Done</t>
        </is>
      </c>
      <c r="D50" s="12" t="inlineStr">
        <is>
          <t>ML</t>
        </is>
      </c>
      <c r="E50" s="13" t="n">
        <v>46238</v>
      </c>
      <c r="F50" s="13" t="n">
        <v>46238</v>
      </c>
      <c r="G50" s="14" t="inlineStr">
        <is>
          <t>Reproduced bit-for-bit; no seed noise in any comparison</t>
        </is>
      </c>
      <c r="H50" s="15" t="n"/>
      <c r="I50" s="9" t="n"/>
      <c r="J50" s="15" t="n"/>
      <c r="K50" s="15" t="n"/>
      <c r="L50" s="15" t="n"/>
      <c r="M50" s="15" t="n"/>
      <c r="N50" s="15" t="n"/>
      <c r="O50" s="15" t="n"/>
      <c r="P50" s="15" t="n"/>
      <c r="Q50" s="15" t="n"/>
      <c r="R50">
        <f>IF($A50&lt;&gt;"",$A50,R49)</f>
        <v/>
      </c>
    </row>
    <row r="51">
      <c r="A51" s="4" t="n"/>
      <c r="B51" s="4" t="inlineStr">
        <is>
          <t>Shot-based features from shotmap</t>
        </is>
      </c>
      <c r="C51" s="19" t="inlineStr">
        <is>
          <t>Planned</t>
        </is>
      </c>
      <c r="D51" s="6" t="inlineStr">
        <is>
          <t>ML</t>
        </is>
      </c>
      <c r="E51" s="7" t="n">
        <v>46239</v>
      </c>
      <c r="F51" s="7" t="n">
        <v>46242</v>
      </c>
      <c r="G51" s="8" t="inlineStr">
        <is>
          <t>Last untried O/U lever; data already collected</t>
        </is>
      </c>
      <c r="H51" s="10" t="n"/>
      <c r="I51" s="20" t="n"/>
      <c r="J51" s="10" t="n"/>
      <c r="K51" s="10" t="n"/>
      <c r="L51" s="10" t="n"/>
      <c r="M51" s="10" t="n"/>
      <c r="N51" s="10" t="n"/>
      <c r="O51" s="10" t="n"/>
      <c r="P51" s="10" t="n"/>
      <c r="Q51" s="10" t="n"/>
      <c r="R51">
        <f>IF($A51&lt;&gt;"",$A51,R50)</f>
        <v/>
      </c>
    </row>
    <row r="52">
      <c r="A52" s="16" t="inlineStr">
        <is>
          <t>E9 Data Ops</t>
        </is>
      </c>
      <c r="B52" s="11" t="inlineStr">
        <is>
          <t>TheRundown Pro upgrade</t>
        </is>
      </c>
      <c r="C52" s="19" t="inlineStr">
        <is>
          <t>Done</t>
        </is>
      </c>
      <c r="D52" s="12" t="inlineStr">
        <is>
          <t>Data</t>
        </is>
      </c>
      <c r="E52" s="13" t="n">
        <v>46244</v>
      </c>
      <c r="F52" s="13" t="n">
        <v>46245</v>
      </c>
      <c r="G52" s="14" t="inlineStr">
        <is>
          <t>Pro active: 5,000 req/month confirmed live (was 1,000). Cadence stays 6h - worst case at 3h is 134% of quota</t>
        </is>
      </c>
      <c r="H52" s="15" t="n"/>
      <c r="I52" s="15" t="n"/>
      <c r="J52" s="20" t="n"/>
      <c r="K52" s="15" t="n"/>
      <c r="L52" s="15" t="n"/>
      <c r="M52" s="15" t="n"/>
      <c r="N52" s="15" t="n"/>
      <c r="O52" s="15" t="n"/>
      <c r="P52" s="15" t="n"/>
      <c r="Q52" s="15" t="n"/>
      <c r="R52">
        <f>IF($A52&lt;&gt;"",$A52,R51)</f>
        <v/>
      </c>
    </row>
    <row r="53">
      <c r="A53" s="4" t="n"/>
      <c r="B53" s="4" t="inlineStr">
        <is>
          <t>Narrow odds lookahead window</t>
        </is>
      </c>
      <c r="C53" s="19" t="inlineStr">
        <is>
          <t>Planned</t>
        </is>
      </c>
      <c r="D53" s="6" t="inlineStr">
        <is>
          <t>Data</t>
        </is>
      </c>
      <c r="E53" s="7" t="n">
        <v>46239</v>
      </c>
      <c r="F53" s="7" t="n">
        <v>46240</v>
      </c>
      <c r="G53" s="8" t="inlineStr">
        <is>
          <t>Halves per-league cost</t>
        </is>
      </c>
      <c r="H53" s="10" t="n"/>
      <c r="I53" s="20" t="n"/>
      <c r="J53" s="10" t="n"/>
      <c r="K53" s="10" t="n"/>
      <c r="L53" s="10" t="n"/>
      <c r="M53" s="10" t="n"/>
      <c r="N53" s="10" t="n"/>
      <c r="O53" s="10" t="n"/>
      <c r="P53" s="10" t="n"/>
      <c r="Q53" s="10" t="n"/>
      <c r="R53">
        <f>IF($A53&lt;&gt;"",$A53,R52)</f>
        <v/>
      </c>
    </row>
    <row r="54">
      <c r="A54" s="11" t="n"/>
      <c r="B54" s="11" t="inlineStr">
        <is>
          <t>Re-test API-Football European odds</t>
        </is>
      </c>
      <c r="C54" s="21" t="inlineStr">
        <is>
          <t>Done</t>
        </is>
      </c>
      <c r="D54" s="12" t="inlineStr">
        <is>
          <t>Data</t>
        </is>
      </c>
      <c r="E54" s="13" t="n">
        <v>46255</v>
      </c>
      <c r="F54" s="13" t="n">
        <v>46255</v>
      </c>
      <c r="G54" s="14" t="inlineStr">
        <is>
          <t>Merged into row 135 (same check, two entries)</t>
        </is>
      </c>
      <c r="H54" s="15" t="n"/>
      <c r="I54" s="15" t="n"/>
      <c r="J54" s="15" t="n"/>
      <c r="K54" s="22" t="inlineStr">
        <is>
          <t>◆</t>
        </is>
      </c>
      <c r="L54" s="15" t="n"/>
      <c r="M54" s="15" t="n"/>
      <c r="N54" s="15" t="n"/>
      <c r="O54" s="15" t="n"/>
      <c r="P54" s="15" t="n"/>
      <c r="Q54" s="15" t="n"/>
      <c r="R54">
        <f>IF($A54&lt;&gt;"",$A54,R53)</f>
        <v/>
      </c>
    </row>
    <row r="55">
      <c r="A55" s="4" t="n"/>
      <c r="B55" s="4" t="inlineStr">
        <is>
          <t>EPL 2026-27 season opens</t>
        </is>
      </c>
      <c r="C55" s="21" t="inlineStr">
        <is>
          <t>Milestone</t>
        </is>
      </c>
      <c r="D55" s="6" t="inlineStr">
        <is>
          <t>Data</t>
        </is>
      </c>
      <c r="E55" s="7" t="n">
        <v>46255</v>
      </c>
      <c r="F55" s="7" t="n">
        <v>46255</v>
      </c>
      <c r="G55" s="8" t="inlineStr">
        <is>
          <t>First real load test</t>
        </is>
      </c>
      <c r="H55" s="10" t="n"/>
      <c r="I55" s="10" t="n"/>
      <c r="J55" s="10" t="n"/>
      <c r="K55" s="22" t="inlineStr">
        <is>
          <t>◆</t>
        </is>
      </c>
      <c r="L55" s="10" t="n"/>
      <c r="M55" s="10" t="n"/>
      <c r="N55" s="10" t="n"/>
      <c r="O55" s="10" t="n"/>
      <c r="P55" s="10" t="n"/>
      <c r="Q55" s="10" t="n"/>
      <c r="R55">
        <f>IF($A55&lt;&gt;"",$A55,R54)</f>
        <v/>
      </c>
    </row>
    <row r="56">
      <c r="A56" s="11" t="n"/>
      <c r="B56" s="11" t="inlineStr">
        <is>
          <t>API-Football renewal</t>
        </is>
      </c>
      <c r="C56" s="21" t="inlineStr">
        <is>
          <t>Milestone</t>
        </is>
      </c>
      <c r="D56" s="12" t="inlineStr">
        <is>
          <t>Data</t>
        </is>
      </c>
      <c r="E56" s="13" t="n">
        <v>46263</v>
      </c>
      <c r="F56" s="13" t="n">
        <v>46263</v>
      </c>
      <c r="G56" s="14" t="inlineStr">
        <is>
          <t>Auto-renews</t>
        </is>
      </c>
      <c r="H56" s="15" t="n"/>
      <c r="I56" s="15" t="n"/>
      <c r="J56" s="15" t="n"/>
      <c r="K56" s="15" t="n"/>
      <c r="L56" s="22" t="inlineStr">
        <is>
          <t>◆</t>
        </is>
      </c>
      <c r="M56" s="15" t="n"/>
      <c r="N56" s="15" t="n"/>
      <c r="O56" s="15" t="n"/>
      <c r="P56" s="15" t="n"/>
      <c r="Q56" s="15" t="n"/>
      <c r="R56">
        <f>IF($A56&lt;&gt;"",$A56,R55)</f>
        <v/>
      </c>
    </row>
    <row r="57">
      <c r="A57" s="4" t="n"/>
      <c r="B57" s="4" t="inlineStr">
        <is>
          <t>Fix 9 tennis DRAW outcomes</t>
        </is>
      </c>
      <c r="C57" s="19" t="inlineStr">
        <is>
          <t>Planned</t>
        </is>
      </c>
      <c r="D57" s="6" t="inlineStr">
        <is>
          <t>Backend</t>
        </is>
      </c>
      <c r="E57" s="7" t="n">
        <v>46238</v>
      </c>
      <c r="F57" s="7" t="n">
        <v>46238</v>
      </c>
      <c r="G57" s="8" t="inlineStr">
        <is>
          <t>Was tracked as 9; actual total 41. Purge cleared 31, 10 remain</t>
        </is>
      </c>
      <c r="H57" s="10" t="n"/>
      <c r="I57" s="20" t="n"/>
      <c r="J57" s="10" t="n"/>
      <c r="K57" s="10" t="n"/>
      <c r="L57" s="10" t="n"/>
      <c r="M57" s="10" t="n"/>
      <c r="N57" s="10" t="n"/>
      <c r="O57" s="10" t="n"/>
      <c r="P57" s="10" t="n"/>
      <c r="Q57" s="10" t="n"/>
      <c r="R57">
        <f>IF($A57&lt;&gt;"",$A57,R56)</f>
        <v/>
      </c>
    </row>
    <row r="58">
      <c r="A58" s="11" t="n"/>
      <c r="B58" s="11" t="inlineStr">
        <is>
          <t>WTA subscription + collection</t>
        </is>
      </c>
      <c r="C58" s="23" t="inlineStr">
        <is>
          <t>Blocked</t>
        </is>
      </c>
      <c r="D58" s="12" t="inlineStr">
        <is>
          <t>ML</t>
        </is>
      </c>
      <c r="E58" s="13" t="n">
        <v>46246</v>
      </c>
      <c r="F58" s="13" t="n">
        <v>46249</v>
      </c>
      <c r="G58" s="14" t="inlineStr">
        <is>
          <t>Needs tour subscription</t>
        </is>
      </c>
      <c r="H58" s="15" t="n"/>
      <c r="I58" s="15" t="n"/>
      <c r="J58" s="24" t="n"/>
      <c r="K58" s="15" t="n"/>
      <c r="L58" s="15" t="n"/>
      <c r="M58" s="15" t="n"/>
      <c r="N58" s="15" t="n"/>
      <c r="O58" s="15" t="n"/>
      <c r="P58" s="15" t="n"/>
      <c r="Q58" s="15" t="n"/>
      <c r="R58">
        <f>IF($A58&lt;&gt;"",$A58,R57)</f>
        <v/>
      </c>
    </row>
    <row r="59">
      <c r="A59" s="4" t="n"/>
      <c r="B59" s="4" t="inlineStr">
        <is>
          <t>Tennis odds (fast-follow)</t>
        </is>
      </c>
      <c r="C59" s="23" t="inlineStr">
        <is>
          <t>Done</t>
        </is>
      </c>
      <c r="D59" s="6" t="inlineStr">
        <is>
          <t>Data</t>
        </is>
      </c>
      <c r="E59" s="7" t="n">
        <v>46249</v>
      </c>
      <c r="F59" s="7" t="n">
        <v>46252</v>
      </c>
      <c r="G59" s="8" t="inlineStr">
        <is>
          <t>SHIPPED via BallDontLie GOAT: DraftKings + FanDuel, direct match_id join, no fuzzy name matching</t>
        </is>
      </c>
      <c r="H59" s="10" t="n"/>
      <c r="I59" s="10" t="n"/>
      <c r="J59" s="24" t="n"/>
      <c r="K59" s="24" t="n"/>
      <c r="L59" s="10" t="n"/>
      <c r="M59" s="10" t="n"/>
      <c r="N59" s="10" t="n"/>
      <c r="O59" s="10" t="n"/>
      <c r="P59" s="10" t="n"/>
      <c r="Q59" s="10" t="n"/>
      <c r="R59">
        <f>IF($A59&lt;&gt;"",$A59,R58)</f>
        <v/>
      </c>
    </row>
    <row r="60">
      <c r="A60" s="11" t="n"/>
      <c r="B60" s="11" t="inlineStr">
        <is>
          <t>Tennis kickoff refresh + live derivation</t>
        </is>
      </c>
      <c r="C60" s="5" t="inlineStr">
        <is>
          <t>Done</t>
        </is>
      </c>
      <c r="D60" s="12" t="inlineStr">
        <is>
          <t>Data</t>
        </is>
      </c>
      <c r="E60" s="13" t="n">
        <v>46237</v>
      </c>
      <c r="F60" s="13" t="n">
        <v>46238</v>
      </c>
      <c r="G60" s="14" t="inlineStr">
        <is>
          <t>26-&gt;20 estimated; rest is a provider limit</t>
        </is>
      </c>
      <c r="H60" s="15" t="n"/>
      <c r="I60" s="9" t="n"/>
      <c r="J60" s="15" t="n"/>
      <c r="K60" s="15" t="n"/>
      <c r="L60" s="15" t="n"/>
      <c r="M60" s="15" t="n"/>
      <c r="N60" s="15" t="n"/>
      <c r="O60" s="15" t="n"/>
      <c r="P60" s="15" t="n"/>
      <c r="Q60" s="15" t="n"/>
      <c r="R60">
        <f>IF($A60&lt;&gt;"",$A60,R59)</f>
        <v/>
      </c>
    </row>
    <row r="61">
      <c r="A61" s="4" t="n"/>
      <c r="B61" s="4" t="inlineStr">
        <is>
          <t>Injury ingest per-sport isolation</t>
        </is>
      </c>
      <c r="C61" s="5" t="inlineStr">
        <is>
          <t>Done</t>
        </is>
      </c>
      <c r="D61" s="6" t="inlineStr">
        <is>
          <t>Backend</t>
        </is>
      </c>
      <c r="E61" s="7" t="n">
        <v>46237</v>
      </c>
      <c r="F61" s="7" t="n">
        <v>46238</v>
      </c>
      <c r="G61" s="8" t="inlineStr">
        <is>
          <t>NBA stub was aborting football every 30 min</t>
        </is>
      </c>
      <c r="H61" s="10" t="n"/>
      <c r="I61" s="9" t="n"/>
      <c r="J61" s="10" t="n"/>
      <c r="K61" s="10" t="n"/>
      <c r="L61" s="10" t="n"/>
      <c r="M61" s="10" t="n"/>
      <c r="N61" s="10" t="n"/>
      <c r="O61" s="10" t="n"/>
      <c r="P61" s="10" t="n"/>
      <c r="Q61" s="10" t="n"/>
      <c r="R61">
        <f>IF($A61&lt;&gt;"",$A61,R60)</f>
        <v/>
      </c>
    </row>
    <row r="62">
      <c r="A62" s="11" t="n"/>
      <c r="B62" s="11" t="inlineStr">
        <is>
          <t>Commit 4 Aug work</t>
        </is>
      </c>
      <c r="C62" s="19" t="inlineStr">
        <is>
          <t>Done</t>
        </is>
      </c>
      <c r="D62" s="12" t="inlineStr">
        <is>
          <t>Platform</t>
        </is>
      </c>
      <c r="E62" s="13" t="n">
        <v>46239</v>
      </c>
      <c r="F62" s="13" t="n">
        <v>46239</v>
      </c>
      <c r="G62" s="14" t="inlineStr">
        <is>
          <t>All committed and pushed</t>
        </is>
      </c>
      <c r="H62" s="15" t="n"/>
      <c r="I62" s="20" t="n"/>
      <c r="J62" s="15" t="n"/>
      <c r="K62" s="15" t="n"/>
      <c r="L62" s="15" t="n"/>
      <c r="M62" s="15" t="n"/>
      <c r="N62" s="15" t="n"/>
      <c r="O62" s="15" t="n"/>
      <c r="P62" s="15" t="n"/>
      <c r="Q62" s="15" t="n"/>
      <c r="R62">
        <f>IF($A62&lt;&gt;"",$A62,R61)</f>
        <v/>
      </c>
    </row>
    <row r="63">
      <c r="A63" s="4" t="n"/>
      <c r="B63" s="4" t="inlineStr">
        <is>
          <t>Review + merge feat/tennis-atp-integration</t>
        </is>
      </c>
      <c r="C63" s="19" t="inlineStr">
        <is>
          <t>Done</t>
        </is>
      </c>
      <c r="D63" s="6" t="inlineStr">
        <is>
          <t>Platform</t>
        </is>
      </c>
      <c r="E63" s="7" t="n">
        <v>46239</v>
      </c>
      <c r="F63" s="7" t="n">
        <v>46240</v>
      </c>
      <c r="G63" s="8" t="inlineStr">
        <is>
          <t>Merged; branch deleted after verifying content identical to main</t>
        </is>
      </c>
      <c r="H63" s="10" t="n"/>
      <c r="I63" s="20" t="n"/>
      <c r="J63" s="10" t="n"/>
      <c r="K63" s="10" t="n"/>
      <c r="L63" s="10" t="n"/>
      <c r="M63" s="10" t="n"/>
      <c r="N63" s="10" t="n"/>
      <c r="O63" s="10" t="n"/>
      <c r="P63" s="10" t="n"/>
      <c r="Q63" s="10" t="n"/>
      <c r="R63">
        <f>IF($A63&lt;&gt;"",$A63,R62)</f>
        <v/>
      </c>
    </row>
    <row r="64">
      <c r="A64" s="11" t="n"/>
      <c r="B64" s="11" t="inlineStr">
        <is>
          <t>Push main to origin</t>
        </is>
      </c>
      <c r="C64" s="19" t="inlineStr">
        <is>
          <t>Done</t>
        </is>
      </c>
      <c r="D64" s="12" t="inlineStr">
        <is>
          <t>Platform</t>
        </is>
      </c>
      <c r="E64" s="13" t="n">
        <v>46240</v>
      </c>
      <c r="F64" s="13" t="n">
        <v>46240</v>
      </c>
      <c r="G64" s="14" t="inlineStr">
        <is>
          <t>main and origin/main both at 7d0ffd5, 0 ahead / 0 behind</t>
        </is>
      </c>
      <c r="H64" s="15" t="n"/>
      <c r="I64" s="20" t="n"/>
      <c r="J64" s="15" t="n"/>
      <c r="K64" s="15" t="n"/>
      <c r="L64" s="15" t="n"/>
      <c r="M64" s="15" t="n"/>
      <c r="N64" s="15" t="n"/>
      <c r="O64" s="15" t="n"/>
      <c r="P64" s="15" t="n"/>
      <c r="Q64" s="15" t="n"/>
      <c r="R64">
        <f>IF($A64&lt;&gt;"",$A64,R63)</f>
        <v/>
      </c>
    </row>
    <row r="65">
      <c r="A65" s="4" t="n"/>
      <c r="B65" s="4" t="inlineStr">
        <is>
          <t>Tennis provider decision</t>
        </is>
      </c>
      <c r="C65" s="21" t="inlineStr">
        <is>
          <t>Milestone</t>
        </is>
      </c>
      <c r="D65" s="6" t="inlineStr">
        <is>
          <t>Product</t>
        </is>
      </c>
      <c r="E65" s="7" t="n">
        <v>46246</v>
      </c>
      <c r="F65" s="7" t="n">
        <v>46246</v>
      </c>
      <c r="G65" s="8" t="inlineStr">
        <is>
          <t>Only ~2% of matches carry a real kickoff time</t>
        </is>
      </c>
      <c r="H65" s="10" t="n"/>
      <c r="I65" s="10" t="n"/>
      <c r="J65" s="22" t="inlineStr">
        <is>
          <t>◆</t>
        </is>
      </c>
      <c r="K65" s="10" t="n"/>
      <c r="L65" s="10" t="n"/>
      <c r="M65" s="10" t="n"/>
      <c r="N65" s="10" t="n"/>
      <c r="O65" s="10" t="n"/>
      <c r="P65" s="10" t="n"/>
      <c r="Q65" s="10" t="n"/>
      <c r="R65">
        <f>IF($A65&lt;&gt;"",$A65,R64)</f>
        <v/>
      </c>
    </row>
    <row r="66">
      <c r="A66" s="16" t="inlineStr">
        <is>
          <t>E10 Deploy</t>
        </is>
      </c>
      <c r="B66" s="11" t="inlineStr">
        <is>
          <t>Portable artefact paths</t>
        </is>
      </c>
      <c r="C66" s="19" t="inlineStr">
        <is>
          <t>Done</t>
        </is>
      </c>
      <c r="D66" s="12" t="inlineStr">
        <is>
          <t>Platform</t>
        </is>
      </c>
      <c r="E66" s="13" t="n">
        <v>46245</v>
      </c>
      <c r="F66" s="13" t="n">
        <v>46245</v>
      </c>
      <c r="G66" s="14" t="inlineStr">
        <is>
          <t>resolve_artefact_path + scripts/stage_artefacts.py; verified in a real Linux container</t>
        </is>
      </c>
      <c r="H66" s="15" t="n"/>
      <c r="I66" s="15" t="n"/>
      <c r="J66" s="20" t="n"/>
      <c r="K66" s="15" t="n"/>
      <c r="L66" s="15" t="n"/>
      <c r="M66" s="15" t="n"/>
      <c r="N66" s="15" t="n"/>
      <c r="O66" s="15" t="n"/>
      <c r="P66" s="15" t="n"/>
      <c r="Q66" s="15" t="n"/>
      <c r="R66">
        <f>IF($A66&lt;&gt;"",$A66,R65)</f>
        <v/>
      </c>
    </row>
    <row r="67">
      <c r="A67" s="4" t="n"/>
      <c r="B67" s="4" t="inlineStr">
        <is>
          <t>infra/ + Render blueprint</t>
        </is>
      </c>
      <c r="C67" s="19" t="inlineStr">
        <is>
          <t>Done</t>
        </is>
      </c>
      <c r="D67" s="6" t="inlineStr">
        <is>
          <t>Platform</t>
        </is>
      </c>
      <c r="E67" s="7" t="n">
        <v>46245</v>
      </c>
      <c r="F67" s="7" t="n">
        <v>46248</v>
      </c>
      <c r="G67" s="8" t="inlineStr">
        <is>
          <t>infra/render.yaml: web, worker, beat off one image</t>
        </is>
      </c>
      <c r="H67" s="10" t="n"/>
      <c r="I67" s="10" t="n"/>
      <c r="J67" s="20" t="n"/>
      <c r="K67" s="10" t="n"/>
      <c r="L67" s="10" t="n"/>
      <c r="M67" s="10" t="n"/>
      <c r="N67" s="10" t="n"/>
      <c r="O67" s="10" t="n"/>
      <c r="P67" s="10" t="n"/>
      <c r="Q67" s="10" t="n"/>
      <c r="R67">
        <f>IF($A67&lt;&gt;"",$A67,R66)</f>
        <v/>
      </c>
    </row>
    <row r="68">
      <c r="A68" s="11" t="n"/>
      <c r="B68" s="11" t="inlineStr">
        <is>
          <t>Secrets management + env parity</t>
        </is>
      </c>
      <c r="C68" s="19" t="inlineStr">
        <is>
          <t>Planned</t>
        </is>
      </c>
      <c r="D68" s="12" t="inlineStr">
        <is>
          <t>Platform</t>
        </is>
      </c>
      <c r="E68" s="13" t="n">
        <v>46247</v>
      </c>
      <c r="F68" s="13" t="n">
        <v>46249</v>
      </c>
      <c r="G68" s="14" t="inlineStr">
        <is>
          <t>No .env in prod</t>
        </is>
      </c>
      <c r="H68" s="15" t="n"/>
      <c r="I68" s="15" t="n"/>
      <c r="J68" s="20" t="n"/>
      <c r="K68" s="15" t="n"/>
      <c r="L68" s="15" t="n"/>
      <c r="M68" s="15" t="n"/>
      <c r="N68" s="15" t="n"/>
      <c r="O68" s="15" t="n"/>
      <c r="P68" s="15" t="n"/>
      <c r="Q68" s="15" t="n"/>
      <c r="R68">
        <f>IF($A68&lt;&gt;"",$A68,R67)</f>
        <v/>
      </c>
    </row>
    <row r="69">
      <c r="A69" s="4" t="n"/>
      <c r="B69" s="4" t="inlineStr">
        <is>
          <t>Monitoring + alerting (Sentry)</t>
        </is>
      </c>
      <c r="C69" s="19" t="inlineStr">
        <is>
          <t>Planned</t>
        </is>
      </c>
      <c r="D69" s="6" t="inlineStr">
        <is>
          <t>Platform</t>
        </is>
      </c>
      <c r="E69" s="7" t="n">
        <v>46248</v>
      </c>
      <c r="F69" s="7" t="n">
        <v>46252</v>
      </c>
      <c r="G69" s="8" t="inlineStr">
        <is>
          <t>Silent failures found twice</t>
        </is>
      </c>
      <c r="H69" s="10" t="n"/>
      <c r="I69" s="10" t="n"/>
      <c r="J69" s="20" t="n"/>
      <c r="K69" s="20" t="n"/>
      <c r="L69" s="10" t="n"/>
      <c r="M69" s="10" t="n"/>
      <c r="N69" s="10" t="n"/>
      <c r="O69" s="10" t="n"/>
      <c r="P69" s="10" t="n"/>
      <c r="Q69" s="10" t="n"/>
      <c r="R69">
        <f>IF($A69&lt;&gt;"",$A69,R68)</f>
        <v/>
      </c>
    </row>
    <row r="70">
      <c r="A70" s="11" t="n"/>
      <c r="B70" s="11" t="inlineStr">
        <is>
          <t>Staging deploy + soak</t>
        </is>
      </c>
      <c r="C70" s="19" t="inlineStr">
        <is>
          <t>Done</t>
        </is>
      </c>
      <c r="D70" s="12" t="inlineStr">
        <is>
          <t>Platform</t>
        </is>
      </c>
      <c r="E70" s="13" t="n">
        <v>46251</v>
      </c>
      <c r="F70" s="13" t="n">
        <v>46255</v>
      </c>
      <c r="G70" s="14" t="inlineStr">
        <is>
          <t>SOAK PASSED from an empty DB - see the milestone row below</t>
        </is>
      </c>
      <c r="H70" s="15" t="n"/>
      <c r="I70" s="15" t="n"/>
      <c r="J70" s="15" t="n"/>
      <c r="K70" s="20" t="n"/>
      <c r="L70" s="15" t="n"/>
      <c r="M70" s="15" t="n"/>
      <c r="N70" s="15" t="n"/>
      <c r="O70" s="15" t="n"/>
      <c r="P70" s="15" t="n"/>
      <c r="Q70" s="15" t="n"/>
      <c r="R70">
        <f>IF($A70&lt;&gt;"",$A70,R69)</f>
        <v/>
      </c>
    </row>
    <row r="71">
      <c r="A71" s="4" t="n"/>
      <c r="B71" s="4" t="inlineStr">
        <is>
          <t>watchlist table + PICK-07</t>
        </is>
      </c>
      <c r="C71" s="19" t="inlineStr">
        <is>
          <t>Done</t>
        </is>
      </c>
      <c r="D71" s="6" t="inlineStr">
        <is>
          <t>Backend</t>
        </is>
      </c>
      <c r="E71" s="7" t="n">
        <v>46252</v>
      </c>
      <c r="F71" s="7" t="n">
        <v>46255</v>
      </c>
      <c r="G71" s="8" t="inlineStr">
        <is>
          <t>watchlist_items + uq_watchlist_user_fixture; T-60 reminder verified end-to-end, 10/10 checks</t>
        </is>
      </c>
      <c r="H71" s="10" t="n"/>
      <c r="I71" s="10" t="n"/>
      <c r="J71" s="10" t="n"/>
      <c r="K71" s="20" t="n"/>
      <c r="L71" s="10" t="n"/>
      <c r="M71" s="10" t="n"/>
      <c r="N71" s="10" t="n"/>
      <c r="O71" s="10" t="n"/>
      <c r="P71" s="10" t="n"/>
      <c r="Q71" s="10" t="n"/>
      <c r="R71">
        <f>IF($A71&lt;&gt;"",$A71,R70)</f>
        <v/>
      </c>
    </row>
    <row r="72">
      <c r="A72" s="11" t="n"/>
      <c r="B72" s="11" t="inlineStr">
        <is>
          <t>EAS project + first mobile build</t>
        </is>
      </c>
      <c r="C72" s="19" t="inlineStr">
        <is>
          <t>Done</t>
        </is>
      </c>
      <c r="D72" s="12" t="inlineStr">
        <is>
          <t>Mobile</t>
        </is>
      </c>
      <c r="E72" s="13" t="n">
        <v>46253</v>
      </c>
      <c r="F72" s="13" t="n">
        <v>46258</v>
      </c>
      <c r="G72" s="14" t="inlineStr">
        <is>
          <t>EAS project live; dev build installed on a real Android device</t>
        </is>
      </c>
      <c r="H72" s="15" t="n"/>
      <c r="I72" s="15" t="n"/>
      <c r="J72" s="15" t="n"/>
      <c r="K72" s="20" t="n"/>
      <c r="L72" s="20" t="n"/>
      <c r="M72" s="15" t="n"/>
      <c r="N72" s="15" t="n"/>
      <c r="O72" s="15" t="n"/>
      <c r="P72" s="15" t="n"/>
      <c r="Q72" s="15" t="n"/>
      <c r="R72">
        <f>IF($A72&lt;&gt;"",$A72,R71)</f>
        <v/>
      </c>
    </row>
    <row r="73">
      <c r="A73" s="4" t="n"/>
      <c r="B73" s="4" t="inlineStr">
        <is>
          <t>Push notifications end-to-end</t>
        </is>
      </c>
      <c r="C73" s="19" t="inlineStr">
        <is>
          <t>Done</t>
        </is>
      </c>
      <c r="D73" s="6" t="inlineStr">
        <is>
          <t>Mobile</t>
        </is>
      </c>
      <c r="E73" s="7" t="n">
        <v>46258</v>
      </c>
      <c r="F73" s="7" t="n">
        <v>46261</v>
      </c>
      <c r="G73" s="8" t="inlineStr">
        <is>
          <t>VERIFIED ON A REAL PHONE: token minted, PUT /user/push-token persisted, real push delivered</t>
        </is>
      </c>
      <c r="H73" s="10" t="n"/>
      <c r="I73" s="10" t="n"/>
      <c r="J73" s="10" t="n"/>
      <c r="K73" s="10" t="n"/>
      <c r="L73" s="20" t="n"/>
      <c r="M73" s="10" t="n"/>
      <c r="N73" s="10" t="n"/>
      <c r="O73" s="10" t="n"/>
      <c r="P73" s="10" t="n"/>
      <c r="Q73" s="10" t="n"/>
      <c r="R73">
        <f>IF($A73&lt;&gt;"",$A73,R72)</f>
        <v/>
      </c>
    </row>
    <row r="74">
      <c r="A74" s="11" t="n"/>
      <c r="B74" s="11" t="inlineStr">
        <is>
          <t>Mobile Jest + ESLint</t>
        </is>
      </c>
      <c r="C74" s="19" t="inlineStr">
        <is>
          <t>Planned</t>
        </is>
      </c>
      <c r="D74" s="12" t="inlineStr">
        <is>
          <t>Mobile</t>
        </is>
      </c>
      <c r="E74" s="13" t="n">
        <v>46259</v>
      </c>
      <c r="F74" s="13" t="n">
        <v>46261</v>
      </c>
      <c r="G74" s="14" t="inlineStr">
        <is>
          <t>tsc is the only check</t>
        </is>
      </c>
      <c r="H74" s="15" t="n"/>
      <c r="I74" s="15" t="n"/>
      <c r="J74" s="15" t="n"/>
      <c r="K74" s="15" t="n"/>
      <c r="L74" s="20" t="n"/>
      <c r="M74" s="15" t="n"/>
      <c r="N74" s="15" t="n"/>
      <c r="O74" s="15" t="n"/>
      <c r="P74" s="15" t="n"/>
      <c r="Q74" s="15" t="n"/>
      <c r="R74">
        <f>IF($A74&lt;&gt;"",$A74,R73)</f>
        <v/>
      </c>
    </row>
    <row r="75">
      <c r="A75" s="4" t="n"/>
      <c r="B75" s="4" t="inlineStr">
        <is>
          <t>Production deploy - FOOTBALL</t>
        </is>
      </c>
      <c r="C75" s="21" t="inlineStr">
        <is>
          <t>Milestone</t>
        </is>
      </c>
      <c r="D75" s="6" t="inlineStr">
        <is>
          <t>Platform</t>
        </is>
      </c>
      <c r="E75" s="7" t="n">
        <v>46269</v>
      </c>
      <c r="F75" s="7" t="n">
        <v>46269</v>
      </c>
      <c r="G75" s="8" t="inlineStr">
        <is>
          <t>Target</t>
        </is>
      </c>
      <c r="H75" s="10" t="n"/>
      <c r="I75" s="10" t="n"/>
      <c r="J75" s="10" t="n"/>
      <c r="K75" s="10" t="n"/>
      <c r="L75" s="10" t="n"/>
      <c r="M75" s="22" t="inlineStr">
        <is>
          <t>◆</t>
        </is>
      </c>
      <c r="N75" s="10" t="n"/>
      <c r="O75" s="10" t="n"/>
      <c r="P75" s="10" t="n"/>
      <c r="Q75" s="10" t="n"/>
      <c r="R75">
        <f>IF($A75&lt;&gt;"",$A75,R74)</f>
        <v/>
      </c>
    </row>
    <row r="76">
      <c r="A76" s="11" t="n"/>
      <c r="B76" s="11" t="inlineStr">
        <is>
          <t>Closed beta (football only)</t>
        </is>
      </c>
      <c r="C76" s="19" t="inlineStr">
        <is>
          <t>Planned</t>
        </is>
      </c>
      <c r="D76" s="12" t="inlineStr">
        <is>
          <t>Product</t>
        </is>
      </c>
      <c r="E76" s="13" t="n">
        <v>46272</v>
      </c>
      <c r="F76" s="13" t="n">
        <v>46283</v>
      </c>
      <c r="G76" s="14" t="inlineStr">
        <is>
          <t>Real users, real feedback</t>
        </is>
      </c>
      <c r="H76" s="15" t="n"/>
      <c r="I76" s="15" t="n"/>
      <c r="J76" s="15" t="n"/>
      <c r="K76" s="15" t="n"/>
      <c r="L76" s="15" t="n"/>
      <c r="M76" s="15" t="n"/>
      <c r="N76" s="20" t="n"/>
      <c r="O76" s="20" t="n"/>
      <c r="P76" s="15" t="n"/>
      <c r="Q76" s="15" t="n"/>
      <c r="R76">
        <f>IF($A76&lt;&gt;"",$A76,R75)</f>
        <v/>
      </c>
    </row>
    <row r="77">
      <c r="A77" s="4" t="n"/>
      <c r="B77" s="4" t="inlineStr">
        <is>
          <t>Public launch readiness review</t>
        </is>
      </c>
      <c r="C77" s="21" t="inlineStr">
        <is>
          <t>Milestone</t>
        </is>
      </c>
      <c r="D77" s="6" t="inlineStr">
        <is>
          <t>Product</t>
        </is>
      </c>
      <c r="E77" s="7" t="n">
        <v>46290</v>
      </c>
      <c r="F77" s="7" t="n">
        <v>46290</v>
      </c>
      <c r="G77" s="8" t="inlineStr">
        <is>
          <t>Gated on beta + edge</t>
        </is>
      </c>
      <c r="H77" s="10" t="n"/>
      <c r="I77" s="10" t="n"/>
      <c r="J77" s="10" t="n"/>
      <c r="K77" s="10" t="n"/>
      <c r="L77" s="10" t="n"/>
      <c r="M77" s="10" t="n"/>
      <c r="N77" s="10" t="n"/>
      <c r="O77" s="10" t="n"/>
      <c r="P77" s="22" t="inlineStr">
        <is>
          <t>◆</t>
        </is>
      </c>
      <c r="Q77" s="10" t="n"/>
      <c r="R77">
        <f>IF($A77&lt;&gt;"",$A77,R76)</f>
        <v/>
      </c>
    </row>
    <row r="78">
      <c r="A78" s="11" t="n"/>
      <c r="B78" s="11" t="inlineStr">
        <is>
          <t>Merge feat/base-rate-relative-picks -&gt; main</t>
        </is>
      </c>
      <c r="C78" s="5" t="inlineStr">
        <is>
          <t>Done</t>
        </is>
      </c>
      <c r="D78" s="12" t="inlineStr">
        <is>
          <t>Platform</t>
        </is>
      </c>
      <c r="E78" s="13" t="n">
        <v>46237</v>
      </c>
      <c r="F78" s="13" t="n">
        <v>46237</v>
      </c>
      <c r="G78" s="14" t="inlineStr">
        <is>
          <t>Fast-forward; main +25 unpushed</t>
        </is>
      </c>
      <c r="H78" s="15" t="n"/>
      <c r="I78" s="9" t="n"/>
      <c r="J78" s="15" t="n"/>
      <c r="K78" s="15" t="n"/>
      <c r="L78" s="15" t="n"/>
      <c r="M78" s="15" t="n"/>
      <c r="N78" s="15" t="n"/>
      <c r="O78" s="15" t="n"/>
      <c r="P78" s="15" t="n"/>
      <c r="Q78" s="15" t="n"/>
      <c r="R78">
        <f>IF($A78&lt;&gt;"",$A78,R77)</f>
        <v/>
      </c>
    </row>
    <row r="79">
      <c r="A79" s="4" t="n"/>
      <c r="B79" s="4" t="inlineStr">
        <is>
          <t>Local start-up runbook + delivery board</t>
        </is>
      </c>
      <c r="C79" s="5" t="inlineStr">
        <is>
          <t>Done</t>
        </is>
      </c>
      <c r="D79" s="6" t="inlineStr">
        <is>
          <t>Product</t>
        </is>
      </c>
      <c r="E79" s="7" t="n">
        <v>46237</v>
      </c>
      <c r="F79" s="7" t="n">
        <v>46238</v>
      </c>
      <c r="G79" s="8" t="inlineStr">
        <is>
          <t>SportIQ-Local-Setup.docx</t>
        </is>
      </c>
      <c r="H79" s="10" t="n"/>
      <c r="I79" s="9" t="n"/>
      <c r="J79" s="10" t="n"/>
      <c r="K79" s="10" t="n"/>
      <c r="L79" s="10" t="n"/>
      <c r="M79" s="10" t="n"/>
      <c r="N79" s="10" t="n"/>
      <c r="O79" s="10" t="n"/>
      <c r="P79" s="10" t="n"/>
      <c r="Q79" s="10" t="n"/>
      <c r="R79">
        <f>IF($A79&lt;&gt;"",$A79,R78)</f>
        <v/>
      </c>
    </row>
    <row r="80">
      <c r="A80" s="16" t="inlineStr">
        <is>
          <t>E11 Ops Resilience</t>
        </is>
      </c>
      <c r="B80" s="11" t="inlineStr">
        <is>
          <t>dev_worker.py — worker auto-restart</t>
        </is>
      </c>
      <c r="C80" s="5" t="inlineStr">
        <is>
          <t>Done</t>
        </is>
      </c>
      <c r="D80" s="12" t="inlineStr">
        <is>
          <t>Platform</t>
        </is>
      </c>
      <c r="E80" s="13" t="n">
        <v>46238</v>
      </c>
      <c r="F80" s="13" t="n">
        <v>46238</v>
      </c>
      <c r="G80" s="14" t="inlineStr">
        <is>
          <t>PREVENTION: Celery has no --reload</t>
        </is>
      </c>
      <c r="H80" s="15" t="n"/>
      <c r="I80" s="9" t="n"/>
      <c r="J80" s="15" t="n"/>
      <c r="K80" s="15" t="n"/>
      <c r="L80" s="15" t="n"/>
      <c r="M80" s="15" t="n"/>
      <c r="N80" s="15" t="n"/>
      <c r="O80" s="15" t="n"/>
      <c r="P80" s="15" t="n"/>
      <c r="Q80" s="15" t="n"/>
      <c r="R80">
        <f>IF($A80&lt;&gt;"",$A80,R79)</f>
        <v/>
      </c>
    </row>
    <row r="81">
      <c r="A81" s="4" t="n"/>
      <c r="B81" s="4" t="inlineStr">
        <is>
          <t>code_version + /health + check_stale.py</t>
        </is>
      </c>
      <c r="C81" s="5" t="inlineStr">
        <is>
          <t>Done</t>
        </is>
      </c>
      <c r="D81" s="6" t="inlineStr">
        <is>
          <t>Platform</t>
        </is>
      </c>
      <c r="E81" s="7" t="n">
        <v>46238</v>
      </c>
      <c r="F81" s="7" t="n">
        <v>46238</v>
      </c>
      <c r="G81" s="8" t="inlineStr">
        <is>
          <t>DETECTION: caught a day-old uvicorn</t>
        </is>
      </c>
      <c r="H81" s="10" t="n"/>
      <c r="I81" s="9" t="n"/>
      <c r="J81" s="10" t="n"/>
      <c r="K81" s="10" t="n"/>
      <c r="L81" s="10" t="n"/>
      <c r="M81" s="10" t="n"/>
      <c r="N81" s="10" t="n"/>
      <c r="O81" s="10" t="n"/>
      <c r="P81" s="10" t="n"/>
      <c r="Q81" s="10" t="n"/>
      <c r="R81">
        <f>IF($A81&lt;&gt;"",$A81,R80)</f>
        <v/>
      </c>
    </row>
    <row r="82">
      <c r="A82" s="11" t="n"/>
      <c r="B82" s="11" t="inlineStr">
        <is>
          <t>Verify deploy restarts worker AND beat</t>
        </is>
      </c>
      <c r="C82" s="19" t="inlineStr">
        <is>
          <t>Planned</t>
        </is>
      </c>
      <c r="D82" s="12" t="inlineStr">
        <is>
          <t>Platform</t>
        </is>
      </c>
      <c r="E82" s="13" t="n">
        <v>46246</v>
      </c>
      <c r="F82" s="13" t="n">
        <v>46247</v>
      </c>
      <c r="G82" s="14" t="inlineStr">
        <is>
          <t>Not just the web service — the prod version of today's bug</t>
        </is>
      </c>
      <c r="H82" s="15" t="n"/>
      <c r="I82" s="15" t="n"/>
      <c r="J82" s="20" t="n"/>
      <c r="K82" s="15" t="n"/>
      <c r="L82" s="15" t="n"/>
      <c r="M82" s="15" t="n"/>
      <c r="N82" s="15" t="n"/>
      <c r="O82" s="15" t="n"/>
      <c r="P82" s="15" t="n"/>
      <c r="Q82" s="15" t="n"/>
      <c r="R82">
        <f>IF($A82&lt;&gt;"",$A82,R81)</f>
        <v/>
      </c>
    </row>
    <row r="83">
      <c r="A83" s="4" t="n"/>
      <c r="B83" s="4" t="inlineStr">
        <is>
          <t>GIT_SHA baked into image at build</t>
        </is>
      </c>
      <c r="C83" s="19" t="inlineStr">
        <is>
          <t>Planned</t>
        </is>
      </c>
      <c r="D83" s="6" t="inlineStr">
        <is>
          <t>Platform</t>
        </is>
      </c>
      <c r="E83" s="7" t="n">
        <v>46247</v>
      </c>
      <c r="F83" s="7" t="n">
        <v>46247</v>
      </c>
      <c r="G83" s="8" t="inlineStr">
        <is>
          <t>No working tree in a container</t>
        </is>
      </c>
      <c r="H83" s="10" t="n"/>
      <c r="I83" s="10" t="n"/>
      <c r="J83" s="20" t="n"/>
      <c r="K83" s="10" t="n"/>
      <c r="L83" s="10" t="n"/>
      <c r="M83" s="10" t="n"/>
      <c r="N83" s="10" t="n"/>
      <c r="O83" s="10" t="n"/>
      <c r="P83" s="10" t="n"/>
      <c r="Q83" s="10" t="n"/>
      <c r="R83">
        <f>IF($A83&lt;&gt;"",$A83,R82)</f>
        <v/>
      </c>
    </row>
    <row r="84">
      <c r="A84" s="11" t="n"/>
      <c r="B84" s="11" t="inlineStr">
        <is>
          <t>Sentry + uptime alerting</t>
        </is>
      </c>
      <c r="C84" s="19" t="inlineStr">
        <is>
          <t>Planned</t>
        </is>
      </c>
      <c r="D84" s="12" t="inlineStr">
        <is>
          <t>Platform</t>
        </is>
      </c>
      <c r="E84" s="13" t="n">
        <v>46248</v>
      </c>
      <c r="F84" s="13" t="n">
        <v>46252</v>
      </c>
      <c r="G84" s="14" t="inlineStr">
        <is>
          <t>Injury worker failed unnoticed for weeks</t>
        </is>
      </c>
      <c r="H84" s="15" t="n"/>
      <c r="I84" s="15" t="n"/>
      <c r="J84" s="20" t="n"/>
      <c r="K84" s="20" t="n"/>
      <c r="L84" s="15" t="n"/>
      <c r="M84" s="15" t="n"/>
      <c r="N84" s="15" t="n"/>
      <c r="O84" s="15" t="n"/>
      <c r="P84" s="15" t="n"/>
      <c r="Q84" s="15" t="n"/>
      <c r="R84">
        <f>IF($A84&lt;&gt;"",$A84,R83)</f>
        <v/>
      </c>
    </row>
    <row r="85">
      <c r="A85" s="4" t="n"/>
      <c r="B85" s="4" t="inlineStr">
        <is>
          <t>check_stale in CI / post-deploy smoke</t>
        </is>
      </c>
      <c r="C85" s="19" t="inlineStr">
        <is>
          <t>Planned</t>
        </is>
      </c>
      <c r="D85" s="6" t="inlineStr">
        <is>
          <t>Platform</t>
        </is>
      </c>
      <c r="E85" s="7" t="n">
        <v>46253</v>
      </c>
      <c r="F85" s="7" t="n">
        <v>46254</v>
      </c>
      <c r="G85" s="8" t="inlineStr">
        <is>
          <t>Non-zero exit already gates it</t>
        </is>
      </c>
      <c r="H85" s="10" t="n"/>
      <c r="I85" s="10" t="n"/>
      <c r="J85" s="10" t="n"/>
      <c r="K85" s="20" t="n"/>
      <c r="L85" s="10" t="n"/>
      <c r="M85" s="10" t="n"/>
      <c r="N85" s="10" t="n"/>
      <c r="O85" s="10" t="n"/>
      <c r="P85" s="10" t="n"/>
      <c r="Q85" s="10" t="n"/>
      <c r="R85">
        <f>IF($A85&lt;&gt;"",$A85,R84)</f>
        <v/>
      </c>
    </row>
    <row r="86">
      <c r="A86" s="16" t="inlineStr">
        <is>
          <t>E8 Model Quality</t>
        </is>
      </c>
      <c r="B86" s="11" t="inlineStr">
        <is>
          <t>Review external optimisation consultancy</t>
        </is>
      </c>
      <c r="C86" s="5" t="inlineStr">
        <is>
          <t>Done</t>
        </is>
      </c>
      <c r="D86" s="12" t="inlineStr">
        <is>
          <t>ML</t>
        </is>
      </c>
      <c r="E86" s="13" t="n">
        <v>46238</v>
      </c>
      <c r="F86" s="13" t="n">
        <v>46238</v>
      </c>
      <c r="G86" s="14" t="inlineStr">
        <is>
          <t>Measured their DC claim; benchmark used 2k not 8.7k fixtures</t>
        </is>
      </c>
      <c r="H86" s="11" t="n"/>
      <c r="I86" s="39" t="n"/>
      <c r="J86" s="11" t="n"/>
      <c r="K86" s="11" t="n"/>
      <c r="L86" s="11" t="n"/>
      <c r="M86" s="11" t="n"/>
      <c r="N86" s="11" t="n"/>
      <c r="O86" s="11" t="n"/>
      <c r="P86" s="11" t="n"/>
      <c r="Q86" s="11" t="n"/>
      <c r="R86">
        <f>IF($A86&lt;&gt;"",$A86,R85)</f>
        <v/>
      </c>
    </row>
    <row r="87">
      <c r="A87" s="3" t="inlineStr">
        <is>
          <t>E8 Model Quality</t>
        </is>
      </c>
      <c r="B87" s="4" t="inlineStr">
        <is>
          <t>4-arm experiment: OOF / HFA on full data</t>
        </is>
      </c>
      <c r="C87" s="5" t="inlineStr">
        <is>
          <t>Done</t>
        </is>
      </c>
      <c r="D87" s="6" t="inlineStr">
        <is>
          <t>ML</t>
        </is>
      </c>
      <c r="E87" s="7" t="n">
        <v>46238</v>
      </c>
      <c r="F87" s="7" t="n">
        <v>46238</v>
      </c>
      <c r="G87" s="8" t="inlineStr">
        <is>
          <t>OOF +3.8pts, -20% RPS. HFA HURTS - rejected</t>
        </is>
      </c>
      <c r="H87" s="4" t="n"/>
      <c r="I87" s="39" t="n"/>
      <c r="J87" s="4" t="n"/>
      <c r="K87" s="4" t="n"/>
      <c r="L87" s="4" t="n"/>
      <c r="M87" s="4" t="n"/>
      <c r="N87" s="4" t="n"/>
      <c r="O87" s="4" t="n"/>
      <c r="P87" s="4" t="n"/>
      <c r="Q87" s="4" t="n"/>
      <c r="R87">
        <f>IF($A87&lt;&gt;"",$A87,R86)</f>
        <v/>
      </c>
    </row>
    <row r="88">
      <c r="A88" s="16" t="inlineStr">
        <is>
          <t>E8 Model Quality</t>
        </is>
      </c>
      <c r="B88" s="11" t="inlineStr">
        <is>
          <t>OOF stacking in train_football.py</t>
        </is>
      </c>
      <c r="C88" s="5" t="inlineStr">
        <is>
          <t>Done</t>
        </is>
      </c>
      <c r="D88" s="12" t="inlineStr">
        <is>
          <t>ML</t>
        </is>
      </c>
      <c r="E88" s="13" t="n">
        <v>46238</v>
      </c>
      <c r="F88" s="13" t="n">
        <v>46238</v>
      </c>
      <c r="G88" s="14" t="inlineStr">
        <is>
          <t>Fixes the documented Layer 2 in-sample optimism</t>
        </is>
      </c>
      <c r="H88" s="11" t="n"/>
      <c r="I88" s="39" t="n"/>
      <c r="J88" s="11" t="n"/>
      <c r="K88" s="11" t="n"/>
      <c r="L88" s="11" t="n"/>
      <c r="M88" s="11" t="n"/>
      <c r="N88" s="11" t="n"/>
      <c r="O88" s="11" t="n"/>
      <c r="P88" s="11" t="n"/>
      <c r="Q88" s="11" t="n"/>
      <c r="R88">
        <f>IF($A88&lt;&gt;"",$A88,R87)</f>
        <v/>
      </c>
    </row>
    <row r="89">
      <c r="A89" s="3" t="inlineStr">
        <is>
          <t>E8 Model Quality</t>
        </is>
      </c>
      <c r="B89" s="4" t="inlineStr">
        <is>
          <t>Prune 7 features (25 -&gt; 18)</t>
        </is>
      </c>
      <c r="C89" s="5" t="inlineStr">
        <is>
          <t>Done</t>
        </is>
      </c>
      <c r="D89" s="6" t="inlineStr">
        <is>
          <t>ML</t>
        </is>
      </c>
      <c r="E89" s="7" t="n">
        <v>46238</v>
      </c>
      <c r="F89" s="7" t="n">
        <v>46238</v>
      </c>
      <c r="G89" s="8" t="inlineStr">
        <is>
          <t>moneyline 0.7% populated / importance 0.000; key players x4</t>
        </is>
      </c>
      <c r="H89" s="4" t="n"/>
      <c r="I89" s="39" t="n"/>
      <c r="J89" s="4" t="n"/>
      <c r="K89" s="4" t="n"/>
      <c r="L89" s="4" t="n"/>
      <c r="M89" s="4" t="n"/>
      <c r="N89" s="4" t="n"/>
      <c r="O89" s="4" t="n"/>
      <c r="P89" s="4" t="n"/>
      <c r="Q89" s="4" t="n"/>
      <c r="R89">
        <f>IF($A89&lt;&gt;"",$A89,R88)</f>
        <v/>
      </c>
    </row>
    <row r="90">
      <c r="A90" s="16" t="inlineStr">
        <is>
          <t>E8 Model Quality</t>
        </is>
      </c>
      <c r="B90" s="11" t="inlineStr">
        <is>
          <t>RETRAIN: best model to date</t>
        </is>
      </c>
      <c r="C90" s="5" t="inlineStr">
        <is>
          <t>Done</t>
        </is>
      </c>
      <c r="D90" s="12" t="inlineStr">
        <is>
          <t>ML</t>
        </is>
      </c>
      <c r="E90" s="13" t="n">
        <v>46238</v>
      </c>
      <c r="F90" s="13" t="n">
        <v>46238</v>
      </c>
      <c r="G90" s="14" t="inlineStr">
        <is>
          <t>acc 0.4837, RPS 0.2151, all 4 Brier scores improved</t>
        </is>
      </c>
      <c r="H90" s="11" t="n"/>
      <c r="I90" s="39" t="n"/>
      <c r="J90" s="11" t="n"/>
      <c r="K90" s="11" t="n"/>
      <c r="L90" s="11" t="n"/>
      <c r="M90" s="11" t="n"/>
      <c r="N90" s="11" t="n"/>
      <c r="O90" s="11" t="n"/>
      <c r="P90" s="11" t="n"/>
      <c r="Q90" s="11" t="n"/>
      <c r="R90">
        <f>IF($A90&lt;&gt;"",$A90,R89)</f>
        <v/>
      </c>
    </row>
    <row r="91">
      <c r="A91" s="3" t="inlineStr">
        <is>
          <t>E8 Model Quality</t>
        </is>
      </c>
      <c r="B91" s="4" t="inlineStr">
        <is>
          <t>Over/Under clears significance</t>
        </is>
      </c>
      <c r="C91" s="5" t="inlineStr">
        <is>
          <t>Done</t>
        </is>
      </c>
      <c r="D91" s="6" t="inlineStr">
        <is>
          <t>ML</t>
        </is>
      </c>
      <c r="E91" s="7" t="n">
        <v>46238</v>
      </c>
      <c r="F91" s="7" t="n">
        <v>46238</v>
      </c>
      <c r="G91" s="8" t="inlineStr">
        <is>
          <t>z=+2.96 p=0.0031 (was +1.86 p=0.062) - GATE IS GO</t>
        </is>
      </c>
      <c r="H91" s="4" t="n"/>
      <c r="I91" s="39" t="n"/>
      <c r="J91" s="4" t="n"/>
      <c r="K91" s="4" t="n"/>
      <c r="L91" s="4" t="n"/>
      <c r="M91" s="4" t="n"/>
      <c r="N91" s="4" t="n"/>
      <c r="O91" s="4" t="n"/>
      <c r="P91" s="4" t="n"/>
      <c r="Q91" s="4" t="n"/>
      <c r="R91">
        <f>IF($A91&lt;&gt;"",$A91,R90)</f>
        <v/>
      </c>
    </row>
    <row r="92">
      <c r="A92" s="16" t="inlineStr">
        <is>
          <t>E11 Ops Resilience</t>
        </is>
      </c>
      <c r="B92" s="11" t="inlineStr">
        <is>
          <t>Root-cause DB connection failures</t>
        </is>
      </c>
      <c r="C92" s="5" t="inlineStr">
        <is>
          <t>Done</t>
        </is>
      </c>
      <c r="D92" s="12" t="inlineStr">
        <is>
          <t>Platform</t>
        </is>
      </c>
      <c r="E92" s="13" t="n">
        <v>46238</v>
      </c>
      <c r="F92" s="13" t="n">
        <v>46238</v>
      </c>
      <c r="G92" s="14" t="inlineStr">
        <is>
          <t>localhost -&gt; IPv6 ::1; Docker binds IPv4 only. Pinned 127.0.0.1</t>
        </is>
      </c>
      <c r="H92" s="11" t="n"/>
      <c r="I92" s="39" t="n"/>
      <c r="J92" s="11" t="n"/>
      <c r="K92" s="11" t="n"/>
      <c r="L92" s="11" t="n"/>
      <c r="M92" s="11" t="n"/>
      <c r="N92" s="11" t="n"/>
      <c r="O92" s="11" t="n"/>
      <c r="P92" s="11" t="n"/>
      <c r="Q92" s="11" t="n"/>
      <c r="R92">
        <f>IF($A92&lt;&gt;"",$A92,R91)</f>
        <v/>
      </c>
    </row>
    <row r="93">
      <c r="A93" s="3" t="inlineStr">
        <is>
          <t>E9 Data Ops</t>
        </is>
      </c>
      <c r="B93" s="4" t="inlineStr">
        <is>
          <t>Remove now-unused key-player ingest</t>
        </is>
      </c>
      <c r="C93" s="19" t="inlineStr">
        <is>
          <t>Planned</t>
        </is>
      </c>
      <c r="D93" s="6" t="inlineStr">
        <is>
          <t>Backend</t>
        </is>
      </c>
      <c r="E93" s="7" t="n">
        <v>46239</v>
      </c>
      <c r="F93" s="7" t="n">
        <v>46239</v>
      </c>
      <c r="G93" s="8" t="inlineStr">
        <is>
          <t>Stage 1 + injury calls still run for features nothing consumes</t>
        </is>
      </c>
      <c r="H93" s="4" t="n"/>
      <c r="I93" s="41" t="n"/>
      <c r="J93" s="4" t="n"/>
      <c r="K93" s="4" t="n"/>
      <c r="L93" s="4" t="n"/>
      <c r="M93" s="4" t="n"/>
      <c r="N93" s="4" t="n"/>
      <c r="O93" s="4" t="n"/>
      <c r="P93" s="4" t="n"/>
      <c r="Q93" s="4" t="n"/>
      <c r="R93">
        <f>IF($A93&lt;&gt;"",$A93,R92)</f>
        <v/>
      </c>
    </row>
    <row r="94">
      <c r="A94" s="16" t="inlineStr">
        <is>
          <t>E9 Data Ops</t>
        </is>
      </c>
      <c r="B94" s="11" t="inlineStr">
        <is>
          <t>Pin 127.0.0.1 in compose/.env.example/runbook</t>
        </is>
      </c>
      <c r="C94" s="5" t="inlineStr">
        <is>
          <t>Done</t>
        </is>
      </c>
      <c r="D94" s="12" t="inlineStr">
        <is>
          <t>Platform</t>
        </is>
      </c>
      <c r="E94" s="13" t="n">
        <v>46239</v>
      </c>
      <c r="F94" s="13" t="n">
        <v>46239</v>
      </c>
      <c r="G94" s="14" t="inlineStr">
        <is>
          <t>compose + .env.example + runbook troubleshooting row</t>
        </is>
      </c>
      <c r="H94" s="11" t="n"/>
      <c r="I94" s="39" t="n"/>
      <c r="J94" s="11" t="n"/>
      <c r="K94" s="11" t="n"/>
      <c r="L94" s="11" t="n"/>
      <c r="M94" s="11" t="n"/>
      <c r="N94" s="11" t="n"/>
      <c r="O94" s="11" t="n"/>
      <c r="P94" s="11" t="n"/>
      <c r="Q94" s="11" t="n"/>
      <c r="R94">
        <f>IF($A94&lt;&gt;"",$A94,R93)</f>
        <v/>
      </c>
    </row>
    <row r="95">
      <c r="A95" s="3" t="inlineStr">
        <is>
          <t>E8 Model Quality</t>
        </is>
      </c>
      <c r="B95" s="4" t="inlineStr">
        <is>
          <t>Collect historical closing odds</t>
        </is>
      </c>
      <c r="C95" s="19" t="inlineStr">
        <is>
          <t>Planned</t>
        </is>
      </c>
      <c r="D95" s="6" t="inlineStr">
        <is>
          <t>Data</t>
        </is>
      </c>
      <c r="E95" s="7" t="n">
        <v>46240</v>
      </c>
      <c r="F95" s="7" t="n">
        <v>46240</v>
      </c>
      <c r="G95" s="8" t="inlineStr">
        <is>
          <t>Strongest known predictor, currently 59 of 8,718 rows</t>
        </is>
      </c>
      <c r="H95" s="4" t="n"/>
      <c r="I95" s="41" t="n"/>
      <c r="J95" s="4" t="n"/>
      <c r="K95" s="4" t="n"/>
      <c r="L95" s="4" t="n"/>
      <c r="M95" s="4" t="n"/>
      <c r="N95" s="4" t="n"/>
      <c r="O95" s="4" t="n"/>
      <c r="P95" s="4" t="n"/>
      <c r="Q95" s="4" t="n"/>
      <c r="R95">
        <f>IF($A95&lt;&gt;"",$A95,R94)</f>
        <v/>
      </c>
    </row>
    <row r="96">
      <c r="A96" s="16" t="inlineStr">
        <is>
          <t>E8 Model Quality</t>
        </is>
      </c>
      <c r="B96" s="11" t="inlineStr">
        <is>
          <t>Probe TheStatsAPI for 4 European leagues</t>
        </is>
      </c>
      <c r="C96" s="5" t="inlineStr">
        <is>
          <t>Done</t>
        </is>
      </c>
      <c r="D96" s="12" t="inlineStr">
        <is>
          <t>ML</t>
        </is>
      </c>
      <c r="E96" s="13" t="n">
        <v>46238</v>
      </c>
      <c r="F96" s="13" t="n">
        <v>46238</v>
      </c>
      <c r="G96" s="14" t="inlineStr">
        <is>
          <t>Caught 2 lower-division traps: '2. Bundesliga', 'LaLiga 2'</t>
        </is>
      </c>
      <c r="H96" s="11" t="n"/>
      <c r="I96" s="39" t="n"/>
      <c r="J96" s="11" t="n"/>
      <c r="K96" s="11" t="n"/>
      <c r="L96" s="11" t="n"/>
      <c r="M96" s="11" t="n"/>
      <c r="N96" s="11" t="n"/>
      <c r="O96" s="11" t="n"/>
      <c r="P96" s="11" t="n"/>
      <c r="Q96" s="11" t="n"/>
      <c r="R96">
        <f>IF($A96&lt;&gt;"",$A96,R95)</f>
        <v/>
      </c>
    </row>
    <row r="97">
      <c r="A97" s="3" t="inlineStr">
        <is>
          <t>E8 Model Quality</t>
        </is>
      </c>
      <c r="B97" s="4" t="inlineStr">
        <is>
          <t>Game logs: Bundesliga/Serie A/La Liga/Ligue 1</t>
        </is>
      </c>
      <c r="C97" s="5" t="inlineStr">
        <is>
          <t>Done</t>
        </is>
      </c>
      <c r="D97" s="6" t="inlineStr">
        <is>
          <t>Data</t>
        </is>
      </c>
      <c r="E97" s="7" t="n">
        <v>46238</v>
      </c>
      <c r="F97" s="7" t="n">
        <v>46238</v>
      </c>
      <c r="G97" s="8" t="inlineStr">
        <is>
          <t>7,028 fixtures. Pool 8,718 -&gt; 15,746 (+81%)</t>
        </is>
      </c>
      <c r="H97" s="4" t="n"/>
      <c r="I97" s="39" t="n"/>
      <c r="J97" s="4" t="n"/>
      <c r="K97" s="4" t="n"/>
      <c r="L97" s="4" t="n"/>
      <c r="M97" s="4" t="n"/>
      <c r="N97" s="4" t="n"/>
      <c r="O97" s="4" t="n"/>
      <c r="P97" s="4" t="n"/>
      <c r="Q97" s="4" t="n"/>
      <c r="R97">
        <f>IF($A97&lt;&gt;"",$A97,R96)</f>
        <v/>
      </c>
    </row>
    <row r="98">
      <c r="A98" s="16" t="inlineStr">
        <is>
          <t>E8 Model Quality</t>
        </is>
      </c>
      <c r="B98" s="11" t="inlineStr">
        <is>
          <t>Fix xG resolve team-name tiebreak</t>
        </is>
      </c>
      <c r="C98" s="5" t="inlineStr">
        <is>
          <t>Done</t>
        </is>
      </c>
      <c r="D98" s="12" t="inlineStr">
        <is>
          <t>ML</t>
        </is>
      </c>
      <c r="E98" s="13" t="n">
        <v>46238</v>
      </c>
      <c r="F98" s="13" t="n">
        <v>46238</v>
      </c>
      <c r="G98" s="14" t="inlineStr">
        <is>
          <t>DB empty pre-season; 15-23% of fixtures were being dropped</t>
        </is>
      </c>
      <c r="H98" s="11" t="n"/>
      <c r="I98" s="39" t="n"/>
      <c r="J98" s="11" t="n"/>
      <c r="K98" s="11" t="n"/>
      <c r="L98" s="11" t="n"/>
      <c r="M98" s="11" t="n"/>
      <c r="N98" s="11" t="n"/>
      <c r="O98" s="11" t="n"/>
      <c r="P98" s="11" t="n"/>
      <c r="Q98" s="11" t="n"/>
      <c r="R98">
        <f>IF($A98&lt;&gt;"",$A98,R97)</f>
        <v/>
      </c>
    </row>
    <row r="99">
      <c r="A99" s="3" t="inlineStr">
        <is>
          <t>E8 Model Quality</t>
        </is>
      </c>
      <c r="B99" s="4" t="inlineStr">
        <is>
          <t>xG collection (4 European leagues)</t>
        </is>
      </c>
      <c r="C99" s="21" t="inlineStr">
        <is>
          <t>Done</t>
        </is>
      </c>
      <c r="D99" s="6" t="inlineStr">
        <is>
          <t>Data</t>
        </is>
      </c>
      <c r="E99" s="7" t="n">
        <v>46238</v>
      </c>
      <c r="F99" s="7" t="n">
        <v>46239</v>
      </c>
      <c r="G99" s="8" t="inlineStr">
        <is>
          <t>Complete: all 9 leagues carry xG (21,396 rows)</t>
        </is>
      </c>
      <c r="H99" s="4" t="n"/>
      <c r="I99" s="40" t="n"/>
      <c r="J99" s="4" t="n"/>
      <c r="K99" s="4" t="n"/>
      <c r="L99" s="4" t="n"/>
      <c r="M99" s="4" t="n"/>
      <c r="N99" s="4" t="n"/>
      <c r="O99" s="4" t="n"/>
      <c r="P99" s="4" t="n"/>
      <c r="Q99" s="4" t="n"/>
      <c r="R99">
        <f>IF($A99&lt;&gt;"",$A99,R98)</f>
        <v/>
      </c>
    </row>
    <row r="100">
      <c r="A100" s="16" t="inlineStr">
        <is>
          <t>E8 Model Quality</t>
        </is>
      </c>
      <c r="B100" s="11" t="inlineStr">
        <is>
          <t>Retrain pooled across 9 leagues</t>
        </is>
      </c>
      <c r="C100" s="19" t="inlineStr">
        <is>
          <t>Done</t>
        </is>
      </c>
      <c r="D100" s="12" t="inlineStr">
        <is>
          <t>ML</t>
        </is>
      </c>
      <c r="E100" s="13" t="n">
        <v>46239</v>
      </c>
      <c r="F100" s="13" t="n">
        <v>46239</v>
      </c>
      <c r="G100" s="14" t="inlineStr">
        <is>
          <t>Retrained - see the RETRAIN milestone row. O/U trend strengthened to z=+3.35</t>
        </is>
      </c>
      <c r="H100" s="11" t="n"/>
      <c r="I100" s="41" t="n"/>
      <c r="J100" s="11" t="n"/>
      <c r="K100" s="11" t="n"/>
      <c r="L100" s="11" t="n"/>
      <c r="M100" s="11" t="n"/>
      <c r="N100" s="11" t="n"/>
      <c r="O100" s="11" t="n"/>
      <c r="P100" s="11" t="n"/>
      <c r="Q100" s="11" t="n"/>
      <c r="R100">
        <f>IF($A100&lt;&gt;"",$A100,R99)</f>
        <v/>
      </c>
    </row>
    <row r="101">
      <c r="A101" s="3" t="inlineStr">
        <is>
          <t>E9 Data Ops</t>
        </is>
      </c>
      <c r="B101" s="4" t="inlineStr">
        <is>
          <t>Corners for the 4 new leagues (DEFERRED)</t>
        </is>
      </c>
      <c r="C101" s="19" t="inlineStr">
        <is>
          <t>Planned</t>
        </is>
      </c>
      <c r="D101" s="6" t="inlineStr">
        <is>
          <t>Data</t>
        </is>
      </c>
      <c r="E101" s="7" t="n">
        <v>46246</v>
      </c>
      <c r="F101" s="7" t="n">
        <v>46248</v>
      </c>
      <c r="G101" s="8" t="inlineStr">
        <is>
          <t>~7k calls = 94% of daily budget; measured no gain. Deferred by choice</t>
        </is>
      </c>
      <c r="H101" s="4" t="n"/>
      <c r="I101" s="4" t="n"/>
      <c r="J101" s="41" t="n"/>
      <c r="K101" s="4" t="n"/>
      <c r="L101" s="4" t="n"/>
      <c r="M101" s="4" t="n"/>
      <c r="N101" s="4" t="n"/>
      <c r="O101" s="4" t="n"/>
      <c r="P101" s="4" t="n"/>
      <c r="Q101" s="4" t="n"/>
      <c r="R101">
        <f>IF($A101&lt;&gt;"",$A101,R100)</f>
        <v/>
      </c>
    </row>
    <row r="102">
      <c r="A102" s="16" t="inlineStr">
        <is>
          <t>E9 Data Ops</t>
        </is>
      </c>
      <c r="B102" s="11" t="inlineStr">
        <is>
          <t>Merge feat/european-leagues -&gt; main</t>
        </is>
      </c>
      <c r="C102" s="19" t="inlineStr">
        <is>
          <t>Done</t>
        </is>
      </c>
      <c r="D102" s="12" t="inlineStr">
        <is>
          <t>Platform</t>
        </is>
      </c>
      <c r="E102" s="13" t="n">
        <v>46239</v>
      </c>
      <c r="F102" s="13" t="n">
        <v>46239</v>
      </c>
      <c r="G102" s="14" t="inlineStr">
        <is>
          <t>Merged via PR #1 (rebase); CI green on both jobs</t>
        </is>
      </c>
      <c r="H102" s="11" t="n"/>
      <c r="I102" s="41" t="n"/>
      <c r="J102" s="11" t="n"/>
      <c r="K102" s="11" t="n"/>
      <c r="L102" s="11" t="n"/>
      <c r="M102" s="11" t="n"/>
      <c r="N102" s="11" t="n"/>
      <c r="O102" s="11" t="n"/>
      <c r="P102" s="11" t="n"/>
      <c r="Q102" s="11" t="n"/>
      <c r="R102">
        <f>IF($A102&lt;&gt;"",$A102,R101)</f>
        <v/>
      </c>
    </row>
    <row r="103">
      <c r="A103" s="3" t="inlineStr">
        <is>
          <t>E11 Ops Resilience</t>
        </is>
      </c>
      <c r="B103" s="4" t="inlineStr">
        <is>
          <t>Root-cause stale uvicorn serving 500s</t>
        </is>
      </c>
      <c r="C103" s="5" t="inlineStr">
        <is>
          <t>Done</t>
        </is>
      </c>
      <c r="D103" s="6" t="inlineStr">
        <is>
          <t>Platform</t>
        </is>
      </c>
      <c r="E103" s="7" t="n">
        <v>46238</v>
      </c>
      <c r="F103" s="7" t="n">
        <v>46238</v>
      </c>
      <c r="G103" s="8" t="inlineStr">
        <is>
          <t>7h40m stale, predated the feature prune. 200 in-process vs 500 via server</t>
        </is>
      </c>
      <c r="H103" s="4" t="n"/>
      <c r="I103" s="39" t="n"/>
      <c r="J103" s="4" t="n"/>
      <c r="K103" s="4" t="n"/>
      <c r="L103" s="4" t="n"/>
      <c r="M103" s="4" t="n"/>
      <c r="N103" s="4" t="n"/>
      <c r="O103" s="4" t="n"/>
      <c r="P103" s="4" t="n"/>
      <c r="Q103" s="4" t="n"/>
      <c r="R103">
        <f>IF($A103&lt;&gt;"",$A103,R102)</f>
        <v/>
      </c>
    </row>
    <row r="104">
      <c r="A104" s="16" t="inlineStr">
        <is>
          <t>E5 ML Tennis</t>
        </is>
      </c>
      <c r="B104" s="11" t="inlineStr">
        <is>
          <t>Fix: ingest only the current tournament edition</t>
        </is>
      </c>
      <c r="C104" s="5" t="inlineStr">
        <is>
          <t>Done</t>
        </is>
      </c>
      <c r="D104" s="12" t="inlineStr">
        <is>
          <t>Backend</t>
        </is>
      </c>
      <c r="E104" s="13" t="n">
        <v>46238</v>
      </c>
      <c r="F104" s="13" t="n">
        <v>46238</v>
      </c>
      <c r="G104" s="14" t="inlineStr">
        <is>
          <t>A poll wrote 2,616 fixtures spanning 2007-2026; 119 were current</t>
        </is>
      </c>
      <c r="H104" s="11" t="n"/>
      <c r="I104" s="39" t="n"/>
      <c r="J104" s="11" t="n"/>
      <c r="K104" s="11" t="n"/>
      <c r="L104" s="11" t="n"/>
      <c r="M104" s="11" t="n"/>
      <c r="N104" s="11" t="n"/>
      <c r="O104" s="11" t="n"/>
      <c r="P104" s="11" t="n"/>
      <c r="Q104" s="11" t="n"/>
      <c r="R104">
        <f>IF($A104&lt;&gt;"",$A104,R103)</f>
        <v/>
      </c>
    </row>
    <row r="105">
      <c r="A105" s="3" t="inlineStr">
        <is>
          <t>E5 ML Tennis</t>
        </is>
      </c>
      <c r="B105" s="4" t="inlineStr">
        <is>
          <t>Fix: let a revised kickoff correct a stale date</t>
        </is>
      </c>
      <c r="C105" s="5" t="inlineStr">
        <is>
          <t>Done</t>
        </is>
      </c>
      <c r="D105" s="6" t="inlineStr">
        <is>
          <t>Backend</t>
        </is>
      </c>
      <c r="E105" s="7" t="n">
        <v>46238</v>
      </c>
      <c r="F105" s="7" t="n">
        <v>46238</v>
      </c>
      <c r="G105" s="8" t="inlineStr">
        <is>
          <t>Matches moved to today sat under yesterday, 3 already live</t>
        </is>
      </c>
      <c r="H105" s="4" t="n"/>
      <c r="I105" s="39" t="n"/>
      <c r="J105" s="4" t="n"/>
      <c r="K105" s="4" t="n"/>
      <c r="L105" s="4" t="n"/>
      <c r="M105" s="4" t="n"/>
      <c r="N105" s="4" t="n"/>
      <c r="O105" s="4" t="n"/>
      <c r="P105" s="4" t="n"/>
      <c r="Q105" s="4" t="n"/>
      <c r="R105">
        <f>IF($A105&lt;&gt;"",$A105,R104)</f>
        <v/>
      </c>
    </row>
    <row r="106">
      <c r="A106" s="16" t="inlineStr">
        <is>
          <t>E9 Data Ops</t>
        </is>
      </c>
      <c r="B106" s="11" t="inlineStr">
        <is>
          <t>Purge 3,443 pre-2026 tennis fixtures</t>
        </is>
      </c>
      <c r="C106" s="5" t="inlineStr">
        <is>
          <t>Done</t>
        </is>
      </c>
      <c r="D106" s="12" t="inlineStr">
        <is>
          <t>Data</t>
        </is>
      </c>
      <c r="E106" s="13" t="n">
        <v>46238</v>
      </c>
      <c r="F106" s="13" t="n">
        <v>46238</v>
      </c>
      <c r="G106" s="14" t="inlineStr">
        <is>
          <t>Not a coherent record: 2007 had 134 matches vs a real season of thousands</t>
        </is>
      </c>
      <c r="H106" s="11" t="n"/>
      <c r="I106" s="39" t="n"/>
      <c r="J106" s="11" t="n"/>
      <c r="K106" s="11" t="n"/>
      <c r="L106" s="11" t="n"/>
      <c r="M106" s="11" t="n"/>
      <c r="N106" s="11" t="n"/>
      <c r="O106" s="11" t="n"/>
      <c r="P106" s="11" t="n"/>
      <c r="Q106" s="11" t="n"/>
      <c r="R106">
        <f>IF($A106&lt;&gt;"",$A106,R105)</f>
        <v/>
      </c>
    </row>
    <row r="107">
      <c r="A107" s="3" t="inlineStr">
        <is>
          <t>E11 Ops Resilience</t>
        </is>
      </c>
      <c r="B107" s="4" t="inlineStr">
        <is>
          <t>Fix Celery: 4 duplicate workers, no beat at all</t>
        </is>
      </c>
      <c r="C107" s="5" t="inlineStr">
        <is>
          <t>Done</t>
        </is>
      </c>
      <c r="D107" s="6" t="inlineStr">
        <is>
          <t>Platform</t>
        </is>
      </c>
      <c r="E107" s="7" t="n">
        <v>46238</v>
      </c>
      <c r="F107" s="7" t="n">
        <v>46238</v>
      </c>
      <c r="G107" s="8" t="inlineStr">
        <is>
          <t>Nothing had been running on the 5-min schedule. Now 1 worker + 1 beat</t>
        </is>
      </c>
      <c r="H107" s="4" t="n"/>
      <c r="I107" s="39" t="n"/>
      <c r="J107" s="4" t="n"/>
      <c r="K107" s="4" t="n"/>
      <c r="L107" s="4" t="n"/>
      <c r="M107" s="4" t="n"/>
      <c r="N107" s="4" t="n"/>
      <c r="O107" s="4" t="n"/>
      <c r="P107" s="4" t="n"/>
      <c r="Q107" s="4" t="n"/>
      <c r="R107">
        <f>IF($A107&lt;&gt;"",$A107,R106)</f>
        <v/>
      </c>
    </row>
    <row r="108">
      <c r="A108" s="46" t="inlineStr">
        <is>
          <t>E10 Deploy</t>
        </is>
      </c>
      <c r="B108" s="47" t="inlineStr">
        <is>
          <t>Portable artefact paths (MODELS_DIR + migration)</t>
        </is>
      </c>
      <c r="C108" s="48" t="inlineStr">
        <is>
          <t>Done</t>
        </is>
      </c>
      <c r="D108" s="49" t="inlineStr">
        <is>
          <t>Platform</t>
        </is>
      </c>
      <c r="E108" s="50" t="n">
        <v>46238</v>
      </c>
      <c r="F108" s="50" t="n">
        <v>46238</v>
      </c>
      <c r="G108" s="51" t="inlineStr">
        <is>
          <t>All 3 models stored an absolute Windows path; none could load in a container</t>
        </is>
      </c>
      <c r="H108" s="47" t="n"/>
      <c r="I108" s="52" t="n"/>
      <c r="J108" s="47" t="n"/>
      <c r="K108" s="47" t="n"/>
      <c r="L108" s="47" t="n"/>
      <c r="M108" s="47" t="n"/>
      <c r="N108" s="47" t="n"/>
      <c r="O108" s="47" t="n"/>
      <c r="P108" s="47" t="n"/>
      <c r="Q108" s="47" t="n"/>
      <c r="R108">
        <f>IF($A108&lt;&gt;"",$A108,R107)</f>
        <v/>
      </c>
    </row>
    <row r="109">
      <c r="A109" s="53" t="inlineStr">
        <is>
          <t>E10 Deploy</t>
        </is>
      </c>
      <c r="B109" s="54" t="inlineStr">
        <is>
          <t>Stage active artefacts into the image</t>
        </is>
      </c>
      <c r="C109" s="48" t="inlineStr">
        <is>
          <t>Done</t>
        </is>
      </c>
      <c r="D109" s="55" t="inlineStr">
        <is>
          <t>Platform</t>
        </is>
      </c>
      <c r="E109" s="56" t="n">
        <v>46238</v>
      </c>
      <c r="F109" s="56" t="n">
        <v>46238</v>
      </c>
      <c r="G109" s="57" t="inlineStr">
        <is>
          <t>ml/artifacts was gitignored, so portable paths alone still resolved to nothing</t>
        </is>
      </c>
      <c r="H109" s="54" t="n"/>
      <c r="I109" s="52" t="n"/>
      <c r="J109" s="54" t="n"/>
      <c r="K109" s="54" t="n"/>
      <c r="L109" s="54" t="n"/>
      <c r="M109" s="54" t="n"/>
      <c r="N109" s="54" t="n"/>
      <c r="O109" s="54" t="n"/>
      <c r="P109" s="54" t="n"/>
      <c r="Q109" s="54" t="n"/>
      <c r="R109">
        <f>IF($A109&lt;&gt;"",$A109,R108)</f>
        <v/>
      </c>
    </row>
    <row r="110">
      <c r="A110" s="46" t="inlineStr">
        <is>
          <t>E10 Deploy</t>
        </is>
      </c>
      <c r="B110" s="47" t="inlineStr">
        <is>
          <t>infra/render.yaml: web + worker + BEAT + PG/Redis</t>
        </is>
      </c>
      <c r="C110" s="48" t="inlineStr">
        <is>
          <t>Done</t>
        </is>
      </c>
      <c r="D110" s="49" t="inlineStr">
        <is>
          <t>Platform</t>
        </is>
      </c>
      <c r="E110" s="50" t="n">
        <v>46238</v>
      </c>
      <c r="F110" s="50" t="n">
        <v>46238</v>
      </c>
      <c r="G110" s="51" t="inlineStr">
        <is>
          <t>Image built and run: models load on Linux, alembic head OK, 4 tasks scheduled</t>
        </is>
      </c>
      <c r="H110" s="47" t="n"/>
      <c r="I110" s="52" t="n"/>
      <c r="J110" s="47" t="n"/>
      <c r="K110" s="47" t="n"/>
      <c r="L110" s="47" t="n"/>
      <c r="M110" s="47" t="n"/>
      <c r="N110" s="47" t="n"/>
      <c r="O110" s="47" t="n"/>
      <c r="P110" s="47" t="n"/>
      <c r="Q110" s="47" t="n"/>
      <c r="R110">
        <f>IF($A110&lt;&gt;"",$A110,R109)</f>
        <v/>
      </c>
    </row>
    <row r="111">
      <c r="A111" s="53" t="inlineStr">
        <is>
          <t>E10 Deploy</t>
        </is>
      </c>
      <c r="B111" s="54" t="inlineStr">
        <is>
          <t>watchlist_items + T-60 kickoff reminder</t>
        </is>
      </c>
      <c r="C111" s="48" t="inlineStr">
        <is>
          <t>Done</t>
        </is>
      </c>
      <c r="D111" s="55" t="inlineStr">
        <is>
          <t>Backend</t>
        </is>
      </c>
      <c r="E111" s="56" t="n">
        <v>46238</v>
      </c>
      <c r="F111" s="56" t="n">
        <v>46238</v>
      </c>
      <c r="G111" s="57" t="inlineStr">
        <is>
          <t>PICK-07. Unblocks notify_kickoff_reminder, a stub since it was written</t>
        </is>
      </c>
      <c r="H111" s="54" t="n"/>
      <c r="I111" s="52" t="n"/>
      <c r="J111" s="54" t="n"/>
      <c r="K111" s="54" t="n"/>
      <c r="L111" s="54" t="n"/>
      <c r="M111" s="54" t="n"/>
      <c r="N111" s="54" t="n"/>
      <c r="O111" s="54" t="n"/>
      <c r="P111" s="54" t="n"/>
      <c r="Q111" s="54" t="n"/>
      <c r="R111">
        <f>IF($A111&lt;&gt;"",$A111,R110)</f>
        <v/>
      </c>
    </row>
    <row r="112">
      <c r="A112" s="63" t="inlineStr">
        <is>
          <t>E10 Deploy</t>
        </is>
      </c>
      <c r="B112" s="64" t="inlineStr">
        <is>
          <t>EAS build profiles + bundle identifiers</t>
        </is>
      </c>
      <c r="C112" s="65" t="inlineStr">
        <is>
          <t>Done</t>
        </is>
      </c>
      <c r="D112" s="66" t="inlineStr">
        <is>
          <t>Mobile</t>
        </is>
      </c>
      <c r="E112" s="67" t="n">
        <v>46238</v>
      </c>
      <c r="F112" s="67" t="n">
        <v>46238</v>
      </c>
      <c r="G112" s="68" t="inlineStr">
        <is>
          <t>iOS id was absent entirely; Android was Expo's com.anonymous default</t>
        </is>
      </c>
      <c r="H112" s="64" t="n"/>
      <c r="I112" s="69" t="n"/>
      <c r="J112" s="64" t="n"/>
      <c r="K112" s="64" t="n"/>
      <c r="L112" s="64" t="n"/>
      <c r="M112" s="64" t="n"/>
      <c r="N112" s="64" t="n"/>
      <c r="O112" s="64" t="n"/>
      <c r="P112" s="64" t="n"/>
      <c r="Q112" s="64" t="n"/>
      <c r="R112">
        <f>IF($A112&lt;&gt;"",$A112,R111)</f>
        <v/>
      </c>
    </row>
    <row r="113">
      <c r="A113" s="70" t="inlineStr">
        <is>
          <t>E10 Deploy</t>
        </is>
      </c>
      <c r="B113" s="71" t="inlineStr">
        <is>
          <t>Staging soak harness (infra/soak-compose.yml)</t>
        </is>
      </c>
      <c r="C113" s="65" t="inlineStr">
        <is>
          <t>Done</t>
        </is>
      </c>
      <c r="D113" s="72" t="inlineStr">
        <is>
          <t>Platform</t>
        </is>
      </c>
      <c r="E113" s="73" t="n">
        <v>46238</v>
      </c>
      <c r="F113" s="73" t="n">
        <v>46238</v>
      </c>
      <c r="G113" s="74" t="inlineStr">
        <is>
          <t>Same image, 3 roles, throwaway PG/Redis, isolated from the dev stack</t>
        </is>
      </c>
      <c r="H113" s="71" t="n"/>
      <c r="I113" s="69" t="n"/>
      <c r="J113" s="71" t="n"/>
      <c r="K113" s="71" t="n"/>
      <c r="L113" s="71" t="n"/>
      <c r="M113" s="71" t="n"/>
      <c r="N113" s="71" t="n"/>
      <c r="O113" s="71" t="n"/>
      <c r="P113" s="71" t="n"/>
      <c r="Q113" s="71" t="n"/>
      <c r="R113">
        <f>IF($A113&lt;&gt;"",$A113,R112)</f>
        <v/>
      </c>
    </row>
    <row r="114">
      <c r="A114" s="63" t="inlineStr">
        <is>
          <t>E10 Deploy</t>
        </is>
      </c>
      <c r="B114" s="64" t="inlineStr">
        <is>
          <t>SOAK PASSED: full stack from empty DB</t>
        </is>
      </c>
      <c r="C114" s="75" t="inlineStr">
        <is>
          <t>Milestone</t>
        </is>
      </c>
      <c r="D114" s="66" t="inlineStr">
        <is>
          <t>Platform</t>
        </is>
      </c>
      <c r="E114" s="67" t="n">
        <v>46238</v>
      </c>
      <c r="F114" s="67" t="n">
        <v>46238</v>
      </c>
      <c r="G114" s="68" t="inlineStr">
        <is>
          <t>Migrations, 5 services, API 200s, beat-&gt;worker chain, model loaded from a filename row</t>
        </is>
      </c>
      <c r="H114" s="64" t="n"/>
      <c r="I114" s="76" t="n"/>
      <c r="J114" s="64" t="n"/>
      <c r="K114" s="64" t="n"/>
      <c r="L114" s="64" t="n"/>
      <c r="M114" s="64" t="n"/>
      <c r="N114" s="64" t="n"/>
      <c r="O114" s="64" t="n"/>
      <c r="P114" s="64" t="n"/>
      <c r="Q114" s="64" t="n"/>
      <c r="R114">
        <f>IF($A114&lt;&gt;"",$A114,R113)</f>
        <v/>
      </c>
    </row>
    <row r="115">
      <c r="A115" s="70" t="inlineStr">
        <is>
          <t>E10 Deploy</t>
        </is>
      </c>
      <c r="B115" s="71" t="inlineStr">
        <is>
          <t>Run eas login + eas init (needs Expo account)</t>
        </is>
      </c>
      <c r="C115" s="77" t="inlineStr">
        <is>
          <t>Done</t>
        </is>
      </c>
      <c r="D115" s="72" t="inlineStr">
        <is>
          <t>Mobile</t>
        </is>
      </c>
      <c r="E115" s="73" t="n">
        <v>46239</v>
      </c>
      <c r="F115" s="73" t="n">
        <v>46239</v>
      </c>
      <c r="G115" s="74" t="inlineStr">
        <is>
          <t>Done - projectId set, push token minted successfully</t>
        </is>
      </c>
      <c r="H115" s="71" t="n"/>
      <c r="I115" s="78" t="n"/>
      <c r="J115" s="71" t="n"/>
      <c r="K115" s="71" t="n"/>
      <c r="L115" s="71" t="n"/>
      <c r="M115" s="71" t="n"/>
      <c r="N115" s="71" t="n"/>
      <c r="O115" s="71" t="n"/>
      <c r="P115" s="71" t="n"/>
      <c r="Q115" s="71" t="n"/>
      <c r="R115">
        <f>IF($A115&lt;&gt;"",$A115,R114)</f>
        <v/>
      </c>
    </row>
    <row r="116">
      <c r="A116" s="81" t="inlineStr">
        <is>
          <t>E10 Deploy</t>
        </is>
      </c>
      <c r="B116" s="82" t="inlineStr">
        <is>
          <t>EAS project linked (@usangr01/sportiq)</t>
        </is>
      </c>
      <c r="C116" s="83" t="inlineStr">
        <is>
          <t>Done</t>
        </is>
      </c>
      <c r="D116" s="84" t="inlineStr">
        <is>
          <t>Mobile</t>
        </is>
      </c>
      <c r="E116" s="85" t="n">
        <v>46238</v>
      </c>
      <c r="F116" s="85" t="n">
        <v>46238</v>
      </c>
      <c r="G116" s="86" t="inlineStr">
        <is>
          <t>projectId written; push tokens now mintable. Run eas from mobile/, not the root</t>
        </is>
      </c>
      <c r="H116" s="82" t="n"/>
      <c r="I116" s="87" t="n"/>
      <c r="J116" s="82" t="n"/>
      <c r="K116" s="82" t="n"/>
      <c r="L116" s="82" t="n"/>
      <c r="M116" s="82" t="n"/>
      <c r="N116" s="82" t="n"/>
      <c r="O116" s="82" t="n"/>
      <c r="P116" s="82" t="n"/>
      <c r="Q116" s="82" t="n"/>
      <c r="R116">
        <f>IF($A116&lt;&gt;"",$A116,R115)</f>
        <v/>
      </c>
    </row>
    <row r="117">
      <c r="A117" s="91" t="inlineStr">
        <is>
          <t>E7 Mobile</t>
        </is>
      </c>
      <c r="B117" s="92" t="inlineStr">
        <is>
          <t>Rename SportIQ -&gt; SportPIQ (identifiers + infra)</t>
        </is>
      </c>
      <c r="C117" s="93" t="inlineStr">
        <is>
          <t>Done</t>
        </is>
      </c>
      <c r="D117" s="94" t="inlineStr">
        <is>
          <t>Mobile</t>
        </is>
      </c>
      <c r="E117" s="95" t="n">
        <v>46238</v>
      </c>
      <c r="F117" s="95" t="n">
        <v>46238</v>
      </c>
      <c r="G117" s="96" t="inlineStr">
        <is>
          <t>Bundle ids, scheme (both sides), infra service names. DB/volume left alone</t>
        </is>
      </c>
      <c r="H117" s="92" t="n"/>
      <c r="I117" s="97" t="n"/>
      <c r="J117" s="92" t="n"/>
      <c r="K117" s="92" t="n"/>
      <c r="L117" s="92" t="n"/>
      <c r="M117" s="92" t="n"/>
      <c r="N117" s="92" t="n"/>
      <c r="O117" s="92" t="n"/>
      <c r="P117" s="92" t="n"/>
      <c r="Q117" s="92" t="n"/>
      <c r="R117">
        <f>IF($A117&lt;&gt;"",$A117,R116)</f>
        <v/>
      </c>
    </row>
    <row r="118">
      <c r="A118" s="98" t="inlineStr">
        <is>
          <t>E7 Mobile</t>
        </is>
      </c>
      <c r="B118" s="99" t="inlineStr">
        <is>
          <t>Trademark clearance research (UK IPO)</t>
        </is>
      </c>
      <c r="C118" s="93" t="inlineStr">
        <is>
          <t>Done</t>
        </is>
      </c>
      <c r="D118" s="100" t="inlineStr">
        <is>
          <t>Product</t>
        </is>
      </c>
      <c r="E118" s="101" t="n">
        <v>46238</v>
      </c>
      <c r="F118" s="101" t="n">
        <v>46238</v>
      </c>
      <c r="G118" s="102" t="inlineStr">
        <is>
          <t>108 marks reviewed; 2 candidate conflicts examined in detail, both weakened</t>
        </is>
      </c>
      <c r="H118" s="99" t="n"/>
      <c r="I118" s="97" t="n"/>
      <c r="J118" s="99" t="n"/>
      <c r="K118" s="99" t="n"/>
      <c r="L118" s="99" t="n"/>
      <c r="M118" s="99" t="n"/>
      <c r="N118" s="99" t="n"/>
      <c r="O118" s="99" t="n"/>
      <c r="P118" s="99" t="n"/>
      <c r="Q118" s="99" t="n"/>
      <c r="R118">
        <f>IF($A118&lt;&gt;"",$A118,R117)</f>
        <v/>
      </c>
    </row>
    <row r="119">
      <c r="A119" s="91" t="inlineStr">
        <is>
          <t>E10 Deploy</t>
        </is>
      </c>
      <c r="B119" s="92" t="inlineStr">
        <is>
          <t>Rename Expo project sportiq -&gt; sportpiq</t>
        </is>
      </c>
      <c r="C119" s="103" t="inlineStr">
        <is>
          <t>Planned</t>
        </is>
      </c>
      <c r="D119" s="94" t="inlineStr">
        <is>
          <t>Mobile</t>
        </is>
      </c>
      <c r="E119" s="95" t="n">
        <v>46239</v>
      </c>
      <c r="F119" s="95" t="n">
        <v>46239</v>
      </c>
      <c r="G119" s="96" t="inlineStr">
        <is>
          <t>Dashboard rename; projectId stays valid so not a re-init</t>
        </is>
      </c>
      <c r="H119" s="92" t="n"/>
      <c r="I119" s="104" t="n"/>
      <c r="J119" s="92" t="n"/>
      <c r="K119" s="92" t="n"/>
      <c r="L119" s="92" t="n"/>
      <c r="M119" s="92" t="n"/>
      <c r="N119" s="92" t="n"/>
      <c r="O119" s="92" t="n"/>
      <c r="P119" s="92" t="n"/>
      <c r="Q119" s="92" t="n"/>
      <c r="R119">
        <f>IF($A119&lt;&gt;"",$A119,R118)</f>
        <v/>
      </c>
    </row>
    <row r="120">
      <c r="A120" s="98" t="inlineStr">
        <is>
          <t>E7 Mobile</t>
        </is>
      </c>
      <c r="B120" s="99" t="inlineStr">
        <is>
          <t>Professional trademark clearance (UK + EU)</t>
        </is>
      </c>
      <c r="C120" s="103" t="inlineStr">
        <is>
          <t>Planned</t>
        </is>
      </c>
      <c r="D120" s="100" t="inlineStr">
        <is>
          <t>Product</t>
        </is>
      </c>
      <c r="E120" s="101" t="n">
        <v>46244</v>
      </c>
      <c r="F120" s="101" t="n">
        <v>46248</v>
      </c>
      <c r="G120" s="102" t="inlineStr">
        <is>
          <t>Before brand spend. Few hundred GBP vs rebranding after launch</t>
        </is>
      </c>
      <c r="H120" s="99" t="n"/>
      <c r="I120" s="99" t="n"/>
      <c r="J120" s="104" t="n"/>
      <c r="K120" s="99" t="n"/>
      <c r="L120" s="99" t="n"/>
      <c r="M120" s="99" t="n"/>
      <c r="N120" s="99" t="n"/>
      <c r="O120" s="99" t="n"/>
      <c r="P120" s="99" t="n"/>
      <c r="Q120" s="99" t="n"/>
      <c r="R120">
        <f>IF($A120&lt;&gt;"",$A120,R119)</f>
        <v/>
      </c>
    </row>
    <row r="121">
      <c r="A121" s="108" t="inlineStr">
        <is>
          <t>E10 Deploy</t>
        </is>
      </c>
      <c r="B121" s="109" t="inlineStr">
        <is>
          <t>Firebase project + FCM V1 key uploaded to EAS</t>
        </is>
      </c>
      <c r="C121" s="110" t="inlineStr">
        <is>
          <t>Done</t>
        </is>
      </c>
      <c r="D121" s="111" t="inlineStr">
        <is>
          <t>Mobile</t>
        </is>
      </c>
      <c r="E121" s="112" t="n">
        <v>46238</v>
      </c>
      <c r="F121" s="112" t="n">
        <v>46238</v>
      </c>
      <c r="G121" s="113" t="inlineStr">
        <is>
          <t>sportpiq-10b64. Expo's side of the Android push chain is complete</t>
        </is>
      </c>
      <c r="H121" s="109" t="n"/>
      <c r="I121" s="114" t="n"/>
      <c r="J121" s="109" t="n"/>
      <c r="K121" s="109" t="n"/>
      <c r="L121" s="109" t="n"/>
      <c r="M121" s="109" t="n"/>
      <c r="N121" s="109" t="n"/>
      <c r="O121" s="109" t="n"/>
      <c r="P121" s="109" t="n"/>
      <c r="Q121" s="109" t="n"/>
      <c r="R121">
        <f>IF($A121&lt;&gt;"",$A121,R120)</f>
        <v/>
      </c>
    </row>
    <row r="122">
      <c r="A122" s="115" t="inlineStr">
        <is>
          <t>E10 Deploy</t>
        </is>
      </c>
      <c r="B122" s="116" t="inlineStr">
        <is>
          <t>Relink EAS project after rename (sportiq -&gt; sportpiq)</t>
        </is>
      </c>
      <c r="C122" s="110" t="inlineStr">
        <is>
          <t>Done</t>
        </is>
      </c>
      <c r="D122" s="117" t="inlineStr">
        <is>
          <t>Mobile</t>
        </is>
      </c>
      <c r="E122" s="118" t="n">
        <v>46238</v>
      </c>
      <c r="F122" s="118" t="n">
        <v>46238</v>
      </c>
      <c r="G122" s="119" t="inlineStr">
        <is>
          <t>eas has no rename cmd; safe only because the old project had no builds</t>
        </is>
      </c>
      <c r="H122" s="116" t="n"/>
      <c r="I122" s="114" t="n"/>
      <c r="J122" s="116" t="n"/>
      <c r="K122" s="116" t="n"/>
      <c r="L122" s="116" t="n"/>
      <c r="M122" s="116" t="n"/>
      <c r="N122" s="116" t="n"/>
      <c r="O122" s="116" t="n"/>
      <c r="P122" s="116" t="n"/>
      <c r="Q122" s="116" t="n"/>
      <c r="R122">
        <f>IF($A122&lt;&gt;"",$A122,R121)</f>
        <v/>
      </c>
    </row>
    <row r="123">
      <c r="A123" s="108" t="inlineStr">
        <is>
          <t>E10 Deploy</t>
        </is>
      </c>
      <c r="B123" s="109" t="inlineStr">
        <is>
          <t>Register Android app in Firebase for google-services.json</t>
        </is>
      </c>
      <c r="C123" s="120" t="inlineStr">
        <is>
          <t>Done</t>
        </is>
      </c>
      <c r="D123" s="111" t="inlineStr">
        <is>
          <t>Mobile</t>
        </is>
      </c>
      <c r="E123" s="112" t="n">
        <v>46239</v>
      </c>
      <c r="F123" s="112" t="n">
        <v>46239</v>
      </c>
      <c r="G123" s="113" t="inlineStr">
        <is>
          <t>google-services.json in place; real token minted proves the chain resolves</t>
        </is>
      </c>
      <c r="H123" s="109" t="n"/>
      <c r="I123" s="121" t="n"/>
      <c r="J123" s="109" t="n"/>
      <c r="K123" s="109" t="n"/>
      <c r="L123" s="109" t="n"/>
      <c r="M123" s="109" t="n"/>
      <c r="N123" s="109" t="n"/>
      <c r="O123" s="109" t="n"/>
      <c r="P123" s="109" t="n"/>
      <c r="Q123" s="109" t="n"/>
      <c r="R123">
        <f>IF($A123&lt;&gt;"",$A123,R122)</f>
        <v/>
      </c>
    </row>
    <row r="124">
      <c r="A124" s="115" t="inlineStr">
        <is>
          <t>E10 Deploy</t>
        </is>
      </c>
      <c r="B124" s="116" t="inlineStr">
        <is>
          <t>Development build + verify push on a real device</t>
        </is>
      </c>
      <c r="C124" s="120" t="inlineStr">
        <is>
          <t>Done</t>
        </is>
      </c>
      <c r="D124" s="117" t="inlineStr">
        <is>
          <t>Mobile</t>
        </is>
      </c>
      <c r="E124" s="118" t="n">
        <v>46239</v>
      </c>
      <c r="F124" s="118" t="n">
        <v>46240</v>
      </c>
      <c r="G124" s="119" t="inlineStr">
        <is>
          <t>Dev build on a real device; push delivered and confirmed by the user</t>
        </is>
      </c>
      <c r="H124" s="116" t="n"/>
      <c r="I124" s="121" t="n"/>
      <c r="J124" s="116" t="n"/>
      <c r="K124" s="116" t="n"/>
      <c r="L124" s="116" t="n"/>
      <c r="M124" s="116" t="n"/>
      <c r="N124" s="116" t="n"/>
      <c r="O124" s="116" t="n"/>
      <c r="P124" s="116" t="n"/>
      <c r="Q124" s="116" t="n"/>
      <c r="R124">
        <f>IF($A124&lt;&gt;"",$A124,R123)</f>
        <v/>
      </c>
    </row>
    <row r="125">
      <c r="A125" s="126" t="inlineStr">
        <is>
          <t>E10 Deploy</t>
        </is>
      </c>
      <c r="B125" s="127" t="inlineStr">
        <is>
          <t>google-services.json wired into the Android build</t>
        </is>
      </c>
      <c r="C125" s="128" t="inlineStr">
        <is>
          <t>Done</t>
        </is>
      </c>
      <c r="D125" s="129" t="inlineStr">
        <is>
          <t>Mobile</t>
        </is>
      </c>
      <c r="E125" s="130" t="n">
        <v>46238</v>
      </c>
      <c r="F125" s="130" t="n">
        <v>46238</v>
      </c>
      <c r="G125" s="131" t="inlineStr">
        <is>
          <t>package_name verified as an exact match before wiring; same project as the FCM key</t>
        </is>
      </c>
      <c r="H125" s="127" t="n"/>
      <c r="I125" s="132" t="n"/>
      <c r="J125" s="127" t="n"/>
      <c r="K125" s="127" t="n"/>
      <c r="L125" s="127" t="n"/>
      <c r="M125" s="127" t="n"/>
      <c r="N125" s="127" t="n"/>
      <c r="O125" s="127" t="n"/>
      <c r="P125" s="127" t="n"/>
      <c r="Q125" s="127" t="n"/>
      <c r="R125">
        <f>IF($A125&lt;&gt;"",$A125,R124)</f>
        <v/>
      </c>
    </row>
    <row r="126">
      <c r="A126" s="133" t="inlineStr">
        <is>
          <t>E10 Deploy</t>
        </is>
      </c>
      <c r="B126" s="134" t="inlineStr">
        <is>
          <t>Restrict Android API key to package + SHA-1 (GCP)</t>
        </is>
      </c>
      <c r="C126" s="135" t="inlineStr">
        <is>
          <t>Planned</t>
        </is>
      </c>
      <c r="D126" s="136" t="inlineStr">
        <is>
          <t>Mobile</t>
        </is>
      </c>
      <c r="E126" s="137" t="n">
        <v>46239</v>
      </c>
      <c r="F126" s="137" t="n">
        <v>46239</v>
      </c>
      <c r="G126" s="138" t="inlineStr">
        <is>
          <t>Repo is public; 2 min in Cloud Console makes the shipped key useless to others</t>
        </is>
      </c>
      <c r="H126" s="134" t="n"/>
      <c r="I126" s="139" t="n"/>
      <c r="J126" s="134" t="n"/>
      <c r="K126" s="134" t="n"/>
      <c r="L126" s="134" t="n"/>
      <c r="M126" s="134" t="n"/>
      <c r="N126" s="134" t="n"/>
      <c r="O126" s="134" t="n"/>
      <c r="P126" s="134" t="n"/>
      <c r="Q126" s="134" t="n"/>
      <c r="R126">
        <f>IF($A126&lt;&gt;"",$A126,R125)</f>
        <v/>
      </c>
    </row>
    <row r="127">
      <c r="A127" s="140" t="inlineStr">
        <is>
          <t>E7 Mobile</t>
        </is>
      </c>
      <c r="B127" s="141" t="inlineStr">
        <is>
          <t>First real-device test session (dev build on Android)</t>
        </is>
      </c>
      <c r="C127" s="142" t="inlineStr">
        <is>
          <t>Milestone</t>
        </is>
      </c>
      <c r="D127" s="143" t="inlineStr">
        <is>
          <t>Mobile</t>
        </is>
      </c>
      <c r="E127" s="144" t="n">
        <v>46239</v>
      </c>
      <c r="F127" s="144" t="n">
        <v>46239</v>
      </c>
      <c r="G127" s="145" t="inlineStr">
        <is>
          <t>App installed and loading real data over the LAN. Found 3 bugs web never showed</t>
        </is>
      </c>
      <c r="H127" s="141" t="n"/>
      <c r="I127" s="146" t="n"/>
      <c r="J127" s="141" t="n"/>
      <c r="K127" s="141" t="n"/>
      <c r="L127" s="141" t="n"/>
      <c r="M127" s="141" t="n"/>
      <c r="N127" s="141" t="n"/>
      <c r="O127" s="141" t="n"/>
      <c r="P127" s="141" t="n"/>
      <c r="Q127" s="141" t="n"/>
      <c r="R127">
        <f>IF($A127&lt;&gt;"",$A127,R126)</f>
        <v/>
      </c>
    </row>
    <row r="128">
      <c r="A128" s="147" t="inlineStr">
        <is>
          <t>E7 Mobile</t>
        </is>
      </c>
      <c r="B128" s="148" t="inlineStr">
        <is>
          <t>Fix: fixture card sizing on device (2 iterations)</t>
        </is>
      </c>
      <c r="C128" s="149" t="inlineStr">
        <is>
          <t>Done</t>
        </is>
      </c>
      <c r="D128" s="150" t="inlineStr">
        <is>
          <t>Mobile</t>
        </is>
      </c>
      <c r="E128" s="151" t="n">
        <v>46239</v>
      </c>
      <c r="F128" s="151" t="n">
        <v>46239</v>
      </c>
      <c r="G128" s="152" t="inlineStr">
        <is>
          <t>h-full -&gt; unbounded, then flex-1 -&gt; zero. Now content-sized with a 52px floor</t>
        </is>
      </c>
      <c r="H128" s="148" t="n"/>
      <c r="I128" s="153" t="n"/>
      <c r="J128" s="148" t="n"/>
      <c r="K128" s="148" t="n"/>
      <c r="L128" s="148" t="n"/>
      <c r="M128" s="148" t="n"/>
      <c r="N128" s="148" t="n"/>
      <c r="O128" s="148" t="n"/>
      <c r="P128" s="148" t="n"/>
      <c r="Q128" s="148" t="n"/>
      <c r="R128">
        <f>IF($A128&lt;&gt;"",$A128,R127)</f>
        <v/>
      </c>
    </row>
    <row r="129">
      <c r="A129" s="140" t="inlineStr">
        <is>
          <t>E7 Mobile</t>
        </is>
      </c>
      <c r="B129" s="141" t="inlineStr">
        <is>
          <t>Fix: theme switch crashed with a navigation error</t>
        </is>
      </c>
      <c r="C129" s="149" t="inlineStr">
        <is>
          <t>Done</t>
        </is>
      </c>
      <c r="D129" s="143" t="inlineStr">
        <is>
          <t>Mobile</t>
        </is>
      </c>
      <c r="E129" s="144" t="n">
        <v>46239</v>
      </c>
      <c r="F129" s="144" t="n">
        <v>46239</v>
      </c>
      <c r="G129" s="145" t="inlineStr">
        <is>
          <t>NativeWind's dev warning printer hit a throwing getter. patch-package. DEV ONLY</t>
        </is>
      </c>
      <c r="H129" s="141" t="n"/>
      <c r="I129" s="153" t="n"/>
      <c r="J129" s="141" t="n"/>
      <c r="K129" s="141" t="n"/>
      <c r="L129" s="141" t="n"/>
      <c r="M129" s="141" t="n"/>
      <c r="N129" s="141" t="n"/>
      <c r="O129" s="141" t="n"/>
      <c r="P129" s="141" t="n"/>
      <c r="Q129" s="141" t="n"/>
      <c r="R129">
        <f>IF($A129&lt;&gt;"",$A129,R128)</f>
        <v/>
      </c>
    </row>
    <row r="130">
      <c r="A130" s="147" t="inlineStr">
        <is>
          <t>E11 Ops Resilience</t>
        </is>
      </c>
      <c r="B130" s="148" t="inlineStr">
        <is>
          <t>Fix: test suite polluted the dev database</t>
        </is>
      </c>
      <c r="C130" s="149" t="inlineStr">
        <is>
          <t>Done</t>
        </is>
      </c>
      <c r="D130" s="150" t="inlineStr">
        <is>
          <t>Backend</t>
        </is>
      </c>
      <c r="E130" s="151" t="n">
        <v>46239</v>
      </c>
      <c r="F130" s="151" t="n">
        <v>46239</v>
      </c>
      <c r="G130" s="152" t="inlineStr">
        <is>
          <t>24 fake sports reached the app's own dropdown. Purged + autouse cleanup fixture</t>
        </is>
      </c>
      <c r="H130" s="148" t="n"/>
      <c r="I130" s="153" t="n"/>
      <c r="J130" s="148" t="n"/>
      <c r="K130" s="148" t="n"/>
      <c r="L130" s="148" t="n"/>
      <c r="M130" s="148" t="n"/>
      <c r="N130" s="148" t="n"/>
      <c r="O130" s="148" t="n"/>
      <c r="P130" s="148" t="n"/>
      <c r="Q130" s="148" t="n"/>
      <c r="R130">
        <f>IF($A130&lt;&gt;"",$A130,R129)</f>
        <v/>
      </c>
    </row>
    <row r="131">
      <c r="A131" s="140" t="inlineStr">
        <is>
          <t>E7 Mobile</t>
        </is>
      </c>
      <c r="B131" s="141" t="inlineStr">
        <is>
          <t>Verify push token minting + delivery on device</t>
        </is>
      </c>
      <c r="C131" s="154" t="inlineStr">
        <is>
          <t>Done</t>
        </is>
      </c>
      <c r="D131" s="143" t="inlineStr">
        <is>
          <t>Mobile</t>
        </is>
      </c>
      <c r="E131" s="144" t="n">
        <v>46239</v>
      </c>
      <c r="F131" s="144" t="n">
        <v>46239</v>
      </c>
      <c r="G131" s="145" t="inlineStr">
        <is>
          <t>CONFIRMED: notification received on the phone; T-60 reminder also verified</t>
        </is>
      </c>
      <c r="H131" s="141" t="n"/>
      <c r="I131" s="155" t="n"/>
      <c r="J131" s="141" t="n"/>
      <c r="K131" s="141" t="n"/>
      <c r="L131" s="141" t="n"/>
      <c r="M131" s="141" t="n"/>
      <c r="N131" s="141" t="n"/>
      <c r="O131" s="141" t="n"/>
      <c r="P131" s="141" t="n"/>
      <c r="Q131" s="141" t="n"/>
      <c r="R131">
        <f>IF($A131&lt;&gt;"",$A131,R130)</f>
        <v/>
      </c>
    </row>
    <row r="132">
      <c r="A132" s="147" t="inlineStr">
        <is>
          <t>E7 Mobile</t>
        </is>
      </c>
      <c r="B132" s="148" t="inlineStr">
        <is>
          <t>Decide whether badge should height-match the team rows</t>
        </is>
      </c>
      <c r="C132" s="154" t="inlineStr">
        <is>
          <t>Planned</t>
        </is>
      </c>
      <c r="D132" s="150" t="inlineStr">
        <is>
          <t>Mobile</t>
        </is>
      </c>
      <c r="E132" s="151" t="n">
        <v>46240</v>
      </c>
      <c r="F132" s="151" t="n">
        <v>46240</v>
      </c>
      <c r="G132" s="152" t="inlineStr">
        <is>
          <t>Traded exact alignment for a badge that cannot collapse or run away</t>
        </is>
      </c>
      <c r="H132" s="148" t="n"/>
      <c r="I132" s="155" t="n"/>
      <c r="J132" s="148" t="n"/>
      <c r="K132" s="148" t="n"/>
      <c r="L132" s="148" t="n"/>
      <c r="M132" s="148" t="n"/>
      <c r="N132" s="148" t="n"/>
      <c r="O132" s="148" t="n"/>
      <c r="P132" s="148" t="n"/>
      <c r="Q132" s="148" t="n"/>
      <c r="R132">
        <f>IF($A132&lt;&gt;"",$A132,R131)</f>
        <v/>
      </c>
    </row>
    <row r="133">
      <c r="A133" s="160" t="inlineStr">
        <is>
          <t>E9 Data Ops</t>
        </is>
      </c>
      <c r="B133" s="161" t="inlineStr">
        <is>
          <t>TheRundown Pro live and verified</t>
        </is>
      </c>
      <c r="C133" s="162" t="inlineStr">
        <is>
          <t>Done</t>
        </is>
      </c>
      <c r="D133" s="163" t="inlineStr">
        <is>
          <t>Data</t>
        </is>
      </c>
      <c r="E133" s="164" t="n">
        <v>46239</v>
      </c>
      <c r="F133" s="164" t="n">
        <v>46239</v>
      </c>
      <c r="G133" s="165" t="inlineStr">
        <is>
          <t>5,000/MONTH (not per day). GET /sports 200, 36 sports, quota fresh</t>
        </is>
      </c>
      <c r="H133" s="161" t="n"/>
      <c r="I133" s="166" t="n"/>
      <c r="J133" s="161" t="n"/>
      <c r="K133" s="161" t="n"/>
      <c r="L133" s="161" t="n"/>
      <c r="M133" s="161" t="n"/>
      <c r="N133" s="161" t="n"/>
      <c r="O133" s="161" t="n"/>
      <c r="P133" s="161" t="n"/>
      <c r="Q133" s="161" t="n"/>
      <c r="R133">
        <f>IF($A133&lt;&gt;"",$A133,R132)</f>
        <v/>
      </c>
    </row>
    <row r="134">
      <c r="A134" s="167" t="inlineStr">
        <is>
          <t>E9 Data Ops</t>
        </is>
      </c>
      <c r="B134" s="168" t="inlineStr">
        <is>
          <t>Measure real odds-cycle quota cost</t>
        </is>
      </c>
      <c r="C134" s="162" t="inlineStr">
        <is>
          <t>Done</t>
        </is>
      </c>
      <c r="D134" s="169" t="inlineStr">
        <is>
          <t>Data</t>
        </is>
      </c>
      <c r="E134" s="170" t="n">
        <v>46239</v>
      </c>
      <c r="F134" s="170" t="n">
        <v>46239</v>
      </c>
      <c r="G134" s="171" t="inlineStr">
        <is>
          <t>A full cycle cost 0 requests: cost scales with fixtures played, not leagues</t>
        </is>
      </c>
      <c r="H134" s="168" t="n"/>
      <c r="I134" s="166" t="n"/>
      <c r="J134" s="168" t="n"/>
      <c r="K134" s="168" t="n"/>
      <c r="L134" s="168" t="n"/>
      <c r="M134" s="168" t="n"/>
      <c r="N134" s="168" t="n"/>
      <c r="O134" s="168" t="n"/>
      <c r="P134" s="168" t="n"/>
      <c r="Q134" s="168" t="n"/>
      <c r="R134">
        <f>IF($A134&lt;&gt;"",$A134,R133)</f>
        <v/>
      </c>
    </row>
    <row r="135">
      <c r="A135" s="179" t="inlineStr">
        <is>
          <t>E9 Data Ops</t>
        </is>
      </c>
      <c r="B135" s="180" t="inlineStr">
        <is>
          <t>ACTION 21 Aug: recheck API-Football EPL odds</t>
        </is>
      </c>
      <c r="C135" s="181" t="inlineStr">
        <is>
          <t>Planned</t>
        </is>
      </c>
      <c r="D135" s="182" t="inlineStr">
        <is>
          <t>Data</t>
        </is>
      </c>
      <c r="E135" s="183" t="n">
        <v>46255</v>
      </c>
      <c r="F135" s="183" t="n">
        <v>46255</v>
      </c>
      <c r="G135" s="184" t="inlineStr">
        <is>
          <t>If it flips to True, TheRundown Pro is redundant and can be dropped</t>
        </is>
      </c>
      <c r="H135" s="180" t="n"/>
      <c r="I135" s="180" t="n"/>
      <c r="J135" s="180" t="n"/>
      <c r="K135" s="185" t="n"/>
      <c r="L135" s="180" t="n"/>
      <c r="M135" s="180" t="n"/>
      <c r="N135" s="180" t="n"/>
      <c r="O135" s="180" t="n"/>
      <c r="P135" s="180" t="n"/>
      <c r="Q135" s="180" t="n"/>
      <c r="R135">
        <f>IF($A135&lt;&gt;"",$A135,R134)</f>
        <v/>
      </c>
    </row>
    <row r="136">
      <c r="A136" s="189" t="inlineStr">
        <is>
          <t>E9 Data Ops</t>
        </is>
      </c>
      <c r="B136" s="190" t="inlineStr">
        <is>
          <t>Trace where the 1,000/month basic quota went</t>
        </is>
      </c>
      <c r="C136" s="191" t="inlineStr">
        <is>
          <t>Done</t>
        </is>
      </c>
      <c r="D136" s="192" t="inlineStr">
        <is>
          <t>Data</t>
        </is>
      </c>
      <c r="E136" s="193" t="n">
        <v>46239</v>
      </c>
      <c r="F136" s="193" t="n">
        <v>46239</v>
      </c>
      <c r="G136" s="194" t="inlineStr">
        <is>
          <t>A 5-min polling loop against out-of-season leagues. Yield: 2 rows, one NBA game</t>
        </is>
      </c>
      <c r="H136" s="190" t="n"/>
      <c r="I136" s="195" t="n"/>
      <c r="J136" s="190" t="n"/>
      <c r="K136" s="190" t="n"/>
      <c r="L136" s="190" t="n"/>
      <c r="M136" s="190" t="n"/>
      <c r="N136" s="190" t="n"/>
      <c r="O136" s="190" t="n"/>
      <c r="P136" s="190" t="n"/>
      <c r="Q136" s="190" t="n"/>
      <c r="R136">
        <f>IF($A136&lt;&gt;"",$A136,R135)</f>
        <v/>
      </c>
    </row>
    <row r="137">
      <c r="A137" s="203" t="inlineStr">
        <is>
          <t>E5 ML Tennis</t>
        </is>
      </c>
      <c r="B137" s="204" t="inlineStr">
        <is>
          <t>TENNIS ODDS LIVE: ATP/WTA via TheRundown</t>
        </is>
      </c>
      <c r="C137" s="205" t="inlineStr">
        <is>
          <t>Milestone</t>
        </is>
      </c>
      <c r="D137" s="206" t="inlineStr">
        <is>
          <t>Data</t>
        </is>
      </c>
      <c r="E137" s="207" t="n">
        <v>46239</v>
      </c>
      <c r="F137" s="207" t="n">
        <v>46239</v>
      </c>
      <c r="G137" s="208" t="inlineStr">
        <is>
          <t>First odds tennis has ever had. 22 of 24 ATP fixtures priced; EV ranking now possible</t>
        </is>
      </c>
      <c r="H137" s="204" t="n"/>
      <c r="I137" s="209" t="n"/>
      <c r="J137" s="204" t="n"/>
      <c r="K137" s="204" t="n"/>
      <c r="L137" s="204" t="n"/>
      <c r="M137" s="204" t="n"/>
      <c r="N137" s="204" t="n"/>
      <c r="O137" s="204" t="n"/>
      <c r="P137" s="204" t="n"/>
      <c r="Q137" s="204" t="n"/>
      <c r="R137">
        <f>IF($A137&lt;&gt;"",$A137,R136)</f>
        <v/>
      </c>
    </row>
    <row r="138">
      <c r="A138" s="210" t="inlineStr">
        <is>
          <t>E5 ML Tennis</t>
        </is>
      </c>
      <c r="B138" s="211" t="inlineStr">
        <is>
          <t>Fix: tennis home/away orientation for odds matching</t>
        </is>
      </c>
      <c r="C138" s="212" t="inlineStr">
        <is>
          <t>Done</t>
        </is>
      </c>
      <c r="D138" s="213" t="inlineStr">
        <is>
          <t>Backend</t>
        </is>
      </c>
      <c r="E138" s="214" t="n">
        <v>46239</v>
      </c>
      <c r="F138" s="214" t="n">
        <v>46239</v>
      </c>
      <c r="G138" s="215" t="inlineStr">
        <is>
          <t>Sides disagreed on 8 of 22 matches; those silently got no price at all</t>
        </is>
      </c>
      <c r="H138" s="211" t="n"/>
      <c r="I138" s="216" t="n"/>
      <c r="J138" s="211" t="n"/>
      <c r="K138" s="211" t="n"/>
      <c r="L138" s="211" t="n"/>
      <c r="M138" s="211" t="n"/>
      <c r="N138" s="211" t="n"/>
      <c r="O138" s="211" t="n"/>
      <c r="P138" s="211" t="n"/>
      <c r="Q138" s="211" t="n"/>
      <c r="R138">
        <f>IF($A138&lt;&gt;"",$A138,R137)</f>
        <v/>
      </c>
    </row>
    <row r="139">
      <c r="A139" s="203" t="inlineStr">
        <is>
          <t>E5 ML Tennis</t>
        </is>
      </c>
      <c r="B139" s="204" t="inlineStr">
        <is>
          <t>Fix: inverted bookmaker was being selected by max()</t>
        </is>
      </c>
      <c r="C139" s="212" t="inlineStr">
        <is>
          <t>Done</t>
        </is>
      </c>
      <c r="D139" s="206" t="inlineStr">
        <is>
          <t>Backend</t>
        </is>
      </c>
      <c r="E139" s="207" t="n">
        <v>46239</v>
      </c>
      <c r="F139" s="207" t="n">
        <v>46239</v>
      </c>
      <c r="G139" s="208" t="inlineStr">
        <is>
          <t>Two passes. Distance test missed near-even matches; structural test does not</t>
        </is>
      </c>
      <c r="H139" s="204" t="n"/>
      <c r="I139" s="216" t="n"/>
      <c r="J139" s="204" t="n"/>
      <c r="K139" s="204" t="n"/>
      <c r="L139" s="204" t="n"/>
      <c r="M139" s="204" t="n"/>
      <c r="N139" s="204" t="n"/>
      <c r="O139" s="204" t="n"/>
      <c r="P139" s="204" t="n"/>
      <c r="Q139" s="204" t="n"/>
      <c r="R139">
        <f>IF($A139&lt;&gt;"",$A139,R138)</f>
        <v/>
      </c>
    </row>
    <row r="140">
      <c r="A140" s="210" t="inlineStr">
        <is>
          <t>E9 Data Ops</t>
        </is>
      </c>
      <c r="B140" s="211" t="inlineStr">
        <is>
          <t>Decide whether to exclude Polymarket at ingest</t>
        </is>
      </c>
      <c r="C140" s="217" t="inlineStr">
        <is>
          <t>Planned</t>
        </is>
      </c>
      <c r="D140" s="213" t="inlineStr">
        <is>
          <t>Data</t>
        </is>
      </c>
      <c r="E140" s="214" t="n">
        <v>46242</v>
      </c>
      <c r="F140" s="214" t="n">
        <v>46242</v>
      </c>
      <c r="G140" s="215" t="inlineStr">
        <is>
          <t>3 of 3 ATP matches inverted - looks systematic. Needs more days before concluding</t>
        </is>
      </c>
      <c r="H140" s="211" t="n"/>
      <c r="I140" s="218" t="n"/>
      <c r="J140" s="211" t="n"/>
      <c r="K140" s="211" t="n"/>
      <c r="L140" s="211" t="n"/>
      <c r="M140" s="211" t="n"/>
      <c r="N140" s="211" t="n"/>
      <c r="O140" s="211" t="n"/>
      <c r="P140" s="211" t="n"/>
      <c r="Q140" s="211" t="n"/>
      <c r="R140">
        <f>IF($A140&lt;&gt;"",$A140,R139)</f>
        <v/>
      </c>
    </row>
    <row r="141">
      <c r="A141" s="203" t="inlineStr">
        <is>
          <t>E9 Data Ops</t>
        </is>
      </c>
      <c r="B141" s="204" t="inlineStr">
        <is>
          <t>Merge duplicate API-Football odds re-test rows (54 and 135)</t>
        </is>
      </c>
      <c r="C141" s="217" t="inlineStr">
        <is>
          <t>Done</t>
        </is>
      </c>
      <c r="D141" s="206" t="inlineStr">
        <is>
          <t>Platform</t>
        </is>
      </c>
      <c r="E141" s="207" t="n">
        <v>46240</v>
      </c>
      <c r="F141" s="207" t="n">
        <v>46240</v>
      </c>
      <c r="G141" s="208" t="inlineStr">
        <is>
          <t>Done - row 54 folded into row 135; 135 is the single 21 Aug re-check</t>
        </is>
      </c>
      <c r="H141" s="204" t="n"/>
      <c r="I141" s="218" t="n"/>
      <c r="J141" s="204" t="n"/>
      <c r="K141" s="204" t="n"/>
      <c r="L141" s="204" t="n"/>
      <c r="M141" s="204" t="n"/>
      <c r="N141" s="204" t="n"/>
      <c r="O141" s="204" t="n"/>
      <c r="P141" s="204" t="n"/>
      <c r="Q141" s="204" t="n"/>
      <c r="R141">
        <f>IF($A141&lt;&gt;"",$A141,R140)</f>
        <v/>
      </c>
    </row>
    <row r="142">
      <c r="A142" s="210" t="inlineStr">
        <is>
          <t>E7 Mobile</t>
        </is>
      </c>
      <c r="B142" s="211" t="inlineStr">
        <is>
          <t>PostHog analytics (mobile only) - DEFERRED</t>
        </is>
      </c>
      <c r="C142" s="217" t="inlineStr">
        <is>
          <t>Planned</t>
        </is>
      </c>
      <c r="D142" s="213" t="inlineStr">
        <is>
          <t>Mobile</t>
        </is>
      </c>
      <c r="E142" s="214" t="n">
        <v>46273</v>
      </c>
      <c r="F142" s="214" t="n">
        <v>46277</v>
      </c>
      <c r="G142" s="215" t="inlineStr">
        <is>
          <t>Deliberately after launch: on a dev build it mostly measures us</t>
        </is>
      </c>
      <c r="H142" s="211" t="n"/>
      <c r="I142" s="211" t="n"/>
      <c r="J142" s="211" t="n"/>
      <c r="K142" s="211" t="n"/>
      <c r="L142" s="211" t="n"/>
      <c r="M142" s="211" t="n"/>
      <c r="N142" s="218" t="n"/>
      <c r="O142" s="211" t="n"/>
      <c r="P142" s="211" t="n"/>
      <c r="Q142" s="211" t="n"/>
      <c r="R142">
        <f>IF($A142&lt;&gt;"",$A142,R141)</f>
        <v/>
      </c>
    </row>
    <row r="143">
      <c r="A143" s="203" t="inlineStr">
        <is>
          <t>E7 Mobile</t>
        </is>
      </c>
      <c r="B143" s="204" t="inlineStr">
        <is>
          <t>Firebase config complete for BOTH platforms</t>
        </is>
      </c>
      <c r="C143" s="212" t="inlineStr">
        <is>
          <t>Done</t>
        </is>
      </c>
      <c r="D143" s="206" t="inlineStr">
        <is>
          <t>Mobile</t>
        </is>
      </c>
      <c r="E143" s="207" t="n">
        <v>46239</v>
      </c>
      <c r="F143" s="207" t="n">
        <v>46239</v>
      </c>
      <c r="G143" s="208" t="inlineStr">
        <is>
          <t>GoogleService-Info.plist added; BUNDLE_ID + project verified against Android</t>
        </is>
      </c>
      <c r="H143" s="204" t="n"/>
      <c r="I143" s="216" t="n"/>
      <c r="J143" s="204" t="n"/>
      <c r="K143" s="204" t="n"/>
      <c r="L143" s="204" t="n"/>
      <c r="M143" s="204" t="n"/>
      <c r="N143" s="204" t="n"/>
      <c r="O143" s="204" t="n"/>
      <c r="P143" s="204" t="n"/>
      <c r="Q143" s="204" t="n"/>
      <c r="R143">
        <f>IF($A143&lt;&gt;"",$A143,R142)</f>
        <v/>
      </c>
    </row>
    <row r="144">
      <c r="A144" s="223" t="inlineStr">
        <is>
          <t>E8 Model Quality</t>
        </is>
      </c>
      <c r="B144" s="224" t="inlineStr">
        <is>
          <t>xG collection COMPLETE across all 9 leagues</t>
        </is>
      </c>
      <c r="C144" s="225" t="inlineStr">
        <is>
          <t>Done</t>
        </is>
      </c>
      <c r="D144" s="226" t="inlineStr">
        <is>
          <t>Data</t>
        </is>
      </c>
      <c r="E144" s="227" t="n">
        <v>46240</v>
      </c>
      <c r="F144" s="227" t="n">
        <v>46240</v>
      </c>
      <c r="G144" s="228" t="inlineStr">
        <is>
          <t>10,698 of 15,746 fixtures (67.9%). Ligue 1 + Serie A resolved at 100%</t>
        </is>
      </c>
      <c r="H144" s="224" t="n"/>
      <c r="I144" s="229" t="n"/>
      <c r="J144" s="224" t="n"/>
      <c r="K144" s="224" t="n"/>
      <c r="L144" s="224" t="n"/>
      <c r="M144" s="224" t="n"/>
      <c r="N144" s="224" t="n"/>
      <c r="O144" s="224" t="n"/>
      <c r="P144" s="224" t="n"/>
      <c r="Q144" s="224" t="n"/>
      <c r="R144">
        <f>IF($A144&lt;&gt;"",$A144,R143)</f>
        <v/>
      </c>
    </row>
    <row r="145">
      <c r="A145" s="230" t="inlineStr">
        <is>
          <t>E8 Model Quality</t>
        </is>
      </c>
      <c r="B145" s="231" t="inlineStr">
        <is>
          <t>RETRAIN 9 leagues: best model to date</t>
        </is>
      </c>
      <c r="C145" s="232" t="inlineStr">
        <is>
          <t>Milestone</t>
        </is>
      </c>
      <c r="D145" s="233" t="inlineStr">
        <is>
          <t>ML</t>
        </is>
      </c>
      <c r="E145" s="234" t="n">
        <v>46240</v>
      </c>
      <c r="F145" s="234" t="n">
        <v>46240</v>
      </c>
      <c r="G145" s="235" t="inlineStr">
        <is>
          <t>acc 0.4916 (was .4837), RPS 0.2123 (was .2151), O/U z=+3.35 (was +2.96)</t>
        </is>
      </c>
      <c r="H145" s="231" t="n"/>
      <c r="I145" s="236" t="n"/>
      <c r="J145" s="231" t="n"/>
      <c r="K145" s="231" t="n"/>
      <c r="L145" s="231" t="n"/>
      <c r="M145" s="231" t="n"/>
      <c r="N145" s="231" t="n"/>
      <c r="O145" s="231" t="n"/>
      <c r="P145" s="231" t="n"/>
      <c r="Q145" s="231" t="n"/>
      <c r="R145">
        <f>IF($A145&lt;&gt;"",$A145,R144)</f>
        <v/>
      </c>
    </row>
    <row r="146">
      <c r="A146" s="223" t="inlineStr">
        <is>
          <t>E5 ML Tennis</t>
        </is>
      </c>
      <c r="B146" s="224" t="inlineStr">
        <is>
          <t>Fix: surface whitespace split Grass into two</t>
        </is>
      </c>
      <c r="C146" s="225" t="inlineStr">
        <is>
          <t>Done</t>
        </is>
      </c>
      <c r="D146" s="226" t="inlineStr">
        <is>
          <t>Backend</t>
        </is>
      </c>
      <c r="E146" s="227" t="n">
        <v>46240</v>
      </c>
      <c r="F146" s="227" t="n">
        <v>46240</v>
      </c>
      <c r="G146" s="228" t="inlineStr">
        <is>
          <t>190 of 2,295 grass matches excluded from live surface features. Silent</t>
        </is>
      </c>
      <c r="H146" s="224" t="n"/>
      <c r="I146" s="229" t="n"/>
      <c r="J146" s="224" t="n"/>
      <c r="K146" s="224" t="n"/>
      <c r="L146" s="224" t="n"/>
      <c r="M146" s="224" t="n"/>
      <c r="N146" s="224" t="n"/>
      <c r="O146" s="224" t="n"/>
      <c r="P146" s="224" t="n"/>
      <c r="Q146" s="224" t="n"/>
      <c r="R146">
        <f>IF($A146&lt;&gt;"",$A146,R145)</f>
        <v/>
      </c>
    </row>
    <row r="147">
      <c r="A147" s="230" t="inlineStr">
        <is>
          <t>E5 ML Tennis</t>
        </is>
      </c>
      <c r="B147" s="231" t="inlineStr">
        <is>
          <t>MEASURE viability of a total-games market</t>
        </is>
      </c>
      <c r="C147" s="225" t="inlineStr">
        <is>
          <t>Done</t>
        </is>
      </c>
      <c r="D147" s="233" t="inlineStr">
        <is>
          <t>ML</t>
        </is>
      </c>
      <c r="E147" s="234" t="n">
        <v>46240</v>
      </c>
      <c r="F147" s="234" t="n">
        <v>46240</v>
      </c>
      <c r="G147" s="235" t="inlineStr">
        <is>
          <t>Answer: NOT predictable from current features (r=+0.05). Ran BEFORE building</t>
        </is>
      </c>
      <c r="H147" s="231" t="n"/>
      <c r="I147" s="229" t="n"/>
      <c r="J147" s="231" t="n"/>
      <c r="K147" s="231" t="n"/>
      <c r="L147" s="231" t="n"/>
      <c r="M147" s="231" t="n"/>
      <c r="N147" s="231" t="n"/>
      <c r="O147" s="231" t="n"/>
      <c r="P147" s="231" t="n"/>
      <c r="Q147" s="231" t="n"/>
      <c r="R147">
        <f>IF($A147&lt;&gt;"",$A147,R146)</f>
        <v/>
      </c>
    </row>
    <row r="148">
      <c r="A148" s="223" t="inlineStr">
        <is>
          <t>E5 ML Tennis</t>
        </is>
      </c>
      <c r="B148" s="224" t="inlineStr">
        <is>
          <t>Viability notebook + dataset for team review</t>
        </is>
      </c>
      <c r="C148" s="225" t="inlineStr">
        <is>
          <t>Done</t>
        </is>
      </c>
      <c r="D148" s="226" t="inlineStr">
        <is>
          <t>ML</t>
        </is>
      </c>
      <c r="E148" s="227" t="n">
        <v>46240</v>
      </c>
      <c r="F148" s="227" t="n">
        <v>46240</v>
      </c>
      <c r="G148" s="228" t="inlineStr">
        <is>
          <t>ml/export/SportIQ_Tennis_Games_Viability.ipynb, executed, 17,273 matches</t>
        </is>
      </c>
      <c r="H148" s="224" t="n"/>
      <c r="I148" s="229" t="n"/>
      <c r="J148" s="224" t="n"/>
      <c r="K148" s="224" t="n"/>
      <c r="L148" s="224" t="n"/>
      <c r="M148" s="224" t="n"/>
      <c r="N148" s="224" t="n"/>
      <c r="O148" s="224" t="n"/>
      <c r="P148" s="224" t="n"/>
      <c r="Q148" s="224" t="n"/>
      <c r="R148">
        <f>IF($A148&lt;&gt;"",$A148,R147)</f>
        <v/>
      </c>
    </row>
    <row r="149">
      <c r="A149" s="230" t="inlineStr">
        <is>
          <t>E5 ML Tennis</t>
        </is>
      </c>
      <c r="B149" s="231" t="inlineStr">
        <is>
          <t>Total games v1: player rolling avg games features</t>
        </is>
      </c>
      <c r="C149" s="237" t="inlineStr">
        <is>
          <t>Done</t>
        </is>
      </c>
      <c r="D149" s="233" t="inlineStr">
        <is>
          <t>ML</t>
        </is>
      </c>
      <c r="E149" s="234" t="n">
        <v>46244</v>
      </c>
      <c r="F149" s="234" t="n">
        <v>46247</v>
      </c>
      <c r="G149" s="235" t="inlineStr">
        <is>
          <t>WON'T BUILD: superseded - GOAT arrived early so the gate ran with serve stats (a stronger feature set than this) and FAILED</t>
        </is>
      </c>
      <c r="H149" s="231" t="n"/>
      <c r="I149" s="231" t="n"/>
      <c r="J149" s="238" t="n"/>
      <c r="K149" s="231" t="n"/>
      <c r="L149" s="231" t="n"/>
      <c r="M149" s="231" t="n"/>
      <c r="N149" s="231" t="n"/>
      <c r="O149" s="231" t="n"/>
      <c r="P149" s="231" t="n"/>
      <c r="Q149" s="231" t="n"/>
      <c r="R149">
        <f>IF($A149&lt;&gt;"",$A149,R148)</f>
        <v/>
      </c>
    </row>
    <row r="150">
      <c r="A150" s="223" t="inlineStr">
        <is>
          <t>E5 ML Tennis</t>
        </is>
      </c>
      <c r="B150" s="224" t="inlineStr">
        <is>
          <t>Total games v1: surface + opponent-adjusted tendency</t>
        </is>
      </c>
      <c r="C150" s="237" t="inlineStr">
        <is>
          <t>Done</t>
        </is>
      </c>
      <c r="D150" s="226" t="inlineStr">
        <is>
          <t>ML</t>
        </is>
      </c>
      <c r="E150" s="227" t="n">
        <v>46247</v>
      </c>
      <c r="F150" s="227" t="n">
        <v>46249</v>
      </c>
      <c r="G150" s="228" t="inlineStr">
        <is>
          <t>WON'T BUILD: superseded by the failed gate</t>
        </is>
      </c>
      <c r="H150" s="224" t="n"/>
      <c r="I150" s="224" t="n"/>
      <c r="J150" s="238" t="n"/>
      <c r="K150" s="224" t="n"/>
      <c r="L150" s="224" t="n"/>
      <c r="M150" s="224" t="n"/>
      <c r="N150" s="224" t="n"/>
      <c r="O150" s="224" t="n"/>
      <c r="P150" s="224" t="n"/>
      <c r="Q150" s="224" t="n"/>
      <c r="R150">
        <f>IF($A150&lt;&gt;"",$A150,R149)</f>
        <v/>
      </c>
    </row>
    <row r="151">
      <c r="A151" s="230" t="inlineStr">
        <is>
          <t>E5 ML Tennis</t>
        </is>
      </c>
      <c r="B151" s="231" t="inlineStr">
        <is>
          <t>Total games v1: count model + validate vs base rate</t>
        </is>
      </c>
      <c r="C151" s="237" t="inlineStr">
        <is>
          <t>Done</t>
        </is>
      </c>
      <c r="D151" s="233" t="inlineStr">
        <is>
          <t>ML</t>
        </is>
      </c>
      <c r="E151" s="234" t="n">
        <v>46249</v>
      </c>
      <c r="F151" s="234" t="n">
        <v>46252</v>
      </c>
      <c r="G151" s="235" t="inlineStr">
        <is>
          <t>GATE RUN AND FAILED - see the decision row below. Market NOT built</t>
        </is>
      </c>
      <c r="H151" s="231" t="n"/>
      <c r="I151" s="231" t="n"/>
      <c r="J151" s="238" t="n"/>
      <c r="K151" s="238" t="n"/>
      <c r="L151" s="231" t="n"/>
      <c r="M151" s="231" t="n"/>
      <c r="N151" s="231" t="n"/>
      <c r="O151" s="231" t="n"/>
      <c r="P151" s="231" t="n"/>
      <c r="Q151" s="231" t="n"/>
      <c r="R151">
        <f>IF($A151&lt;&gt;"",$A151,R150)</f>
        <v/>
      </c>
    </row>
    <row r="152">
      <c r="A152" s="223" t="inlineStr">
        <is>
          <t>E5 ML Tennis</t>
        </is>
      </c>
      <c r="B152" s="224" t="inlineStr">
        <is>
          <t>Total games: wire market + odds (only if the gate passes)</t>
        </is>
      </c>
      <c r="C152" s="237" t="inlineStr">
        <is>
          <t>Done</t>
        </is>
      </c>
      <c r="D152" s="226" t="inlineStr">
        <is>
          <t>Backend</t>
        </is>
      </c>
      <c r="E152" s="227" t="n">
        <v>46252</v>
      </c>
      <c r="F152" s="227" t="n">
        <v>46254</v>
      </c>
      <c r="G152" s="228" t="inlineStr">
        <is>
          <t>WON'T BUILD: gate did not pass, so the market is not wired</t>
        </is>
      </c>
      <c r="H152" s="224" t="n"/>
      <c r="I152" s="224" t="n"/>
      <c r="J152" s="224" t="n"/>
      <c r="K152" s="238" t="n"/>
      <c r="L152" s="224" t="n"/>
      <c r="M152" s="224" t="n"/>
      <c r="N152" s="224" t="n"/>
      <c r="O152" s="224" t="n"/>
      <c r="P152" s="224" t="n"/>
      <c r="Q152" s="224" t="n"/>
      <c r="R152">
        <f>IF($A152&lt;&gt;"",$A152,R151)</f>
        <v/>
      </c>
    </row>
    <row r="153">
      <c r="A153" s="230" t="inlineStr">
        <is>
          <t>E5 ML Tennis</t>
        </is>
      </c>
      <c r="B153" s="231" t="inlineStr">
        <is>
          <t>Serve-stat features - BLOCKED on GOAT tier</t>
        </is>
      </c>
      <c r="C153" s="239" t="inlineStr">
        <is>
          <t>Done</t>
        </is>
      </c>
      <c r="D153" s="233" t="inlineStr">
        <is>
          <t>Data</t>
        </is>
      </c>
      <c r="E153" s="234" t="n">
        <v>46254</v>
      </c>
      <c r="F153" s="234" t="n">
        <v>46254</v>
      </c>
      <c r="G153" s="235" t="inlineStr">
        <is>
          <t>UNBLOCKED - GOAT active. /match_stats collected: 138,219 rows, 64,266 matches, 0% nulls</t>
        </is>
      </c>
      <c r="H153" s="231" t="n"/>
      <c r="I153" s="231" t="n"/>
      <c r="J153" s="231" t="n"/>
      <c r="K153" s="240" t="n"/>
      <c r="L153" s="231" t="n"/>
      <c r="M153" s="231" t="n"/>
      <c r="N153" s="231" t="n"/>
      <c r="O153" s="231" t="n"/>
      <c r="P153" s="231" t="n"/>
      <c r="Q153" s="231" t="n"/>
      <c r="R153">
        <f>IF($A153&lt;&gt;"",$A153,R152)</f>
        <v/>
      </c>
    </row>
    <row r="154">
      <c r="A154" t="inlineStr">
        <is>
          <t>E5 ML Tennis</t>
        </is>
      </c>
      <c r="B154" t="inlineStr">
        <is>
          <t>BallDontLie GOAT tier active (ATP)</t>
        </is>
      </c>
      <c r="C154" t="inlineStr">
        <is>
          <t>Milestone</t>
        </is>
      </c>
      <c r="D154" t="inlineStr">
        <is>
          <t>Data</t>
        </is>
      </c>
      <c r="E154" s="275" t="n">
        <v>46243</v>
      </c>
      <c r="F154" s="275" t="n">
        <v>46243</v>
      </c>
      <c r="G154" t="inlineStr">
        <is>
          <t>Unlocks /match_stats, /odds, /head_to_head, /player_career_stats. Rate limit 60 -&gt; 600 req/min. WTA still 401 - separate subscription</t>
        </is>
      </c>
      <c r="I154" t="inlineStr">
        <is>
          <t>X</t>
        </is>
      </c>
      <c r="R154">
        <f>IF($A154&lt;&gt;"",$A154,R153)</f>
        <v/>
      </c>
    </row>
    <row r="155">
      <c r="A155" t="inlineStr">
        <is>
          <t>E5 ML Tennis</t>
        </is>
      </c>
      <c r="B155" t="inlineStr">
        <is>
          <t>ATP serve-stat collection</t>
        </is>
      </c>
      <c r="C155" t="inlineStr">
        <is>
          <t>Done</t>
        </is>
      </c>
      <c r="D155" t="inlineStr">
        <is>
          <t>Data</t>
        </is>
      </c>
      <c r="E155" s="275" t="n">
        <v>46243</v>
      </c>
      <c r="F155" s="275" t="n">
        <v>46243</v>
      </c>
      <c r="G155" t="inlineStr">
        <is>
          <t>138,219 rows / 64,266 matches / 2007-2026; 17,434 in the 2021-25 window at 0% nulls. Two independent passes agree exactly</t>
        </is>
      </c>
      <c r="I155" t="inlineStr">
        <is>
          <t>X</t>
        </is>
      </c>
      <c r="R155">
        <f>IF($A155&lt;&gt;"",$A155,R154)</f>
        <v/>
      </c>
    </row>
    <row r="156">
      <c r="A156" t="inlineStr">
        <is>
          <t>E5 ML Tennis</t>
        </is>
      </c>
      <c r="B156" t="inlineStr">
        <is>
          <t>DECISION: total games NOT built (gate failed)</t>
        </is>
      </c>
      <c r="C156" t="inlineStr">
        <is>
          <t>Done</t>
        </is>
      </c>
      <c r="D156" t="inlineStr">
        <is>
          <t>ML</t>
        </is>
      </c>
      <c r="E156" s="275" t="n">
        <v>46243</v>
      </c>
      <c r="F156" s="275" t="n">
        <v>46243</v>
      </c>
      <c r="G156"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c r="A157" t="inlineStr">
        <is>
          <t>E5 ML Tennis</t>
        </is>
      </c>
      <c r="B157" t="inlineStr">
        <is>
          <t>Tennis odds: BallDontLie moneyline</t>
        </is>
      </c>
      <c r="C157" t="inlineStr">
        <is>
          <t>Done</t>
        </is>
      </c>
      <c r="D157" t="inlineStr">
        <is>
          <t>Data</t>
        </is>
      </c>
      <c r="E157" s="275" t="n">
        <v>46243</v>
      </c>
      <c r="F157" s="275" t="n">
        <v>46243</v>
      </c>
      <c r="G157" t="inlineStr">
        <is>
          <t>DraftKings + FanDuel. Direct match_id join. Caught a real bug: /odds returns FINISHED matches (70 of 94), whose last in-play price encodes the result</t>
        </is>
      </c>
      <c r="I157" t="inlineStr">
        <is>
          <t>X</t>
        </is>
      </c>
      <c r="R157">
        <f>IF($A157&lt;&gt;"",$A157,R156)</f>
        <v/>
      </c>
    </row>
    <row r="158">
      <c r="A158" t="inlineStr">
        <is>
          <t>E9 Data Ops</t>
        </is>
      </c>
      <c r="B158" t="inlineStr">
        <is>
          <t>Hourly tennis odds refresh (quota-free)</t>
        </is>
      </c>
      <c r="C158" t="inlineStr">
        <is>
          <t>Done</t>
        </is>
      </c>
      <c r="D158" t="inlineStr">
        <is>
          <t>Data</t>
        </is>
      </c>
      <c r="E158" s="275" t="n">
        <v>46243</v>
      </c>
      <c r="F158" s="275" t="n">
        <v>46243</v>
      </c>
      <c r="G158" t="inlineStr">
        <is>
          <t>Separate job on BallDontLie only - GOAT is 600/min so it costs nothing against TheRundown's monthly cap. Fixes prices missing on tennis cards</t>
        </is>
      </c>
      <c r="I158" t="inlineStr">
        <is>
          <t>X</t>
        </is>
      </c>
      <c r="R158">
        <f>IF($A158&lt;&gt;"",$A158,R157)</f>
        <v/>
      </c>
    </row>
    <row r="159">
      <c r="A159" t="inlineStr">
        <is>
          <t>E8 Model Quality</t>
        </is>
      </c>
      <c r="B159" t="inlineStr">
        <is>
          <t>Per-sport base rates for the pick gate</t>
        </is>
      </c>
      <c r="C159" t="inlineStr">
        <is>
          <t>Done</t>
        </is>
      </c>
      <c r="D159" t="inlineStr">
        <is>
          <t>ML</t>
        </is>
      </c>
      <c r="E159" s="275" t="n">
        <v>46243</v>
      </c>
      <c r="F159" s="275" t="n">
        <v>46243</v>
      </c>
      <c r="G159" t="inlineStr">
        <is>
          <t>Tennis h2h measured 0.6217 over 17,434 matches vs football's 0.4582. Wrong table admitted picks saying less than nothing</t>
        </is>
      </c>
      <c r="I159" t="inlineStr">
        <is>
          <t>X</t>
        </is>
      </c>
      <c r="R159">
        <f>IF($A159&lt;&gt;"",$A159,R158)</f>
        <v/>
      </c>
    </row>
    <row r="160">
      <c r="A160" t="inlineStr">
        <is>
          <t>E10 Deploy</t>
        </is>
      </c>
      <c r="B160" t="inlineStr">
        <is>
          <t>T-60 reminder armed on watchlist save</t>
        </is>
      </c>
      <c r="C160" t="inlineStr">
        <is>
          <t>Done</t>
        </is>
      </c>
      <c r="D160" t="inlineStr">
        <is>
          <t>Backend</t>
        </is>
      </c>
      <c r="E160" s="275" t="n">
        <v>46243</v>
      </c>
      <c r="F160" s="275" t="n">
        <v>46243</v>
      </c>
      <c r="G160" t="inlineStr">
        <is>
          <t>Daily 02:00 sweep alone missed anything saved same-day. Shared scheduler keeps the estimated-kickoff and status guards</t>
        </is>
      </c>
      <c r="I160" t="inlineStr">
        <is>
          <t>X</t>
        </is>
      </c>
      <c r="R160">
        <f>IF($A160&lt;&gt;"",$A160,R159)</f>
        <v/>
      </c>
    </row>
    <row r="161">
      <c r="A161" t="inlineStr">
        <is>
          <t>E8 Model Quality</t>
        </is>
      </c>
      <c r="B161" t="inlineStr">
        <is>
          <t>Corners: blend model toward rolling history (0.75)</t>
        </is>
      </c>
      <c r="C161" t="inlineStr">
        <is>
          <t>Done</t>
        </is>
      </c>
      <c r="D161" t="inlineStr">
        <is>
          <t>ML</t>
        </is>
      </c>
      <c r="E161" s="275" t="n">
        <v>46243</v>
      </c>
      <c r="F161" s="275" t="n">
        <v>46243</v>
      </c>
      <c r="G161" t="inlineStr">
        <is>
          <t>Gated picks 52.1% -&gt; 61.7% at 10.5 on 1,277 held-out fixtures. Attack-vs-defence over 20 matches; H2H excluded (measured worst). LIMIT: only ~27% of live fixtures have enough history yet</t>
        </is>
      </c>
      <c r="I161" t="inlineStr">
        <is>
          <t>X</t>
        </is>
      </c>
      <c r="R161">
        <f>IF($A161&lt;&gt;"",$A161,R160)</f>
        <v/>
      </c>
    </row>
    <row r="162">
      <c r="A162" t="inlineStr">
        <is>
          <t>E8 Model Quality</t>
        </is>
      </c>
      <c r="B162" t="inlineStr">
        <is>
          <t>DECISION: H2H penalty rejected</t>
        </is>
      </c>
      <c r="C162" t="inlineStr">
        <is>
          <t>Done</t>
        </is>
      </c>
      <c r="D162" t="inlineStr">
        <is>
          <t>ML</t>
        </is>
      </c>
      <c r="E162" s="275" t="n">
        <v>46243</v>
      </c>
      <c r="F162" s="275" t="n">
        <v>46243</v>
      </c>
      <c r="G162" t="inlineStr">
        <is>
          <t>WON'T BUILD. H2H is worse than the league mean in every market - corners MAE 3.26 vs 2.75, goals 1.52 vs 1.33, 1X2 Brier 0.36 vs 0.2476 (corr -0.048). Every window tested, shorter is worse</t>
        </is>
      </c>
      <c r="I162" t="inlineStr">
        <is>
          <t>X</t>
        </is>
      </c>
      <c r="R162">
        <f>IF($A162&lt;&gt;"",$A162,R161)</f>
        <v/>
      </c>
    </row>
    <row r="163">
      <c r="A163" t="inlineStr">
        <is>
          <t>E8 Model Quality</t>
        </is>
      </c>
      <c r="B163" t="inlineStr">
        <is>
          <t>DECISION: completeness gate rejected</t>
        </is>
      </c>
      <c r="C163" t="inlineStr">
        <is>
          <t>Done</t>
        </is>
      </c>
      <c r="D163" t="inlineStr">
        <is>
          <t>ML</t>
        </is>
      </c>
      <c r="E163" s="275" t="n">
        <v>46243</v>
      </c>
      <c r="F163" s="275" t="n">
        <v>46243</v>
      </c>
      <c r="G163" t="inlineStr">
        <is>
          <t>WON'T BUILD. corr(completeness, correct) = +0.072 on n=84, SE 0.111 - not distinguishable from zero, and buckets non-monotonic. A 0.50 threshold would drop 85% of the feed for no measured gain</t>
        </is>
      </c>
      <c r="I163" t="inlineStr">
        <is>
          <t>X</t>
        </is>
      </c>
      <c r="R163">
        <f>IF($A163&lt;&gt;"",$A163,R162)</f>
        <v/>
      </c>
    </row>
    <row r="164">
      <c r="A164" t="inlineStr">
        <is>
          <t>E11 Ops Resilience</t>
        </is>
      </c>
      <c r="B164" t="inlineStr">
        <is>
          <t>Stale loopback server resolved (reboot)</t>
        </is>
      </c>
      <c r="C164" t="inlineStr">
        <is>
          <t>Done</t>
        </is>
      </c>
      <c r="D164" t="inlineStr">
        <is>
          <t>Ops</t>
        </is>
      </c>
      <c r="E164" s="275" t="n">
        <v>46243</v>
      </c>
      <c r="F164" s="275" t="n">
        <v>46243</v>
      </c>
      <c r="G164" t="inlineStr">
        <is>
          <t>127.0.0.1:8000 and the LAN IP served DIFFERENT data for days - an ownerless socket. Made a working fix look broken. Both now agree</t>
        </is>
      </c>
      <c r="I164" t="inlineStr">
        <is>
          <t>X</t>
        </is>
      </c>
      <c r="R164">
        <f>IF($A164&lt;&gt;"",$A164,R163)</f>
        <v/>
      </c>
    </row>
    <row r="165">
      <c r="A165" t="inlineStr">
        <is>
          <t>E9 Data Ops</t>
        </is>
      </c>
      <c r="B165" t="inlineStr">
        <is>
          <t>Collect lineups: MLS + 4 European leagues</t>
        </is>
      </c>
      <c r="C165" t="inlineStr">
        <is>
          <t>Planned</t>
        </is>
      </c>
      <c r="D165" t="inlineStr">
        <is>
          <t>Data</t>
        </is>
      </c>
      <c r="E165" s="275" t="n">
        <v>46243</v>
      </c>
      <c r="F165" s="275" t="n">
        <v>46243</v>
      </c>
      <c r="G165" t="inlineStr">
        <is>
          <t>MLS has 5,088 game-log rows but ZERO lineups; bundesliga/laliga/ligue1/seriea likewise. ~1 call per fixture, ~9.5k total - needs staging across days</t>
        </is>
      </c>
      <c r="I165" t="inlineStr">
        <is>
          <t>X</t>
        </is>
      </c>
      <c r="R165">
        <f>IF($A165&lt;&gt;"",$A165,R164)</f>
        <v/>
      </c>
    </row>
    <row r="166">
      <c r="A166" t="inlineStr">
        <is>
          <t>E9 Data Ops</t>
        </is>
      </c>
      <c r="B166" t="inlineStr">
        <is>
          <t>Collect corners: 4 European leagues</t>
        </is>
      </c>
      <c r="C166" t="inlineStr">
        <is>
          <t>Planned</t>
        </is>
      </c>
      <c r="D166" t="inlineStr">
        <is>
          <t>Data</t>
        </is>
      </c>
      <c r="E166" s="275" t="n">
        <v>46243</v>
      </c>
      <c r="F166" s="275" t="n">
        <v>46243</v>
      </c>
      <c r="G166" t="inlineStr">
        <is>
          <t>bundesliga/laliga/ligue1/seriea have no corners. ~7k calls. Was deferred as no-gain; the 0.75 blend now makes corners load-bearing</t>
        </is>
      </c>
      <c r="I166" t="inlineStr">
        <is>
          <t>X</t>
        </is>
      </c>
      <c r="R166">
        <f>IF($A166&lt;&gt;"",$A166,R165)</f>
        <v/>
      </c>
    </row>
    <row r="167">
      <c r="A167" t="inlineStr">
        <is>
          <t>E9 Data Ops</t>
        </is>
      </c>
      <c r="B167" t="inlineStr">
        <is>
          <t>NEXT: lineups for bundesliga/laliga/ligue1/seriea</t>
        </is>
      </c>
      <c r="C167" t="inlineStr">
        <is>
          <t>Planned</t>
        </is>
      </c>
      <c r="D167" t="inlineStr">
        <is>
          <t>Data</t>
        </is>
      </c>
      <c r="E167" s="275" t="n">
        <v>46243</v>
      </c>
      <c r="G167" t="inlineStr">
        <is>
          <t>~7,028 calls, needs a full day's quota. Last gap in the 9-league pool. MUST land before the 29 Aug expiry</t>
        </is>
      </c>
      <c r="R167">
        <f>IF($A167&lt;&gt;"",$A167,R166)</f>
        <v/>
      </c>
    </row>
    <row r="168">
      <c r="A168" t="inlineStr">
        <is>
          <t>E8 Model Quality</t>
        </is>
      </c>
      <c r="B168" t="inlineStr">
        <is>
          <t>NEXT: retrain on the complete 9-league pool</t>
        </is>
      </c>
      <c r="C168" t="inlineStr">
        <is>
          <t>Planned</t>
        </is>
      </c>
      <c r="D168" t="inlineStr">
        <is>
          <t>ML</t>
        </is>
      </c>
      <c r="E168" s="275" t="n">
        <v>46243</v>
      </c>
      <c r="G168" t="inlineStr">
        <is>
          <t>First time all 9 have game log + xG + corners + lineups. Report 1X2, O/U trend z, corners MAE straight</t>
        </is>
      </c>
      <c r="R168">
        <f>IF($A168&lt;&gt;"",$A168,R167)</f>
        <v/>
      </c>
    </row>
    <row r="169">
      <c r="A169" t="inlineStr">
        <is>
          <t>E8 Model Quality</t>
        </is>
      </c>
      <c r="B169" t="inlineStr">
        <is>
          <t>NEXT: re-fit the corners blend lambda after retrain</t>
        </is>
      </c>
      <c r="C169" t="inlineStr">
        <is>
          <t>Planned</t>
        </is>
      </c>
      <c r="D169" t="inlineStr">
        <is>
          <t>ML</t>
        </is>
      </c>
      <c r="E169" s="275" t="n">
        <v>46243</v>
      </c>
      <c r="G169" t="inlineStr">
        <is>
          <t>0.75 was fitted against the CURRENT corners model. A better model deserves different weight - easy to forget and would leave a stale constant in production</t>
        </is>
      </c>
      <c r="R169">
        <f>IF($A169&lt;&gt;"",$A169,R168)</f>
        <v/>
      </c>
    </row>
    <row r="170">
      <c r="A170" t="inlineStr">
        <is>
          <t>E8 Model Quality</t>
        </is>
      </c>
      <c r="B170" t="inlineStr">
        <is>
          <t>Closing odds capture + CLV metric</t>
        </is>
      </c>
      <c r="C170" t="inlineStr">
        <is>
          <t>Planned</t>
        </is>
      </c>
      <c r="D170" t="inlineStr">
        <is>
          <t>ML</t>
        </is>
      </c>
      <c r="E170" s="275" t="n">
        <v>46243</v>
      </c>
      <c r="G170" t="inlineStr">
        <is>
          <t>HIGHEST VALUE. 59 of 8,718 rows populated. Without CLV we cannot tell whether picks beat the market or just backed short favourites</t>
        </is>
      </c>
      <c r="R170">
        <f>IF($A170&lt;&gt;"",$A170,R169)</f>
        <v/>
      </c>
    </row>
    <row r="171">
      <c r="A171" t="inlineStr">
        <is>
          <t>E8 Model Quality</t>
        </is>
      </c>
      <c r="B171" t="inlineStr">
        <is>
          <t>Multiple form windows (3 / 5 / 10 / season)</t>
        </is>
      </c>
      <c r="C171" t="inlineStr">
        <is>
          <t>Planned</t>
        </is>
      </c>
      <c r="D171" t="inlineStr">
        <is>
          <t>ML</t>
        </is>
      </c>
      <c r="E171" s="275" t="n">
        <v>46243</v>
      </c>
      <c r="G171" t="inlineStr">
        <is>
          <t>Currently last-5 only. The corners measurement showed longer windows improve monotonically (3&lt;5&lt;10&lt;20). No new data needed</t>
        </is>
      </c>
      <c r="R171">
        <f>IF($A171&lt;&gt;"",$A171,R170)</f>
        <v/>
      </c>
    </row>
    <row r="172">
      <c r="A172" t="inlineStr">
        <is>
          <t>E8 Model Quality</t>
        </is>
      </c>
      <c r="B172" t="inlineStr">
        <is>
          <t>Wire shots / shots-on-target / possession as features</t>
        </is>
      </c>
      <c r="C172" t="inlineStr">
        <is>
          <t>Planned</t>
        </is>
      </c>
      <c r="D172" t="inlineStr">
        <is>
          <t>ML</t>
        </is>
      </c>
      <c r="E172" s="275" t="n">
        <v>46243</v>
      </c>
      <c r="G172" t="inlineStr">
        <is>
          <t>ALREADY FETCHED for the H2H panel, just not model inputs. Shots predict goals better than goals do at small samples</t>
        </is>
      </c>
      <c r="R172">
        <f>IF($A172&lt;&gt;"",$A172,R171)</f>
        <v/>
      </c>
    </row>
    <row r="173">
      <c r="A173" t="inlineStr">
        <is>
          <t>E6 Picks</t>
        </is>
      </c>
      <c r="B173" t="inlineStr">
        <is>
          <t>BTTS market</t>
        </is>
      </c>
      <c r="C173" t="inlineStr">
        <is>
          <t>Planned</t>
        </is>
      </c>
      <c r="D173" t="inlineStr">
        <is>
          <t>Backend</t>
        </is>
      </c>
      <c r="E173" s="275" t="n">
        <v>46243</v>
      </c>
      <c r="G173" t="inlineStr">
        <is>
          <t>Only named market from the top-30 doc we lack. (1-e^-xg_home)(1-e^-xg_away) on the existing Poisson assumption - no new data</t>
        </is>
      </c>
      <c r="R173">
        <f>IF($A173&lt;&gt;"",$A173,R172)</f>
        <v/>
      </c>
    </row>
    <row r="174">
      <c r="A174" t="inlineStr">
        <is>
          <t>E9 Data Ops</t>
        </is>
      </c>
      <c r="B174" t="inlineStr">
        <is>
          <t>Probe coverage.odds for the top-30 doc's Tier-1 ten</t>
        </is>
      </c>
      <c r="C174" t="inlineStr">
        <is>
          <t>Done</t>
        </is>
      </c>
      <c r="D174" t="inlineStr">
        <is>
          <t>Data</t>
        </is>
      </c>
      <c r="E174" s="275" t="n">
        <v>46243</v>
      </c>
      <c r="G174" t="inlineStr">
        <is>
          <t>RESULT: 9 of 10 have odds. Allsvenskan 113, Eliteserien 103, Veikkausliiga 244, Ekstraklasa 106, Denmark Superliga 119, Liga I 283, J1 League 98, Czech 345, Austrian Bundesliga 218. REJECTED: A-League (188) odds=False in all 6 seasons. Cost ~15 calls</t>
        </is>
      </c>
      <c r="R174">
        <f>IF($A174&lt;&gt;"",$A174,R173)</f>
        <v/>
      </c>
    </row>
    <row r="175">
      <c r="A175" t="inlineStr">
        <is>
          <t>E9 Data Ops</t>
        </is>
      </c>
      <c r="B175" t="inlineStr">
        <is>
          <t>Game logs for whichever Tier-1 leagues have odds</t>
        </is>
      </c>
      <c r="C175" t="inlineStr">
        <is>
          <t>Planned</t>
        </is>
      </c>
      <c r="D175" t="inlineStr">
        <is>
          <t>Data</t>
        </is>
      </c>
      <c r="E175" s="275" t="n">
        <v>46243</v>
      </c>
      <c r="G175" t="inlineStr">
        <is>
          <t>~5 calls per league. 1X2 + goals + BTTS need ONLY the game log; corners/lineups are the expensive per-fixture extras</t>
        </is>
      </c>
      <c r="R175">
        <f>IF($A175&lt;&gt;"",$A175,R174)</f>
        <v/>
      </c>
    </row>
    <row r="176">
      <c r="A176" t="inlineStr">
        <is>
          <t>E10 Deploy</t>
        </is>
      </c>
      <c r="B176" t="inlineStr">
        <is>
          <t>Check Expo push RECEIPTS, not just tickets</t>
        </is>
      </c>
      <c r="C176" t="inlineStr">
        <is>
          <t>Planned</t>
        </is>
      </c>
      <c r="D176" t="inlineStr">
        <is>
          <t>Backend</t>
        </is>
      </c>
      <c r="E176" s="275" t="n">
        <v>46243</v>
      </c>
      <c r="G176" t="inlineStr">
        <is>
          <t>_send_push discards the ticket id, so DeviceNotRegistered / bad FCM credential are invisible today. Fix before real users</t>
        </is>
      </c>
      <c r="R176">
        <f>IF($A176&lt;&gt;"",$A176,R175)</f>
        <v/>
      </c>
    </row>
    <row r="177">
      <c r="A177" t="inlineStr">
        <is>
          <t>E11 Ops Resilience</t>
        </is>
      </c>
      <c r="B177" t="inlineStr">
        <is>
          <t>Purge 141 fake push tokens from the dev DB</t>
        </is>
      </c>
      <c r="C177" t="inlineStr">
        <is>
          <t>Planned</t>
        </is>
      </c>
      <c r="D177" t="inlineStr">
        <is>
          <t>Ops</t>
        </is>
      </c>
      <c r="E177" s="275" t="n">
        <v>46243</v>
      </c>
      <c r="G177" t="inlineStr">
        <is>
          <t>140 share ExponentPushToken[abcDEF123] from the test suite. A broad notify run would fire 140 doomed sends</t>
        </is>
      </c>
      <c r="R177">
        <f>IF($A177&lt;&gt;"",$A177,R176)</f>
        <v/>
      </c>
    </row>
    <row r="178">
      <c r="A178" t="inlineStr">
        <is>
          <t>E11 Ops Resilience</t>
        </is>
      </c>
      <c r="B178" t="inlineStr">
        <is>
          <t>Dedicated test database</t>
        </is>
      </c>
      <c r="C178" t="inlineStr">
        <is>
          <t>Planned</t>
        </is>
      </c>
      <c r="D178" t="inlineStr">
        <is>
          <t>Ops</t>
        </is>
      </c>
      <c r="E178" s="275" t="n">
        <v>46243</v>
      </c>
      <c r="G178" t="inlineStr">
        <is>
          <t>Suite writes to dev; fake sports reached the app's own dropdown once already</t>
        </is>
      </c>
      <c r="R178">
        <f>IF($A178&lt;&gt;"",$A178,R177)</f>
        <v/>
      </c>
    </row>
    <row r="179">
      <c r="A179" t="inlineStr">
        <is>
          <t>E11 Ops Resilience</t>
        </is>
      </c>
      <c r="B179" t="inlineStr">
        <is>
          <t>Extend ruff/black to ml/</t>
        </is>
      </c>
      <c r="C179" t="inlineStr">
        <is>
          <t>Planned</t>
        </is>
      </c>
      <c r="D179" t="inlineStr">
        <is>
          <t>Ops</t>
        </is>
      </c>
      <c r="E179" s="275" t="n">
        <v>46243</v>
      </c>
      <c r="G179" t="inlineStr">
        <is>
          <t>CI sets working-directory: backend, so ml/ has never been linted</t>
        </is>
      </c>
      <c r="R179">
        <f>IF($A179&lt;&gt;"",$A179,R178)</f>
        <v/>
      </c>
    </row>
    <row r="180">
      <c r="A180" t="inlineStr">
        <is>
          <t>E9 Data Ops</t>
        </is>
      </c>
      <c r="B180" t="inlineStr">
        <is>
          <t>DECIDE by 25 Aug: renew API-Football Pro?</t>
        </is>
      </c>
      <c r="C180" t="inlineStr">
        <is>
          <t>Milestone</t>
        </is>
      </c>
      <c r="D180" t="inlineStr">
        <is>
          <t>Data</t>
        </is>
      </c>
      <c r="E180" s="275" t="n">
        <v>46243</v>
      </c>
      <c r="G180" t="inlineStr">
        <is>
          <t>Ends 2026-08-29. Gates all bulk history. See the APIs &amp; Quotas sheet</t>
        </is>
      </c>
      <c r="R180">
        <f>IF($A180&lt;&gt;"",$A180,R179)</f>
        <v/>
      </c>
    </row>
    <row r="181">
      <c r="A181" t="inlineStr">
        <is>
          <t>E9 Data Ops</t>
        </is>
      </c>
      <c r="B181" t="inlineStr">
        <is>
          <t>Game logs for the 9 odds-covered Tier-1 leagues</t>
        </is>
      </c>
      <c r="C181" t="inlineStr">
        <is>
          <t>Planned</t>
        </is>
      </c>
      <c r="D181" t="inlineStr">
        <is>
          <t>Data</t>
        </is>
      </c>
      <c r="E181" s="275" t="n">
        <v>46244</v>
      </c>
      <c r="G181" t="inlineStr">
        <is>
          <t>~54 calls (6 seasons x 9). Unblocks a pooled retrain to test whether these leagues help or dilute. Needs LEAGUE_CONFIGS entries + a TheRundown sport_id check per league</t>
        </is>
      </c>
      <c r="R181">
        <f>IF($A181&lt;&gt;"",$A181,R180)</f>
        <v/>
      </c>
    </row>
    <row r="182"/>
    <row r="183">
      <c r="A183" s="25" t="inlineStr">
        <is>
          <t>Legend</t>
        </is>
      </c>
      <c r="B183" s="5" t="inlineStr">
        <is>
          <t>Done</t>
        </is>
      </c>
      <c r="C183" s="17" t="inlineStr">
        <is>
          <t>In progress</t>
        </is>
      </c>
      <c r="D183" s="19" t="inlineStr">
        <is>
          <t>Planned</t>
        </is>
      </c>
      <c r="E183" s="23" t="inlineStr">
        <is>
          <t>Blocked</t>
        </is>
      </c>
      <c r="F183" s="21"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50" min="1" max="1"/>
    <col width="11.47265625" customWidth="1" style="250" min="2" max="19"/>
    <col width="2" customWidth="1" style="250" min="20" max="20"/>
  </cols>
  <sheetData>
    <row r="1" ht="30" customHeight="1" s="250">
      <c r="A1" s="249" t="inlineStr">
        <is>
          <t>SportIQ — End-to-End Architecture</t>
        </is>
      </c>
    </row>
    <row r="2" ht="18" customHeight="1" s="250">
      <c r="A2" s="259" t="inlineStr">
        <is>
          <t>Data flows top to bottom.  Green = live and working   Amber = works with a real gap   Red = stubbed or blocked.  Offline training track shown separately at the foot.</t>
        </is>
      </c>
    </row>
    <row r="4" ht="20.05" customHeight="1" s="250">
      <c r="A4" s="255" t="inlineStr">
        <is>
          <t>1 · EXTERNAL DATA PROVIDERS</t>
        </is>
      </c>
    </row>
    <row r="5" ht="52" customHeight="1" s="250">
      <c r="A5" s="37" t="inlineStr">
        <is>
          <t>Vendors</t>
        </is>
      </c>
      <c r="B5" s="256" t="inlineStr">
        <is>
          <t>API-Football (Pro)
fixtures · team stats · injuries
H2H · lineups · corners</t>
        </is>
      </c>
      <c r="C5" s="252" t="n"/>
      <c r="D5" s="253" t="n"/>
      <c r="E5" s="257" t="inlineStr">
        <is>
          <t>TheRundown
odds: NBA + 5 EU + MLS
QUOTA EXHAUSTED</t>
        </is>
      </c>
      <c r="F5" s="252" t="n"/>
      <c r="G5" s="253" t="n"/>
      <c r="H5" s="257" t="inlineStr">
        <is>
          <t>BallDontLie
NBA stats · ATP tennis
WTA 401 — unsubscribed</t>
        </is>
      </c>
      <c r="I5" s="252" t="n"/>
      <c r="J5" s="253" t="n"/>
      <c r="K5" s="256" t="inlineStr">
        <is>
          <t>TheStatsAPI
xG · shotmaps · shots
collection in progress</t>
        </is>
      </c>
      <c r="L5" s="252" t="n"/>
      <c r="M5" s="253" t="n"/>
      <c r="N5" s="271" t="inlineStr">
        <is>
          <t>RotoWire
NBA injuries
NO KEY PROVISIONED</t>
        </is>
      </c>
      <c r="O5" s="252" t="n"/>
      <c r="P5" s="253" t="n"/>
      <c r="Q5" s="271" t="inlineStr">
        <is>
          <t>SportsDataIO / Highlightly
Phase 2 US sports · video
NOT INTEGRATED</t>
        </is>
      </c>
      <c r="R5" s="252" t="n"/>
      <c r="S5" s="253" t="n"/>
    </row>
    <row r="6" ht="15" customHeight="1" s="250">
      <c r="B6" s="260" t="inlineStr">
        <is>
          <t>▼</t>
        </is>
      </c>
    </row>
    <row r="7" ht="20.05" customHeight="1" s="250">
      <c r="A7" s="255" t="inlineStr">
        <is>
          <t>2 · ADAPTER LAYER  —  every provider call goes through here, never direct from a worker</t>
        </is>
      </c>
    </row>
    <row r="8" ht="46" customHeight="1" s="250">
      <c r="A8" s="37" t="inlineStr">
        <is>
          <t>Abstraction</t>
        </is>
      </c>
      <c r="B8" s="269" t="inlineStr">
        <is>
          <t>DataSourceAdapter (ABC)
fetch_fixtures · fetch_odds
fetch_team_stats · fetch_injuries</t>
        </is>
      </c>
      <c r="C8" s="252" t="n"/>
      <c r="D8" s="252" t="n"/>
      <c r="E8" s="252" t="n"/>
      <c r="F8" s="252" t="n"/>
      <c r="G8" s="252" t="n"/>
      <c r="H8" s="252" t="n"/>
      <c r="I8" s="252" t="n"/>
      <c r="J8" s="253" t="n"/>
      <c r="K8" s="269" t="inlineStr">
        <is>
          <t>AdapterFactory
routes by sport slug
per-adapter error isolation</t>
        </is>
      </c>
      <c r="L8" s="252" t="n"/>
      <c r="M8" s="252" t="n"/>
      <c r="N8" s="252" t="n"/>
      <c r="O8" s="252" t="n"/>
      <c r="P8" s="252" t="n"/>
      <c r="Q8" s="252" t="n"/>
      <c r="R8" s="252" t="n"/>
      <c r="S8" s="253" t="n"/>
    </row>
    <row r="9" ht="15" customHeight="1" s="250">
      <c r="B9" s="260" t="inlineStr">
        <is>
          <t>▼</t>
        </is>
      </c>
    </row>
    <row r="10" ht="20.05" customHeight="1" s="250">
      <c r="A10" s="255" t="inlineStr">
        <is>
          <t>3 · INGESTION &amp; INFERENCE WORKERS  (Celery + beat, Redis broker)</t>
        </is>
      </c>
    </row>
    <row r="11" ht="54" customHeight="1" s="250">
      <c r="A11" s="37" t="inlineStr">
        <is>
          <t>Scheduled jobs</t>
        </is>
      </c>
      <c r="B11" s="256" t="inlineStr">
        <is>
          <t>ingest_fixtures
daily 02:00 UTC
±7 days · features · Elo</t>
        </is>
      </c>
      <c r="C11" s="252" t="n"/>
      <c r="D11" s="253" t="n"/>
      <c r="E11" s="256" t="inlineStr">
        <is>
          <t>ingest_odds
every 6h · 3-day window
only dates with fixtures</t>
        </is>
      </c>
      <c r="F11" s="252" t="n"/>
      <c r="G11" s="253" t="n"/>
      <c r="H11" s="256" t="inlineStr">
        <is>
          <t>ingest_live_scores
every 5 min
scores · status · settlement</t>
        </is>
      </c>
      <c r="I11" s="252" t="n"/>
      <c r="J11" s="253" t="n"/>
      <c r="K11" s="257" t="inlineStr">
        <is>
          <t>ingest_injuries
every 30 min
per-sport isolation (fixed)</t>
        </is>
      </c>
      <c r="L11" s="252" t="n"/>
      <c r="M11" s="253" t="n"/>
      <c r="N11" s="256" t="inlineStr">
        <is>
          <t>run_predictions
on new fixture
+ injury re-inference</t>
        </is>
      </c>
      <c r="O11" s="252" t="n"/>
      <c r="P11" s="253" t="n"/>
      <c r="Q11" s="256" t="inlineStr">
        <is>
          <t>backfill_predictions
retrodiction
leakage-safe game log</t>
        </is>
      </c>
      <c r="R11" s="252" t="n"/>
      <c r="S11" s="253" t="n"/>
    </row>
    <row r="12" ht="15" customHeight="1" s="250">
      <c r="B12" s="260" t="inlineStr">
        <is>
          <t>▼</t>
        </is>
      </c>
    </row>
    <row r="13" ht="20.05" customHeight="1" s="250">
      <c r="A13" s="255" t="inlineStr">
        <is>
          <t>4 · STORAGE</t>
        </is>
      </c>
    </row>
    <row r="14" ht="52" customHeight="1" s="250">
      <c r="A14" s="37" t="inlineStr">
        <is>
          <t>Persistence</t>
        </is>
      </c>
      <c r="B14" s="261" t="inlineStr">
        <is>
          <t>PostgreSQL 16
fixtures · teams · odds · predictions
outcomes · users · team_features</t>
        </is>
      </c>
      <c r="C14" s="252" t="n"/>
      <c r="D14" s="252" t="n"/>
      <c r="E14" s="252" t="n"/>
      <c r="F14" s="252" t="n"/>
      <c r="G14" s="253" t="n"/>
      <c r="H14" s="261" t="inlineStr">
        <is>
          <t>Redis 7
pick cache · guest sessions (24h)
Celery broker</t>
        </is>
      </c>
      <c r="I14" s="252" t="n"/>
      <c r="J14" s="252" t="n"/>
      <c r="K14" s="252" t="n"/>
      <c r="L14" s="252" t="n"/>
      <c r="M14" s="253" t="n"/>
      <c r="N14" s="261" t="inlineStr">
        <is>
          <t>models_registry
active model per sport
promotion = DB update</t>
        </is>
      </c>
      <c r="O14" s="252" t="n"/>
      <c r="P14" s="253" t="n"/>
      <c r="Q14" s="257" t="inlineStr">
        <is>
          <t>ml/artifacts
joblib model files
(absolute path — deploy risk)</t>
        </is>
      </c>
      <c r="R14" s="252" t="n"/>
      <c r="S14" s="253" t="n"/>
    </row>
    <row r="15" ht="15" customHeight="1" s="250">
      <c r="B15" s="260" t="inlineStr">
        <is>
          <t>▲  features read   ▼  predictions written</t>
        </is>
      </c>
    </row>
    <row r="16" ht="20.05" customHeight="1" s="250">
      <c r="A16" s="255" t="inlineStr">
        <is>
          <t>5 · ML / INFERENCE</t>
        </is>
      </c>
    </row>
    <row r="17" ht="54" customHeight="1" s="250">
      <c r="A17" s="37" t="inlineStr">
        <is>
          <t>Serving</t>
        </is>
      </c>
      <c r="B17" s="254" t="inlineStr">
        <is>
          <t>Feature assembly
football (25) · nba (16) · tennis (14)
train/serve parity enforced</t>
        </is>
      </c>
      <c r="C17" s="252" t="n"/>
      <c r="D17" s="252" t="n"/>
      <c r="E17" s="252" t="n"/>
      <c r="F17" s="252" t="n"/>
      <c r="G17" s="253" t="n"/>
      <c r="H17" s="254" t="inlineStr">
        <is>
          <t>FootballModel
Poisson xG ×2 → XGB 1X2
+ corners regressors</t>
        </is>
      </c>
      <c r="I17" s="252" t="n"/>
      <c r="J17" s="253" t="n"/>
      <c r="K17" s="254" t="inlineStr">
        <is>
          <t>NBAModel / TennisModel
XGB binary + isotonic
2-outcome, no draw</t>
        </is>
      </c>
      <c r="L17" s="252" t="n"/>
      <c r="M17" s="253" t="n"/>
      <c r="N17" s="254" t="inlineStr">
        <is>
          <t>markets.py
double chance · O/U goals
O/U corners (Poisson)</t>
        </is>
      </c>
      <c r="O17" s="252" t="n"/>
      <c r="P17" s="253" t="n"/>
      <c r="Q17" s="254" t="inlineStr">
        <is>
          <t>Calibration
isotonic per class
+ xG rate calibrators</t>
        </is>
      </c>
      <c r="R17" s="252" t="n"/>
      <c r="S17" s="253" t="n"/>
    </row>
    <row r="18" ht="15" customHeight="1" s="250">
      <c r="B18" s="260" t="inlineStr">
        <is>
          <t>▼</t>
        </is>
      </c>
    </row>
    <row r="19" ht="20.05" customHeight="1" s="250">
      <c r="A19" s="255" t="inlineStr">
        <is>
          <t>6 · API  —  FastAPI + Uvicorn</t>
        </is>
      </c>
    </row>
    <row r="20" ht="46" customHeight="1" s="250">
      <c r="A20" s="37" t="inlineStr">
        <is>
          <t>REST</t>
        </is>
      </c>
      <c r="B20" s="251" t="inlineStr">
        <is>
          <t>/fixtures · /picks
best pick across 4 markets
min_probability · min_odds</t>
        </is>
      </c>
      <c r="C20" s="252" t="n"/>
      <c r="D20" s="252" t="n"/>
      <c r="E20" s="252" t="n"/>
      <c r="F20" s="252" t="n"/>
      <c r="G20" s="253" t="n"/>
      <c r="H20" s="251" t="inlineStr">
        <is>
          <t>/history · /stats/model
settled performance
vs training metrics</t>
        </is>
      </c>
      <c r="I20" s="252" t="n"/>
      <c r="J20" s="252" t="n"/>
      <c r="K20" s="252" t="n"/>
      <c r="L20" s="252" t="n"/>
      <c r="M20" s="253" t="n"/>
      <c r="N20" s="251" t="inlineStr">
        <is>
          <t>/auth · /guest · /user
Argon2id · JWT + refresh
guest → account migration</t>
        </is>
      </c>
      <c r="O20" s="252" t="n"/>
      <c r="P20" s="252" t="n"/>
      <c r="Q20" s="252" t="n"/>
      <c r="R20" s="252" t="n"/>
      <c r="S20" s="253" t="n"/>
    </row>
    <row r="21" ht="15" customHeight="1" s="250">
      <c r="B21" s="260" t="inlineStr">
        <is>
          <t>▼</t>
        </is>
      </c>
    </row>
    <row r="22" ht="20.05" customHeight="1" s="250">
      <c r="A22" s="255" t="inlineStr">
        <is>
          <t>7 · MOBILE CLIENT  —  Expo / React Native (the only client)</t>
        </is>
      </c>
    </row>
    <row r="23" ht="52" customHeight="1" s="250">
      <c r="A23" s="37" t="inlineStr">
        <is>
          <t>App</t>
        </is>
      </c>
      <c r="B23" s="251" t="inlineStr">
        <is>
          <t>Picks tab
day navigator · sport / status
filters · league grouping</t>
        </is>
      </c>
      <c r="C23" s="252" t="n"/>
      <c r="D23" s="252" t="n"/>
      <c r="E23" s="252" t="n"/>
      <c r="F23" s="252" t="n"/>
      <c r="G23" s="253" t="n"/>
      <c r="H23" s="251" t="inlineStr">
        <is>
          <t>Live tab
in-play fixtures</t>
        </is>
      </c>
      <c r="I23" s="252" t="n"/>
      <c r="J23" s="253" t="n"/>
      <c r="K23" s="251" t="inlineStr">
        <is>
          <t>Profile
prefs · theme · push · biometrics</t>
        </is>
      </c>
      <c r="L23" s="252" t="n"/>
      <c r="M23" s="253" t="n"/>
      <c r="N23" s="251" t="inlineStr">
        <is>
          <t>Fixture detail
probability bar · H2H panel
other markets</t>
        </is>
      </c>
      <c r="O23" s="252" t="n"/>
      <c r="P23" s="253" t="n"/>
      <c r="Q23" s="271" t="inlineStr">
        <is>
          <t>Push notifications
code real — NO EAS PROJECT
cannot mint tokens</t>
        </is>
      </c>
      <c r="R23" s="252" t="n"/>
      <c r="S23" s="253" t="n"/>
    </row>
    <row r="26" ht="20.05" customHeight="1" s="250">
      <c r="A26" s="258" t="inlineStr">
        <is>
          <t>OFFLINE TRAINING TRACK  —  run locally, never from a production worker</t>
        </is>
      </c>
    </row>
    <row r="27" ht="52" customHeight="1" s="250">
      <c r="A27" s="37" t="inlineStr">
        <is>
          <t>Pipeline</t>
        </is>
      </c>
      <c r="B27" s="256" t="inlineStr">
        <is>
          <t>collect_*_data.py
API-Football · BallDontLie
nba_api (local only)</t>
        </is>
      </c>
      <c r="C27" s="252" t="n"/>
      <c r="D27" s="253" t="n"/>
      <c r="E27" s="256" t="inlineStr">
        <is>
          <t>collect_thestatsapi_xg.py
xG + cross-provider join
date+score, name tiebreak</t>
        </is>
      </c>
      <c r="F27" s="252" t="n"/>
      <c r="G27" s="253" t="n"/>
      <c r="H27" s="261" t="inlineStr">
        <is>
          <t>ml/data/*.parquet
game logs · lineups
corners · xG</t>
        </is>
      </c>
      <c r="I27" s="252" t="n"/>
      <c r="J27" s="253" t="n"/>
      <c r="K27" s="254" t="inlineStr">
        <is>
          <t>train_*.py
Optuna → calibration
→ joblib artefact</t>
        </is>
      </c>
      <c r="L27" s="252" t="n"/>
      <c r="M27" s="253" t="n"/>
      <c r="N27" s="254" t="inlineStr">
        <is>
          <t>MLflow
runs · metrics
local store</t>
        </is>
      </c>
      <c r="O27" s="252" t="n"/>
      <c r="P27" s="253" t="n"/>
      <c r="Q27" s="261" t="inlineStr">
        <is>
          <t>models_registry row
is_active flip promotes
no redeploy needed</t>
        </is>
      </c>
      <c r="R27" s="252" t="n"/>
      <c r="S27" s="253" t="n"/>
    </row>
    <row r="30" ht="20.05" customHeight="1" s="250">
      <c r="A30" s="255" t="inlineStr">
        <is>
          <t>ARCHITECTURAL NOTES</t>
        </is>
      </c>
    </row>
    <row r="31" ht="16" customHeight="1" s="250">
      <c r="A31" s="262" t="inlineStr">
        <is>
          <t>•  Sport-agnostic by design — every core table is keyed by sport_id; adding a sport is a config/data insert, not a schema change.</t>
        </is>
      </c>
    </row>
    <row r="32" ht="16" customHeight="1" s="250">
      <c r="A32" s="262" t="inlineStr">
        <is>
          <t>•  Model promotion is a DB update (models_registry.is_active), never a redeploy — TDD §3.1.</t>
        </is>
      </c>
    </row>
    <row r="33" ht="16" customHeight="1" s="250">
      <c r="A33" s="262" t="inlineStr">
        <is>
          <t>•  Train/serve parity is enforced in one module per sport: assemble_from_game_log and assemble_from_live_db must stay in lock-step.</t>
        </is>
      </c>
    </row>
    <row r="34" ht="16" customHeight="1" s="250">
      <c r="A34" s="262" t="inlineStr">
        <is>
          <t>•  Historical (box-score) key-player logic is kept OUT of app/models_ml/ so it can never be imported into the live path — target-leakage guard.</t>
        </is>
      </c>
    </row>
    <row r="35" ht="16" customHeight="1" s="250">
      <c r="A35" s="262" t="inlineStr">
        <is>
          <t>•  Per-item error isolation is now the default in every provider loop: one league or sport failing must not abort the rest.</t>
        </is>
      </c>
    </row>
    <row r="36" ht="16" customHeight="1" s="250">
      <c r="A36" s="262" t="inlineStr">
        <is>
          <t>•  nba_api is offline-only — stats.nba.com blocks all cloud IPs, so it must never run from a production worker.</t>
        </is>
      </c>
    </row>
    <row r="37" ht="16" customHeight="1" s="250">
      <c r="A37" s="264" t="inlineStr">
        <is>
          <t>⚠  DEPLOYMENT GAP: nothing is deployed. No infra/, artefact paths are absolute Windows paths, no monitoring, no EAS build.</t>
        </is>
      </c>
    </row>
    <row r="39" ht="18" customHeight="1" s="250">
      <c r="A39" s="38" t="inlineStr">
        <is>
          <t>Legend</t>
        </is>
      </c>
      <c r="B39" s="267" t="inlineStr">
        <is>
          <t>Live &amp; working</t>
        </is>
      </c>
      <c r="E39" s="265" t="inlineStr">
        <is>
          <t>Real gap</t>
        </is>
      </c>
      <c r="H39" s="270" t="inlineStr">
        <is>
          <t>Stubbed / blocked</t>
        </is>
      </c>
      <c r="K39" s="263" t="inlineStr">
        <is>
          <t>Datastore</t>
        </is>
      </c>
      <c r="N39" s="268" t="inlineStr">
        <is>
          <t>ML</t>
        </is>
      </c>
      <c r="Q39" s="266"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39:J39"/>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H20:M20"/>
    <mergeCell ref="A16:S16"/>
    <mergeCell ref="N20:S20"/>
    <mergeCell ref="A7:S7"/>
    <mergeCell ref="N11:P11"/>
    <mergeCell ref="A37:S37"/>
    <mergeCell ref="E5:G5"/>
    <mergeCell ref="K5:M5"/>
    <mergeCell ref="E39:G39"/>
    <mergeCell ref="B27:D27"/>
    <mergeCell ref="Q39:S39"/>
    <mergeCell ref="B39:D39"/>
    <mergeCell ref="A26:S26"/>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50" min="1" max="1"/>
    <col width="9" customWidth="1" style="250" min="2" max="3"/>
    <col width="20" customWidth="1" style="250" min="4" max="4"/>
    <col width="10" customWidth="1" style="250" min="5" max="5"/>
    <col width="13" customWidth="1" style="250" min="6" max="6"/>
  </cols>
  <sheetData>
    <row r="1" ht="26.05" customHeight="1" s="250">
      <c r="A1" s="276" t="inlineStr">
        <is>
          <t>Epic Summary</t>
        </is>
      </c>
      <c r="B1" s="246" t="n"/>
      <c r="C1" s="246" t="n"/>
      <c r="D1" s="246" t="n"/>
      <c r="E1" s="246" t="n"/>
      <c r="F1" s="247" t="n"/>
    </row>
    <row r="3">
      <c r="A3" s="1" t="inlineStr">
        <is>
          <t>Epic</t>
        </is>
      </c>
      <c r="B3" s="1" t="inlineStr">
        <is>
          <t>Total</t>
        </is>
      </c>
      <c r="C3" s="1" t="inlineStr">
        <is>
          <t>Done</t>
        </is>
      </c>
      <c r="D3" s="1" t="inlineStr">
        <is>
          <t>In progress / Planned</t>
        </is>
      </c>
      <c r="E3" s="1" t="inlineStr">
        <is>
          <t>Blocked</t>
        </is>
      </c>
      <c r="F3" s="1" t="inlineStr">
        <is>
          <t>% Complete</t>
        </is>
      </c>
    </row>
    <row r="4">
      <c r="A4" s="25" t="inlineStr">
        <is>
          <t>E1 Foundation</t>
        </is>
      </c>
      <c r="B4" s="26">
        <f>C4+D4+E4</f>
        <v/>
      </c>
      <c r="C4" s="26">
        <f>COUNTIFS('Delivery Board'!$R$5:$R$500,$A4,'Delivery Board'!$C$5:$C$500,"Done")</f>
        <v/>
      </c>
      <c r="D4" s="26">
        <f>COUNTIFS('Delivery Board'!$R$5:$R$500,$A4,'Delivery Board'!$C$5:$C$500,"Planned")+COUNTIFS('Delivery Board'!$R$5:$R$500,$A4,'Delivery Board'!$C$5:$C$500,"In progress")+COUNTIFS('Delivery Board'!$R$5:$R$500,$A4,'Delivery Board'!$C$5:$C$500,"Milestone")</f>
        <v/>
      </c>
      <c r="E4" s="26">
        <f>COUNTIFS('Delivery Board'!$R$5:$R$500,$A4,'Delivery Board'!$C$5:$C$500,"Blocked")</f>
        <v/>
      </c>
      <c r="F4" s="27">
        <f>IF(B4=0,0,C4/B4)</f>
        <v/>
      </c>
    </row>
    <row r="5">
      <c r="A5" s="25" t="inlineStr">
        <is>
          <t>E2 Ingestion</t>
        </is>
      </c>
      <c r="B5" s="26">
        <f>C5+D5+E5</f>
        <v/>
      </c>
      <c r="C5" s="26">
        <f>COUNTIFS('Delivery Board'!$R$5:$R$500,$A5,'Delivery Board'!$C$5:$C$500,"Done")</f>
        <v/>
      </c>
      <c r="D5" s="26">
        <f>COUNTIFS('Delivery Board'!$R$5:$R$500,$A5,'Delivery Board'!$C$5:$C$500,"Planned")+COUNTIFS('Delivery Board'!$R$5:$R$500,$A5,'Delivery Board'!$C$5:$C$500,"In progress")+COUNTIFS('Delivery Board'!$R$5:$R$500,$A5,'Delivery Board'!$C$5:$C$500,"Milestone")</f>
        <v/>
      </c>
      <c r="E5" s="26">
        <f>COUNTIFS('Delivery Board'!$R$5:$R$500,$A5,'Delivery Board'!$C$5:$C$500,"Blocked")</f>
        <v/>
      </c>
      <c r="F5" s="27">
        <f>IF(B5=0,0,C5/B5)</f>
        <v/>
      </c>
    </row>
    <row r="6">
      <c r="A6" s="25" t="inlineStr">
        <is>
          <t>E3 ML NBA</t>
        </is>
      </c>
      <c r="B6" s="26">
        <f>C6+D6+E6</f>
        <v/>
      </c>
      <c r="C6" s="26">
        <f>COUNTIFS('Delivery Board'!$R$5:$R$500,$A6,'Delivery Board'!$C$5:$C$500,"Done")</f>
        <v/>
      </c>
      <c r="D6" s="26">
        <f>COUNTIFS('Delivery Board'!$R$5:$R$500,$A6,'Delivery Board'!$C$5:$C$500,"Planned")+COUNTIFS('Delivery Board'!$R$5:$R$500,$A6,'Delivery Board'!$C$5:$C$500,"In progress")+COUNTIFS('Delivery Board'!$R$5:$R$500,$A6,'Delivery Board'!$C$5:$C$500,"Milestone")</f>
        <v/>
      </c>
      <c r="E6" s="26">
        <f>COUNTIFS('Delivery Board'!$R$5:$R$500,$A6,'Delivery Board'!$C$5:$C$500,"Blocked")</f>
        <v/>
      </c>
      <c r="F6" s="27">
        <f>IF(B6=0,0,C6/B6)</f>
        <v/>
      </c>
    </row>
    <row r="7">
      <c r="A7" s="25" t="inlineStr">
        <is>
          <t>E4 ML Football</t>
        </is>
      </c>
      <c r="B7" s="26">
        <f>C7+D7+E7</f>
        <v/>
      </c>
      <c r="C7" s="26">
        <f>COUNTIFS('Delivery Board'!$R$5:$R$500,$A7,'Delivery Board'!$C$5:$C$500,"Done")</f>
        <v/>
      </c>
      <c r="D7" s="26">
        <f>COUNTIFS('Delivery Board'!$R$5:$R$500,$A7,'Delivery Board'!$C$5:$C$500,"Planned")+COUNTIFS('Delivery Board'!$R$5:$R$500,$A7,'Delivery Board'!$C$5:$C$500,"In progress")+COUNTIFS('Delivery Board'!$R$5:$R$500,$A7,'Delivery Board'!$C$5:$C$500,"Milestone")</f>
        <v/>
      </c>
      <c r="E7" s="26">
        <f>COUNTIFS('Delivery Board'!$R$5:$R$500,$A7,'Delivery Board'!$C$5:$C$500,"Blocked")</f>
        <v/>
      </c>
      <c r="F7" s="27">
        <f>IF(B7=0,0,C7/B7)</f>
        <v/>
      </c>
    </row>
    <row r="8">
      <c r="A8" s="25" t="inlineStr">
        <is>
          <t>E5 ML Tennis</t>
        </is>
      </c>
      <c r="B8" s="26">
        <f>C8+D8+E8</f>
        <v/>
      </c>
      <c r="C8" s="26">
        <f>COUNTIFS('Delivery Board'!$R$5:$R$500,$A8,'Delivery Board'!$C$5:$C$500,"Done")</f>
        <v/>
      </c>
      <c r="D8" s="26">
        <f>COUNTIFS('Delivery Board'!$R$5:$R$500,$A8,'Delivery Board'!$C$5:$C$500,"Planned")+COUNTIFS('Delivery Board'!$R$5:$R$500,$A8,'Delivery Board'!$C$5:$C$500,"In progress")+COUNTIFS('Delivery Board'!$R$5:$R$500,$A8,'Delivery Board'!$C$5:$C$500,"Milestone")</f>
        <v/>
      </c>
      <c r="E8" s="26">
        <f>COUNTIFS('Delivery Board'!$R$5:$R$500,$A8,'Delivery Board'!$C$5:$C$500,"Blocked")</f>
        <v/>
      </c>
      <c r="F8" s="27">
        <f>IF(B8=0,0,C8/B8)</f>
        <v/>
      </c>
    </row>
    <row r="9">
      <c r="A9" s="25" t="inlineStr">
        <is>
          <t>E6 Picks</t>
        </is>
      </c>
      <c r="B9" s="26">
        <f>C9+D9+E9</f>
        <v/>
      </c>
      <c r="C9" s="26">
        <f>COUNTIFS('Delivery Board'!$R$5:$R$500,$A9,'Delivery Board'!$C$5:$C$500,"Done")</f>
        <v/>
      </c>
      <c r="D9" s="26">
        <f>COUNTIFS('Delivery Board'!$R$5:$R$500,$A9,'Delivery Board'!$C$5:$C$500,"Planned")+COUNTIFS('Delivery Board'!$R$5:$R$500,$A9,'Delivery Board'!$C$5:$C$500,"In progress")+COUNTIFS('Delivery Board'!$R$5:$R$500,$A9,'Delivery Board'!$C$5:$C$500,"Milestone")</f>
        <v/>
      </c>
      <c r="E9" s="26">
        <f>COUNTIFS('Delivery Board'!$R$5:$R$500,$A9,'Delivery Board'!$C$5:$C$500,"Blocked")</f>
        <v/>
      </c>
      <c r="F9" s="27">
        <f>IF(B9=0,0,C9/B9)</f>
        <v/>
      </c>
    </row>
    <row r="10">
      <c r="A10" s="25" t="inlineStr">
        <is>
          <t>E7 Mobile</t>
        </is>
      </c>
      <c r="B10" s="26">
        <f>C10+D10+E10</f>
        <v/>
      </c>
      <c r="C10" s="26">
        <f>COUNTIFS('Delivery Board'!$R$5:$R$500,$A10,'Delivery Board'!$C$5:$C$500,"Done")</f>
        <v/>
      </c>
      <c r="D10" s="26">
        <f>COUNTIFS('Delivery Board'!$R$5:$R$500,$A10,'Delivery Board'!$C$5:$C$500,"Planned")+COUNTIFS('Delivery Board'!$R$5:$R$500,$A10,'Delivery Board'!$C$5:$C$500,"In progress")+COUNTIFS('Delivery Board'!$R$5:$R$500,$A10,'Delivery Board'!$C$5:$C$500,"Milestone")</f>
        <v/>
      </c>
      <c r="E10" s="26">
        <f>COUNTIFS('Delivery Board'!$R$5:$R$500,$A10,'Delivery Board'!$C$5:$C$500,"Blocked")</f>
        <v/>
      </c>
      <c r="F10" s="27">
        <f>IF(B10=0,0,C10/B10)</f>
        <v/>
      </c>
    </row>
    <row r="11">
      <c r="A11" s="25" t="inlineStr">
        <is>
          <t>E8 Model Quality</t>
        </is>
      </c>
      <c r="B11" s="26">
        <f>C11+D11+E11</f>
        <v/>
      </c>
      <c r="C11" s="26">
        <f>COUNTIFS('Delivery Board'!$R$5:$R$500,$A11,'Delivery Board'!$C$5:$C$500,"Done")</f>
        <v/>
      </c>
      <c r="D11" s="26">
        <f>COUNTIFS('Delivery Board'!$R$5:$R$500,$A11,'Delivery Board'!$C$5:$C$500,"Planned")+COUNTIFS('Delivery Board'!$R$5:$R$500,$A11,'Delivery Board'!$C$5:$C$500,"In progress")+COUNTIFS('Delivery Board'!$R$5:$R$500,$A11,'Delivery Board'!$C$5:$C$500,"Milestone")</f>
        <v/>
      </c>
      <c r="E11" s="26">
        <f>COUNTIFS('Delivery Board'!$R$5:$R$500,$A11,'Delivery Board'!$C$5:$C$500,"Blocked")</f>
        <v/>
      </c>
      <c r="F11" s="27">
        <f>IF(B11=0,0,C11/B11)</f>
        <v/>
      </c>
    </row>
    <row r="12">
      <c r="A12" s="25" t="inlineStr">
        <is>
          <t>E9 Data Ops</t>
        </is>
      </c>
      <c r="B12" s="26">
        <f>C12+D12+E12</f>
        <v/>
      </c>
      <c r="C12" s="26">
        <f>COUNTIFS('Delivery Board'!$R$5:$R$500,$A12,'Delivery Board'!$C$5:$C$500,"Done")</f>
        <v/>
      </c>
      <c r="D12" s="26">
        <f>COUNTIFS('Delivery Board'!$R$5:$R$500,$A12,'Delivery Board'!$C$5:$C$500,"Planned")+COUNTIFS('Delivery Board'!$R$5:$R$500,$A12,'Delivery Board'!$C$5:$C$500,"In progress")+COUNTIFS('Delivery Board'!$R$5:$R$500,$A12,'Delivery Board'!$C$5:$C$500,"Milestone")</f>
        <v/>
      </c>
      <c r="E12" s="26">
        <f>COUNTIFS('Delivery Board'!$R$5:$R$500,$A12,'Delivery Board'!$C$5:$C$500,"Blocked")</f>
        <v/>
      </c>
      <c r="F12" s="27">
        <f>IF(B12=0,0,C12/B12)</f>
        <v/>
      </c>
    </row>
    <row r="13">
      <c r="A13" s="25" t="inlineStr">
        <is>
          <t>E10 Deploy</t>
        </is>
      </c>
      <c r="B13" s="26">
        <f>C13+D13+E13</f>
        <v/>
      </c>
      <c r="C13" s="26">
        <f>COUNTIFS('Delivery Board'!$R$5:$R$500,$A13,'Delivery Board'!$C$5:$C$500,"Done")</f>
        <v/>
      </c>
      <c r="D13" s="26">
        <f>COUNTIFS('Delivery Board'!$R$5:$R$500,$A13,'Delivery Board'!$C$5:$C$500,"Planned")+COUNTIFS('Delivery Board'!$R$5:$R$500,$A13,'Delivery Board'!$C$5:$C$500,"In progress")+COUNTIFS('Delivery Board'!$R$5:$R$500,$A13,'Delivery Board'!$C$5:$C$500,"Milestone")</f>
        <v/>
      </c>
      <c r="E13" s="26">
        <f>COUNTIFS('Delivery Board'!$R$5:$R$500,$A13,'Delivery Board'!$C$5:$C$500,"Blocked")</f>
        <v/>
      </c>
      <c r="F13" s="27">
        <f>IF(B13=0,0,C13/B13)</f>
        <v/>
      </c>
    </row>
    <row r="14">
      <c r="A14" s="25" t="inlineStr">
        <is>
          <t>E11 Ops Resilience</t>
        </is>
      </c>
      <c r="B14" s="26">
        <f>C14+D14+E14</f>
        <v/>
      </c>
      <c r="C14" s="26">
        <f>COUNTIFS('Delivery Board'!$R$5:$R$500,$A14,'Delivery Board'!$C$5:$C$500,"Done")</f>
        <v/>
      </c>
      <c r="D14" s="26">
        <f>COUNTIFS('Delivery Board'!$R$5:$R$500,$A14,'Delivery Board'!$C$5:$C$500,"Planned")+COUNTIFS('Delivery Board'!$R$5:$R$500,$A14,'Delivery Board'!$C$5:$C$500,"In progress")+COUNTIFS('Delivery Board'!$R$5:$R$500,$A14,'Delivery Board'!$C$5:$C$500,"Milestone")</f>
        <v/>
      </c>
      <c r="E14" s="26">
        <f>COUNTIFS('Delivery Board'!$R$5:$R$500,$A14,'Delivery Board'!$C$5:$C$500,"Blocked")</f>
        <v/>
      </c>
      <c r="F14" s="27">
        <f>IF(B14=0,0,C14/B14)</f>
        <v/>
      </c>
    </row>
    <row r="16">
      <c r="A16" s="28" t="inlineStr">
        <is>
          <t>OVERALL</t>
        </is>
      </c>
      <c r="B16" s="29">
        <f>SUM(B4:B14)</f>
        <v/>
      </c>
      <c r="C16" s="29">
        <f>SUM(C4:C14)</f>
        <v/>
      </c>
      <c r="D16">
        <f>SUM(D4:D14)</f>
        <v/>
      </c>
      <c r="E16">
        <f>SUM(E4:E14)</f>
        <v/>
      </c>
      <c r="F16" s="30">
        <f>IF(B16=0,0,C16/B16)</f>
        <v/>
      </c>
    </row>
    <row r="18">
      <c r="A18" s="43" t="inlineStr">
        <is>
          <t>Unassigned (should be 0)</t>
        </is>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5"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3" topLeftCell="A4" activePane="bottomLeft" state="frozen"/>
      <selection pane="bottomLeft" activeCell="A1" sqref="A1:E1"/>
    </sheetView>
  </sheetViews>
  <sheetFormatPr baseColWidth="8" defaultRowHeight="14.4"/>
  <cols>
    <col width="34" customWidth="1" style="250" min="1" max="1"/>
    <col width="13" customWidth="1" style="250" min="2" max="2"/>
    <col width="11" customWidth="1" style="250" min="3" max="3"/>
    <col width="12" customWidth="1" style="250" min="4" max="4"/>
    <col width="62" customWidth="1" style="250" min="5" max="5"/>
  </cols>
  <sheetData>
    <row r="1" ht="26.05" customHeight="1" s="250">
      <c r="A1" s="276" t="inlineStr">
        <is>
          <t>Risks, Blockers &amp; Open Decisions</t>
        </is>
      </c>
      <c r="B1" s="246" t="n"/>
      <c r="C1" s="246" t="n"/>
      <c r="D1" s="246" t="n"/>
      <c r="E1" s="247" t="n"/>
    </row>
    <row r="3">
      <c r="A3" s="31" t="inlineStr">
        <is>
          <t>Item</t>
        </is>
      </c>
      <c r="B3" s="31" t="inlineStr">
        <is>
          <t>Type</t>
        </is>
      </c>
      <c r="C3" s="31" t="inlineStr">
        <is>
          <t>Impact</t>
        </is>
      </c>
      <c r="D3" s="31" t="inlineStr">
        <is>
          <t>Status</t>
        </is>
      </c>
      <c r="E3" s="31" t="inlineStr">
        <is>
          <t>Action / Owner decision</t>
        </is>
      </c>
    </row>
    <row r="4" ht="28" customHeight="1" s="250">
      <c r="A4" s="32" t="inlineStr">
        <is>
          <t>Model edge is unproven</t>
        </is>
      </c>
      <c r="B4" s="12" t="inlineStr">
        <is>
          <t>Risk</t>
        </is>
      </c>
      <c r="C4" s="23" t="inlineStr">
        <is>
          <t>Critical</t>
        </is>
      </c>
      <c r="D4" s="12" t="inlineStr">
        <is>
          <t>Open</t>
        </is>
      </c>
      <c r="E4" s="33" t="inlineStr">
        <is>
          <t>1X2 +1.9pp over baseline; O/U ~base-rate. Retrain with xG is the decision point.</t>
        </is>
      </c>
    </row>
    <row r="5" ht="28" customHeight="1" s="250">
      <c r="A5" s="34" t="inlineStr">
        <is>
          <t>Over/Under surfaced most, has least signal</t>
        </is>
      </c>
      <c r="B5" s="6" t="inlineStr">
        <is>
          <t>Risk</t>
        </is>
      </c>
      <c r="C5" s="21" t="inlineStr">
        <is>
          <t>High</t>
        </is>
      </c>
      <c r="D5" s="6" t="inlineStr">
        <is>
          <t>Open</t>
        </is>
      </c>
      <c r="E5" s="35" t="inlineStr">
        <is>
          <t>GO/NO-GO 2026-08-10 — surface fewer markets rather than ship confident-looking noise.</t>
        </is>
      </c>
    </row>
    <row r="6" ht="28" customHeight="1" s="250">
      <c r="A6" s="32" t="inlineStr">
        <is>
          <t>Not deployed anywhere</t>
        </is>
      </c>
      <c r="B6" s="12" t="inlineStr">
        <is>
          <t>Blocker</t>
        </is>
      </c>
      <c r="C6" s="23" t="inlineStr">
        <is>
          <t>Critical</t>
        </is>
      </c>
      <c r="D6" s="12" t="inlineStr">
        <is>
          <t>Planned</t>
        </is>
      </c>
      <c r="E6" s="33" t="inlineStr">
        <is>
          <t>No infra/, absolute Windows artefact path. ~2-4 weeks of work.</t>
        </is>
      </c>
    </row>
    <row r="7" ht="28" customHeight="1" s="250">
      <c r="A7" s="34" t="inlineStr">
        <is>
          <t>No monitoring — silent failures</t>
        </is>
      </c>
      <c r="B7" s="6" t="inlineStr">
        <is>
          <t>Risk</t>
        </is>
      </c>
      <c r="C7" s="21" t="inlineStr">
        <is>
          <t>High</t>
        </is>
      </c>
      <c r="D7" s="6" t="inlineStr">
        <is>
          <t>Planned</t>
        </is>
      </c>
      <c r="E7" s="35" t="inlineStr">
        <is>
          <t>Injury worker failed for weeks unnoticed; Docker down looked like an app bug.</t>
        </is>
      </c>
    </row>
    <row r="8" ht="28" customHeight="1" s="250">
      <c r="A8" s="32" t="inlineStr">
        <is>
          <t>TheRundown quota exhausted</t>
        </is>
      </c>
      <c r="B8" s="12" t="inlineStr">
        <is>
          <t>Blocker</t>
        </is>
      </c>
      <c r="C8" s="19" t="inlineStr">
        <is>
          <t>Medium</t>
        </is>
      </c>
      <c r="D8" s="12" t="inlineStr">
        <is>
          <t>Decision</t>
        </is>
      </c>
      <c r="E8" s="33" t="inlineStr">
        <is>
          <t>Pro $99.99/mo before EPL opens 21 Aug, or narrow + stay on Basic.</t>
        </is>
      </c>
    </row>
    <row r="9" ht="28" customHeight="1" s="250">
      <c r="A9" s="34" t="inlineStr">
        <is>
          <t>API-Football is a single point of failure</t>
        </is>
      </c>
      <c r="B9" s="6" t="inlineStr">
        <is>
          <t>Risk</t>
        </is>
      </c>
      <c r="C9" s="21" t="inlineStr">
        <is>
          <t>High</t>
        </is>
      </c>
      <c r="D9" s="6" t="inlineStr">
        <is>
          <t>Accepted</t>
        </is>
      </c>
      <c r="E9" s="35" t="inlineStr">
        <is>
          <t>Fixtures, stats, injuries, H2H, lineups all from one vendor. Auto-renews.</t>
        </is>
      </c>
    </row>
    <row r="10" ht="28" customHeight="1" s="250">
      <c r="A10" s="32" t="inlineStr">
        <is>
          <t>European odds may need no vendor at all</t>
        </is>
      </c>
      <c r="B10" s="12" t="inlineStr">
        <is>
          <t>Opportunity</t>
        </is>
      </c>
      <c r="C10" s="19" t="inlineStr">
        <is>
          <t>Medium</t>
        </is>
      </c>
      <c r="D10" s="12" t="inlineStr">
        <is>
          <t>Open</t>
        </is>
      </c>
      <c r="E10" s="33" t="inlineStr">
        <is>
          <t>Re-test coverage.odds on 21 Aug; could make TheRundown NBA-only.</t>
        </is>
      </c>
    </row>
    <row r="11" ht="28" customHeight="1" s="250">
      <c r="A11" s="34" t="inlineStr">
        <is>
          <t>No EAS project</t>
        </is>
      </c>
      <c r="B11" s="6" t="inlineStr">
        <is>
          <t>Blocker</t>
        </is>
      </c>
      <c r="C11" s="21" t="inlineStr">
        <is>
          <t>High</t>
        </is>
      </c>
      <c r="D11" s="6" t="inlineStr">
        <is>
          <t>Planned</t>
        </is>
      </c>
      <c r="E11" s="35" t="inlineStr">
        <is>
          <t>Cannot ship the app to a single user, nor mint push tokens.</t>
        </is>
      </c>
    </row>
    <row r="12" ht="28" customHeight="1" s="250">
      <c r="A12" s="32" t="inlineStr">
        <is>
          <t>WTA blocked on subscription</t>
        </is>
      </c>
      <c r="B12" s="12" t="inlineStr">
        <is>
          <t>Blocker</t>
        </is>
      </c>
      <c r="C12" s="36" t="inlineStr">
        <is>
          <t>Low</t>
        </is>
      </c>
      <c r="D12" s="12" t="inlineStr">
        <is>
          <t>Deferred</t>
        </is>
      </c>
      <c r="E12" s="33" t="inlineStr">
        <is>
          <t>Code written and unit-tested; needs that tour subscribed.</t>
        </is>
      </c>
    </row>
    <row r="13" ht="28" customHeight="1" s="250">
      <c r="A13" s="34" t="inlineStr">
        <is>
          <t>NBA injuries dead (no RotoWire key)</t>
        </is>
      </c>
      <c r="B13" s="6" t="inlineStr">
        <is>
          <t>Blocker</t>
        </is>
      </c>
      <c r="C13" s="19" t="inlineStr">
        <is>
          <t>Medium</t>
        </is>
      </c>
      <c r="D13" s="6" t="inlineStr">
        <is>
          <t>Deferred</t>
        </is>
      </c>
      <c r="E13" s="35" t="inlineStr">
        <is>
          <t>player_injury_status stays empty; NBA key-player features never vary.</t>
        </is>
      </c>
    </row>
    <row r="14" ht="28" customHeight="1" s="250">
      <c r="A14" s="32" t="inlineStr">
        <is>
          <t>Mobile has no Jest/ESLint</t>
        </is>
      </c>
      <c r="B14" s="12" t="inlineStr">
        <is>
          <t>Risk</t>
        </is>
      </c>
      <c r="C14" s="19" t="inlineStr">
        <is>
          <t>Medium</t>
        </is>
      </c>
      <c r="D14" s="12" t="inlineStr">
        <is>
          <t>Planned</t>
        </is>
      </c>
      <c r="E14" s="33" t="inlineStr">
        <is>
          <t>tsc is the only automated mobile check.</t>
        </is>
      </c>
    </row>
    <row r="15" ht="28" customHeight="1" s="250">
      <c r="A15" s="34" t="inlineStr">
        <is>
          <t>Single-machine dev environment</t>
        </is>
      </c>
      <c r="B15" s="6" t="inlineStr">
        <is>
          <t>Risk</t>
        </is>
      </c>
      <c r="C15" s="19" t="inlineStr">
        <is>
          <t>Medium</t>
        </is>
      </c>
      <c r="D15" s="6" t="inlineStr">
        <is>
          <t>Open</t>
        </is>
      </c>
      <c r="E15" s="35" t="inlineStr">
        <is>
          <t>Postgres, Redis, workers and models all on one Windows box.</t>
        </is>
      </c>
    </row>
    <row r="16" ht="30" customHeight="1" s="250">
      <c r="A16" s="32" t="inlineStr">
        <is>
          <t>Stale long-lived processes</t>
        </is>
      </c>
      <c r="B16" s="12" t="inlineStr">
        <is>
          <t>Risk</t>
        </is>
      </c>
      <c r="C16" s="21" t="inlineStr">
        <is>
          <t>High</t>
        </is>
      </c>
      <c r="D16" s="12" t="inlineStr">
        <is>
          <t>Mitigated</t>
        </is>
      </c>
      <c r="E16" s="33" t="inlineStr">
        <is>
          <t>Hit 4x in one day. dev_worker.py prevents in dev; check_stale.py detects. Prod needs deploy to restart worker AND beat.</t>
        </is>
      </c>
    </row>
    <row r="17" ht="30" customHeight="1" s="250">
      <c r="A17" s="34" t="inlineStr">
        <is>
          <t>Over/Under signal still short of significant</t>
        </is>
      </c>
      <c r="B17" s="6" t="inlineStr">
        <is>
          <t>Risk</t>
        </is>
      </c>
      <c r="C17" s="23" t="inlineStr">
        <is>
          <t>Critical</t>
        </is>
      </c>
      <c r="D17" s="6" t="inlineStr">
        <is>
          <t>Open</t>
        </is>
      </c>
      <c r="E17" s="35" t="inlineStr">
        <is>
          <t>xG lifted trend z=+0.73 -&gt; +1.86 (p=0.062). League features REGRESSED it. Shotmap features are the last untried lever.</t>
        </is>
      </c>
    </row>
    <row r="18" ht="30" customHeight="1" s="250">
      <c r="A18" s="32" t="inlineStr">
        <is>
          <t>Tennis kickoff times are provider-limited</t>
        </is>
      </c>
      <c r="B18" s="12" t="inlineStr">
        <is>
          <t>Blocker</t>
        </is>
      </c>
      <c r="C18" s="19" t="inlineStr">
        <is>
          <t>Medium</t>
        </is>
      </c>
      <c r="D18" s="12" t="inlineStr">
        <is>
          <t>Decision</t>
        </is>
      </c>
      <c r="E18" s="33" t="inlineStr">
        <is>
          <t>Only ~2% of BallDontLie matches carry a real time; the rest are date-only placeholders. No code fixes this.</t>
        </is>
      </c>
    </row>
    <row r="19" ht="30" customHeight="1" s="250">
      <c r="A19" s="34" t="inlineStr">
        <is>
          <t>25+ commits unpushed on a public repo</t>
        </is>
      </c>
      <c r="B19" s="6" t="inlineStr">
        <is>
          <t>Risk</t>
        </is>
      </c>
      <c r="C19" s="19" t="inlineStr">
        <is>
          <t>Medium</t>
        </is>
      </c>
      <c r="D19" s="6" t="inlineStr">
        <is>
          <t>Open</t>
        </is>
      </c>
      <c r="E19" s="35" t="inlineStr">
        <is>
          <t>All of today's and yesterday's work exists only on this machine.</t>
        </is>
      </c>
    </row>
    <row r="20" ht="32.05" customHeight="1" s="250">
      <c r="A20" s="32" t="inlineStr">
        <is>
          <t>Over/Under signal</t>
        </is>
      </c>
      <c r="B20" s="12" t="inlineStr">
        <is>
          <t>Resolved</t>
        </is>
      </c>
      <c r="C20" s="23" t="inlineStr">
        <is>
          <t>Critical</t>
        </is>
      </c>
      <c r="D20" s="12" t="inlineStr">
        <is>
          <t>Closed</t>
        </is>
      </c>
      <c r="E20" s="33" t="inlineStr">
        <is>
          <t>z=+2.96 p=0.0031 through the calibrated production path. Was the top model risk; surfacing a headline % is now defensible.</t>
        </is>
      </c>
    </row>
    <row r="21" ht="32.05" customHeight="1" s="250">
      <c r="A21" s="34" t="inlineStr">
        <is>
          <t>localhost resolves to IPv6 on Windows</t>
        </is>
      </c>
      <c r="B21" s="6" t="inlineStr">
        <is>
          <t>Risk</t>
        </is>
      </c>
      <c r="C21" s="21" t="inlineStr">
        <is>
          <t>High</t>
        </is>
      </c>
      <c r="D21" s="6" t="inlineStr">
        <is>
          <t>Mitigated</t>
        </is>
      </c>
      <c r="E21" s="35" t="inlineStr">
        <is>
          <t>Broke every new host-&gt;container DB connection: 61 test errors, API 500s, failed exports. Pinned to 127.0.0.1 in .env; compose and .env.example still need it.</t>
        </is>
      </c>
    </row>
    <row r="22" ht="32.05" customHeight="1" s="250">
      <c r="A22" s="32" t="inlineStr">
        <is>
          <t>Fewer features beat more, twice</t>
        </is>
      </c>
      <c r="B22" s="12" t="inlineStr">
        <is>
          <t>Insight</t>
        </is>
      </c>
      <c r="C22" s="19" t="inlineStr">
        <is>
          <t>Medium</t>
        </is>
      </c>
      <c r="D22" s="12" t="inlineStr">
        <is>
          <t>Open</t>
        </is>
      </c>
      <c r="E22" s="33" t="inlineStr">
        <is>
          <t>League baselines hurt; pruning 7 helped. On ~5,200 rows correlated inputs cost more variance than they add signal. Test removals as readily as additions.</t>
        </is>
      </c>
    </row>
    <row r="23" ht="32.05" customHeight="1" s="250">
      <c r="A23" s="34" t="inlineStr">
        <is>
          <t>Bundesliga widens the pooled goals range</t>
        </is>
      </c>
      <c r="B23" s="6" t="inlineStr">
        <is>
          <t>Insight</t>
        </is>
      </c>
      <c r="C23" s="19" t="inlineStr">
        <is>
          <t>Medium</t>
        </is>
      </c>
      <c r="D23" s="6" t="inlineStr">
        <is>
          <t>Open</t>
        </is>
      </c>
      <c r="E23" s="35"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50">
      <c r="A24" s="32" t="inlineStr">
        <is>
          <t>Sampling can fake a coverage gap</t>
        </is>
      </c>
      <c r="B24" s="12" t="inlineStr">
        <is>
          <t>Insight</t>
        </is>
      </c>
      <c r="C24" s="19" t="inlineStr">
        <is>
          <t>Medium</t>
        </is>
      </c>
      <c r="D24" s="12" t="inlineStr">
        <is>
          <t>Open</t>
        </is>
      </c>
      <c r="E24" s="33"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50">
      <c r="A25" s="58" t="inlineStr">
        <is>
          <t>Model promotion needs a redeploy</t>
        </is>
      </c>
      <c r="B25" s="55" t="inlineStr">
        <is>
          <t>Decision</t>
        </is>
      </c>
      <c r="C25" s="59" t="inlineStr">
        <is>
          <t>Medium</t>
        </is>
      </c>
      <c r="D25" s="55" t="inlineStr">
        <is>
          <t>Open</t>
        </is>
      </c>
      <c r="E25" s="60"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50">
      <c r="A26" s="61" t="inlineStr">
        <is>
          <t>git will not descend into an excluded directory</t>
        </is>
      </c>
      <c r="B26" s="49" t="inlineStr">
        <is>
          <t>Insight</t>
        </is>
      </c>
      <c r="C26" s="59" t="inlineStr">
        <is>
          <t>Low</t>
        </is>
      </c>
      <c r="D26" s="49" t="inlineStr">
        <is>
          <t>Closed</t>
        </is>
      </c>
      <c r="E26" s="62" t="inlineStr">
        <is>
          <t>A negation inside an excluded directory silently did nothing; the CONTENTS had to be excluded instead. Caught only because staged files still did not appear in git status.</t>
        </is>
      </c>
    </row>
    <row r="27" ht="32.05" customHeight="1" s="250">
      <c r="A27" s="58" t="inlineStr">
        <is>
          <t>Kickoff reminders skip estimated kickoffs</t>
        </is>
      </c>
      <c r="B27" s="55" t="inlineStr">
        <is>
          <t>Decision</t>
        </is>
      </c>
      <c r="C27" s="59" t="inlineStr">
        <is>
          <t>Low</t>
        </is>
      </c>
      <c r="D27" s="55" t="inlineStr">
        <is>
          <t>Open</t>
        </is>
      </c>
      <c r="E27" s="60" t="inlineStr">
        <is>
          <t>An estimated kickoff is a DATE not a time, so a T-60 reminder off a midnight placeholder would be false. Skipped rather than sent wrong. Affects most ATP fixtures until BallDontLie publishes real times - only ~2% carry one.</t>
        </is>
      </c>
    </row>
    <row r="28" ht="46" customHeight="1" s="250">
      <c r="A28" s="79" t="inlineStr">
        <is>
          <t>Android package name is permanent after release</t>
        </is>
      </c>
      <c r="B28" s="66" t="inlineStr">
        <is>
          <t>Decision</t>
        </is>
      </c>
      <c r="C28" s="75" t="inlineStr">
        <is>
          <t>High</t>
        </is>
      </c>
      <c r="D28" s="107" t="inlineStr">
        <is>
          <t>Closed</t>
        </is>
      </c>
      <c r="E28" s="107"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50">
      <c r="A29" s="80" t="inlineStr">
        <is>
          <t>Push notifications remain unverifiable on device</t>
        </is>
      </c>
      <c r="B29" s="72" t="inlineStr">
        <is>
          <t>Risk</t>
        </is>
      </c>
      <c r="C29" s="77" t="inlineStr">
        <is>
          <t>Medium</t>
        </is>
      </c>
      <c r="D29" s="106" t="inlineStr">
        <is>
          <t>Closed</t>
        </is>
      </c>
      <c r="E29" s="106" t="inlineStr">
        <is>
          <t>SUPERSEDED by the row below. eas init created @usangr01/sportpiq and wrote a real projectId, so a token can now be minted; what remains is device verification, tracked separately rather than duplicated here.</t>
        </is>
      </c>
    </row>
    <row r="30" ht="32.05" customHeight="1" s="250">
      <c r="A30" s="88" t="inlineStr">
        <is>
          <t>Push still unverified on a device</t>
        </is>
      </c>
      <c r="B30" s="84" t="inlineStr">
        <is>
          <t>Risk</t>
        </is>
      </c>
      <c r="C30" s="89" t="inlineStr">
        <is>
          <t>Medium</t>
        </is>
      </c>
      <c r="D30" s="84" t="inlineStr">
        <is>
          <t>Open</t>
        </is>
      </c>
      <c r="E30" s="90" t="inlineStr">
        <is>
          <t>projectId now exists so a token CAN be minted, but nothing has been delivered to a real device. Needs a development build: Expo Go on Android cannot receive remote push since SDK 53. Reduced from blocking to testable.</t>
        </is>
      </c>
    </row>
    <row r="31" ht="32.05" customHeight="1" s="250">
      <c r="A31" s="105" t="inlineStr">
        <is>
          <t>Trademark position for SportPIQ</t>
        </is>
      </c>
      <c r="B31" s="94" t="inlineStr">
        <is>
          <t>Insight</t>
        </is>
      </c>
      <c r="C31" s="103" t="inlineStr">
        <is>
          <t>Medium</t>
        </is>
      </c>
      <c r="D31" s="94" t="inlineStr">
        <is>
          <t>Monitored</t>
        </is>
      </c>
      <c r="E31" s="106"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50">
      <c r="A32" s="122" t="inlineStr">
        <is>
          <t>Firebase adopted for FCM only, not as a backend</t>
        </is>
      </c>
      <c r="B32" s="117" t="inlineStr">
        <is>
          <t>Decision</t>
        </is>
      </c>
      <c r="C32" s="120" t="inlineStr">
        <is>
          <t>Medium</t>
        </is>
      </c>
      <c r="D32" s="117" t="inlineStr">
        <is>
          <t>Closed</t>
        </is>
      </c>
      <c r="E32" s="123"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50">
      <c r="A33" s="124" t="inlineStr">
        <is>
          <t>Service-account key was synced to OneDrive</t>
        </is>
      </c>
      <c r="B33" s="111" t="inlineStr">
        <is>
          <t>Risk</t>
        </is>
      </c>
      <c r="C33" s="120" t="inlineStr">
        <is>
          <t>Medium</t>
        </is>
      </c>
      <c r="D33" s="111" t="inlineStr">
        <is>
          <t>Mitigated</t>
        </is>
      </c>
      <c r="E33" s="125"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50">
      <c r="A34" s="156" t="inlineStr">
        <is>
          <t>Web testing does not catch device layout bugs</t>
        </is>
      </c>
      <c r="B34" s="150" t="inlineStr">
        <is>
          <t>Insight</t>
        </is>
      </c>
      <c r="C34" s="142" t="inlineStr">
        <is>
          <t>High</t>
        </is>
      </c>
      <c r="D34" s="150" t="inlineStr">
        <is>
          <t>Open</t>
        </is>
      </c>
      <c r="E34" s="157"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50">
      <c r="A35" s="158" t="inlineStr">
        <is>
          <t>The test suite writes to the dev database</t>
        </is>
      </c>
      <c r="B35" s="143" t="inlineStr">
        <is>
          <t>Risk</t>
        </is>
      </c>
      <c r="C35" s="154" t="inlineStr">
        <is>
          <t>Medium</t>
        </is>
      </c>
      <c r="D35" s="143" t="inlineStr">
        <is>
          <t>Open</t>
        </is>
      </c>
      <c r="E35" s="159"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50">
      <c r="A36" s="172" t="inlineStr">
        <is>
          <t>TheRundown quota exhausted</t>
        </is>
      </c>
      <c r="B36" s="169" t="inlineStr">
        <is>
          <t>Risk</t>
        </is>
      </c>
      <c r="C36" s="173" t="inlineStr">
        <is>
          <t>Critical</t>
        </is>
      </c>
      <c r="D36" s="178" t="inlineStr">
        <is>
          <t>Closed (see correction)</t>
        </is>
      </c>
      <c r="E36" s="178"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50">
      <c r="A37" s="175" t="inlineStr">
        <is>
          <t>Odds quota cost is fixture-gated, not league-gated</t>
        </is>
      </c>
      <c r="B37" s="163" t="inlineStr">
        <is>
          <t>Insight</t>
        </is>
      </c>
      <c r="C37" s="176" t="inlineStr">
        <is>
          <t>Medium</t>
        </is>
      </c>
      <c r="D37" s="163" t="inlineStr">
        <is>
          <t>Open</t>
        </is>
      </c>
      <c r="E37" s="177"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50">
      <c r="A38" s="172" t="inlineStr">
        <is>
          <t>TheRundown value starts 21 Aug, not today</t>
        </is>
      </c>
      <c r="B38" s="169" t="inlineStr">
        <is>
          <t>Insight</t>
        </is>
      </c>
      <c r="C38" s="176" t="inlineStr">
        <is>
          <t>Low</t>
        </is>
      </c>
      <c r="D38" s="169" t="inlineStr">
        <is>
          <t>Open</t>
        </is>
      </c>
      <c r="E38" s="174"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50">
      <c r="A39" s="186" t="inlineStr">
        <is>
          <t>Is API-Football EPL odds coverage real or seasonal?</t>
        </is>
      </c>
      <c r="B39" s="182" t="inlineStr">
        <is>
          <t>Risk</t>
        </is>
      </c>
      <c r="C39" s="187" t="inlineStr">
        <is>
          <t>High</t>
        </is>
      </c>
      <c r="D39" s="182" t="inlineStr">
        <is>
          <t>Open</t>
        </is>
      </c>
      <c r="E39" s="188"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50">
      <c r="A40" s="196" t="inlineStr">
        <is>
          <t>The basic quota was burned by a bug, not demand</t>
        </is>
      </c>
      <c r="B40" s="192" t="inlineStr">
        <is>
          <t>Insight</t>
        </is>
      </c>
      <c r="C40" s="197" t="inlineStr">
        <is>
          <t>High</t>
        </is>
      </c>
      <c r="D40" s="192" t="inlineStr">
        <is>
          <t>Open</t>
        </is>
      </c>
      <c r="E40" s="198"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50">
      <c r="A41" s="199" t="inlineStr">
        <is>
          <t>API-Football renewal</t>
        </is>
      </c>
      <c r="B41" s="200" t="inlineStr">
        <is>
          <t>Decision</t>
        </is>
      </c>
      <c r="C41" s="201" t="inlineStr">
        <is>
          <t>Medium</t>
        </is>
      </c>
      <c r="D41" s="200" t="inlineStr">
        <is>
          <t>Closed</t>
        </is>
      </c>
      <c r="E41" s="202" t="inlineStr">
        <is>
          <t>User confirmed the API-Football subscription will be renewed. This was carried as an open P0 after that had already been stated - a second instance of a stale item surviving in the list. Not a risk.</t>
        </is>
      </c>
    </row>
    <row r="42" ht="32.05" customHeight="1" s="250">
      <c r="A42" s="219" t="inlineStr">
        <is>
          <t>Best-odds MAX actively selects for outliers</t>
        </is>
      </c>
      <c r="B42" s="213" t="inlineStr">
        <is>
          <t>Insight</t>
        </is>
      </c>
      <c r="C42" s="205" t="inlineStr">
        <is>
          <t>High</t>
        </is>
      </c>
      <c r="D42" s="213" t="inlineStr">
        <is>
          <t>Open</t>
        </is>
      </c>
      <c r="E42" s="220"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50">
      <c r="A43" s="221" t="inlineStr">
        <is>
          <t>Polymarket lists ATP with the sides reversed</t>
        </is>
      </c>
      <c r="B43" s="206" t="inlineStr">
        <is>
          <t>Risk</t>
        </is>
      </c>
      <c r="C43" s="217" t="inlineStr">
        <is>
          <t>Medium</t>
        </is>
      </c>
      <c r="D43" s="206" t="inlineStr">
        <is>
          <t>Mitigated</t>
        </is>
      </c>
      <c r="E43" s="222"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50">
      <c r="A44" s="219" t="inlineStr">
        <is>
          <t>A distance threshold hid a real bug</t>
        </is>
      </c>
      <c r="B44" s="213" t="inlineStr">
        <is>
          <t>Insight</t>
        </is>
      </c>
      <c r="C44" s="217" t="inlineStr">
        <is>
          <t>Medium</t>
        </is>
      </c>
      <c r="D44" s="213" t="inlineStr">
        <is>
          <t>Closed</t>
        </is>
      </c>
      <c r="E44" s="220"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50">
      <c r="A45" s="221" t="inlineStr">
        <is>
          <t>Analytics scoped to mobile only, deferred to post-launch</t>
        </is>
      </c>
      <c r="B45" s="206" t="inlineStr">
        <is>
          <t>Decision</t>
        </is>
      </c>
      <c r="C45" s="217" t="inlineStr">
        <is>
          <t>Low</t>
        </is>
      </c>
      <c r="D45" s="206" t="inlineStr">
        <is>
          <t>Open</t>
        </is>
      </c>
      <c r="E45" s="222"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50">
      <c r="A46" s="241" t="inlineStr">
        <is>
          <t>Tennis total games must not repeat the football O/U mistake</t>
        </is>
      </c>
      <c r="B46" s="226" t="inlineStr">
        <is>
          <t>Decision</t>
        </is>
      </c>
      <c r="C46" s="232" t="inlineStr">
        <is>
          <t>High</t>
        </is>
      </c>
      <c r="D46" s="226" t="inlineStr">
        <is>
          <t>Open</t>
        </is>
      </c>
      <c r="E46" s="242"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50">
      <c r="A47" s="243" t="inlineStr">
        <is>
          <t>Serve features need a GOAT-tier upgrade</t>
        </is>
      </c>
      <c r="B47" s="233" t="inlineStr">
        <is>
          <t>Risk</t>
        </is>
      </c>
      <c r="C47" s="237" t="inlineStr">
        <is>
          <t>Medium</t>
        </is>
      </c>
      <c r="D47" s="233" t="inlineStr">
        <is>
          <t>Open</t>
        </is>
      </c>
      <c r="E47" s="244"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50">
      <c r="A48" s="241" t="inlineStr">
        <is>
          <t>Live/in-play tennis markets are an architecture change</t>
        </is>
      </c>
      <c r="B48" s="226" t="inlineStr">
        <is>
          <t>Decision</t>
        </is>
      </c>
      <c r="C48" s="237" t="inlineStr">
        <is>
          <t>Medium</t>
        </is>
      </c>
      <c r="D48" s="226" t="inlineStr">
        <is>
          <t>Open</t>
        </is>
      </c>
      <c r="E48" s="242"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6"/>
  <sheetViews>
    <sheetView workbookViewId="0">
      <pane ySplit="4" topLeftCell="A5" activePane="bottomLeft" state="frozen"/>
      <selection pane="bottomLeft" activeCell="A1" sqref="A1"/>
    </sheetView>
  </sheetViews>
  <sheetFormatPr baseColWidth="8" defaultRowHeight="15"/>
  <cols>
    <col width="26" customWidth="1" style="250" min="1" max="1"/>
    <col width="42" customWidth="1" style="250" min="2" max="2"/>
    <col width="20" customWidth="1" style="250" min="3" max="3"/>
    <col width="22" customWidth="1" style="250" min="4" max="4"/>
    <col width="16" customWidth="1" style="250" min="5" max="5"/>
    <col width="14" customWidth="1" style="250" min="6" max="6"/>
    <col width="26" customWidth="1" style="250" min="7" max="7"/>
    <col width="17" customWidth="1" style="250" min="8" max="8"/>
    <col width="62" customWidth="1" style="250" min="9" max="9"/>
  </cols>
  <sheetData>
    <row r="1">
      <c r="A1" s="277" t="inlineStr">
        <is>
          <t>External APIs, Quotas &amp; Expiry</t>
        </is>
      </c>
    </row>
    <row r="2">
      <c r="A2" s="278" t="inlineStr">
        <is>
          <t>All figures read live from each provider at 2026-08-09. No credentials are stored in this file.</t>
        </is>
      </c>
    </row>
    <row r="4">
      <c r="A4" s="279" t="inlineStr">
        <is>
          <t>Provider</t>
        </is>
      </c>
      <c r="B4" s="279" t="inlineStr">
        <is>
          <t>What we get from it</t>
        </is>
      </c>
      <c r="C4" s="279" t="inlineStr">
        <is>
          <t>Plan / tier</t>
        </is>
      </c>
      <c r="D4" s="279" t="inlineStr">
        <is>
          <t>Quota</t>
        </is>
      </c>
      <c r="E4" s="279" t="inlineStr">
        <is>
          <t>Used (as checked)</t>
        </is>
      </c>
      <c r="F4" s="279" t="inlineStr">
        <is>
          <t>Remaining</t>
        </is>
      </c>
      <c r="G4" s="279" t="inlineStr">
        <is>
          <t>Expiry / reset</t>
        </is>
      </c>
      <c r="H4" s="279" t="inlineStr">
        <is>
          <t>Status</t>
        </is>
      </c>
      <c r="I4" s="279" t="inlineStr">
        <is>
          <t>Notes &amp; constraints</t>
        </is>
      </c>
    </row>
    <row r="5" ht="62" customHeight="1" s="250">
      <c r="A5" s="280" t="inlineStr">
        <is>
          <t>API-Football (v3, direct host)</t>
        </is>
      </c>
      <c r="B5" s="281" t="inlineStr">
        <is>
          <t>Football fixtures, team stats, injuries, lineups, corners, H2H, and Brasileirao odds. The primary football provider.</t>
        </is>
      </c>
      <c r="C5" s="281" t="inlineStr">
        <is>
          <t>Pro</t>
        </is>
      </c>
      <c r="D5" s="281" t="inlineStr">
        <is>
          <t>7,500 / day</t>
        </is>
      </c>
      <c r="E5" s="281" t="inlineStr">
        <is>
          <t>7,348 today</t>
        </is>
      </c>
      <c r="F5" s="281" t="inlineStr">
        <is>
          <t>152 today</t>
        </is>
      </c>
      <c r="G5" s="281" t="inlineStr">
        <is>
          <t>SUBSCRIPTION ENDS 2026-08-29</t>
        </is>
      </c>
      <c r="H5" s="282" t="inlineStr">
        <is>
          <t>EXPIRING</t>
        </is>
      </c>
      <c r="I5" s="281" t="inlineStr">
        <is>
          <t>HARD DEADLINE - 20 days. Any bulk history (lineups/corners at ~1 call PER FIXTURE) must finish before this. Reached via v3.football.api-sports.io with x-apisports-key, NOT RapidAPI.</t>
        </is>
      </c>
    </row>
    <row r="6" ht="62" customHeight="1" s="250">
      <c r="A6" s="280" t="inlineStr">
        <is>
          <t>TheRundown (via RapidAPI)</t>
        </is>
      </c>
      <c r="B6" s="281" t="inlineStr">
        <is>
          <t>Odds: NBA, the 5 European football leagues, MLS, and ATP/WTA tennis. Only real source of game-totals lines.</t>
        </is>
      </c>
      <c r="C6" s="281" t="inlineStr">
        <is>
          <t>Pro</t>
        </is>
      </c>
      <c r="D6" s="281" t="inlineStr">
        <is>
          <t>5,000 / month</t>
        </is>
      </c>
      <c r="E6" s="281" t="inlineStr">
        <is>
          <t>68 this period</t>
        </is>
      </c>
      <c r="F6" s="281" t="inlineStr">
        <is>
          <t>4,932</t>
        </is>
      </c>
      <c r="G6" s="281" t="inlineStr">
        <is>
          <t>resets in ~27 days</t>
        </is>
      </c>
      <c r="H6" s="283" t="inlineStr">
        <is>
          <t>HEALTHY</t>
        </is>
      </c>
      <c r="I6" s="281" t="inlineStr">
        <is>
          <t>Upgraded from 1,000/month. Odds job stays at 6h: worst case at 3h is 134% of quota. No Brazil, Scotland or China coverage at all. Only 3 of ~15 affiliates return real prices; the rest send a 0.0001 masked sentinel.</t>
        </is>
      </c>
    </row>
    <row r="7" ht="62" customHeight="1" s="250">
      <c r="A7" s="280" t="inlineStr">
        <is>
          <t>BallDontLie - ATP tennis</t>
        </is>
      </c>
      <c r="B7" s="281" t="inlineStr">
        <is>
          <t>Tennis fixtures, matches, match_stats (serve/return), odds (DraftKings + FanDuel), rankings, H2H.</t>
        </is>
      </c>
      <c r="C7" s="281" t="inlineStr">
        <is>
          <t>GOAT</t>
        </is>
      </c>
      <c r="D7" s="281" t="inlineStr">
        <is>
          <t>600 / minute</t>
        </is>
      </c>
      <c r="E7" s="281" t="inlineStr">
        <is>
          <t>1 (probe)</t>
        </is>
      </c>
      <c r="F7" s="281" t="inlineStr">
        <is>
          <t>599</t>
        </is>
      </c>
      <c r="G7" s="281" t="inlineStr">
        <is>
          <t>no expiry observed</t>
        </is>
      </c>
      <c r="H7" s="283" t="inlineStr">
        <is>
          <t>HEALTHY</t>
        </is>
      </c>
      <c r="I7" s="281" t="inlineStr">
        <is>
          <t>10x the ALL-STAR limit. /match_stats paginates by SEASON not per fixture, so bulk history is minutes not days. NOTE: season and match_ids filters are SILENTLY IGNORED on some endpoints - always test with a nonsense value.</t>
        </is>
      </c>
    </row>
    <row r="8" ht="62" customHeight="1" s="250">
      <c r="A8" s="280" t="inlineStr">
        <is>
          <t>BallDontLie - WTA tennis</t>
        </is>
      </c>
      <c r="B8" s="281" t="inlineStr">
        <is>
          <t>Nothing usable. /rankings only.</t>
        </is>
      </c>
      <c r="C8" s="281" t="inlineStr">
        <is>
          <t>Free (not subscribed)</t>
        </is>
      </c>
      <c r="D8" s="281" t="inlineStr">
        <is>
          <t>5 / minute</t>
        </is>
      </c>
      <c r="E8" s="281" t="inlineStr">
        <is>
          <t>n/a</t>
        </is>
      </c>
      <c r="F8" s="281" t="inlineStr">
        <is>
          <t>n/a</t>
        </is>
      </c>
      <c r="G8" s="281" t="inlineStr">
        <is>
          <t>n/a</t>
        </is>
      </c>
      <c r="H8" s="282" t="inlineStr">
        <is>
          <t>BLOCKED</t>
        </is>
      </c>
      <c r="I8" s="281" t="inlineStr">
        <is>
          <t>Every endpoint except /rankings returns 401. GOAT covers ATP ONLY - WTA needs its own subscription. Code is written and unit-tested; just point league='wta' once subscribed.</t>
        </is>
      </c>
    </row>
    <row r="9" ht="62" customHeight="1" s="250">
      <c r="A9" s="280" t="inlineStr">
        <is>
          <t>BallDontLie - NBA</t>
        </is>
      </c>
      <c r="B9" s="281" t="inlineStr">
        <is>
          <t>NBA fixtures and team stats for live serving.</t>
        </is>
      </c>
      <c r="C9" s="281" t="inlineStr">
        <is>
          <t>Free</t>
        </is>
      </c>
      <c r="D9" s="281" t="inlineStr">
        <is>
          <t>5 / minute</t>
        </is>
      </c>
      <c r="E9" s="281" t="inlineStr">
        <is>
          <t>1 (probe)</t>
        </is>
      </c>
      <c r="F9" s="281" t="inlineStr">
        <is>
          <t>4</t>
        </is>
      </c>
      <c r="G9" s="281" t="inlineStr">
        <is>
          <t>no expiry</t>
        </is>
      </c>
      <c r="H9" s="284" t="inlineStr">
        <is>
          <t>TIGHT</t>
        </is>
      </c>
      <c r="I9" s="281" t="inlineStr">
        <is>
          <t>/season_averages, /standings and /player_injuries all 401 on this tier. 5/min is why ingest caches per-run; fine for 30 teams, would not scale.</t>
        </is>
      </c>
    </row>
    <row r="10" ht="62" customHeight="1" s="250">
      <c r="A10" s="280" t="inlineStr">
        <is>
          <t>TheStatsAPI</t>
        </is>
      </c>
      <c r="B10" s="281" t="inlineStr">
        <is>
          <t>Expected goals (xG) for football - the only xG source; API-Football supplies none at any tier.</t>
        </is>
      </c>
      <c r="C10" s="281" t="inlineStr">
        <is>
          <t>paid</t>
        </is>
      </c>
      <c r="D10" s="281" t="inlineStr">
        <is>
          <t>120 / minute (+ a monthly cap)</t>
        </is>
      </c>
      <c r="E10" s="281" t="inlineStr">
        <is>
          <t>0 (probe)</t>
        </is>
      </c>
      <c r="F10" s="281" t="inlineStr">
        <is>
          <t>120 this minute</t>
        </is>
      </c>
      <c r="G10" s="281" t="inlineStr">
        <is>
          <t>monthly cap not exposed in headers</t>
        </is>
      </c>
      <c r="H10" s="284" t="inlineStr">
        <is>
          <t>WATCH</t>
        </is>
      </c>
      <c r="I10" s="281" t="inlineStr">
        <is>
          <t>Monthly quota is real and has been hit before - it reports as 'season not found', which is misleading. Per-minute limit was raised 12 -&gt; 120; the collector now reads pacing from x-ratelimit-limit rather than a constant.</t>
        </is>
      </c>
    </row>
    <row r="11" ht="62" customHeight="1" s="250">
      <c r="A11" s="280" t="inlineStr">
        <is>
          <t>nba_api (stats.nba.com)</t>
        </is>
      </c>
      <c r="B11" s="281" t="inlineStr">
        <is>
          <t>NBA historical training data only.</t>
        </is>
      </c>
      <c r="C11" s="281" t="inlineStr">
        <is>
          <t>free</t>
        </is>
      </c>
      <c r="D11" s="281" t="inlineStr">
        <is>
          <t>unthrottled</t>
        </is>
      </c>
      <c r="E11" s="281" t="inlineStr">
        <is>
          <t>n/a</t>
        </is>
      </c>
      <c r="F11" s="281" t="inlineStr">
        <is>
          <t>n/a</t>
        </is>
      </c>
      <c r="G11" s="281" t="inlineStr">
        <is>
          <t>none</t>
        </is>
      </c>
      <c r="H11" s="284" t="inlineStr">
        <is>
          <t>LOCAL ONLY</t>
        </is>
      </c>
      <c r="I11" s="281" t="inlineStr">
        <is>
          <t>Blocks ALL cloud-provider IPs at the network level. Must never be called from a production worker - offline training only.</t>
        </is>
      </c>
    </row>
    <row r="12" ht="62" customHeight="1" s="250">
      <c r="A12" s="280" t="inlineStr">
        <is>
          <t>Expo Push API</t>
        </is>
      </c>
      <c r="B12" s="281" t="inlineStr">
        <is>
          <t>Delivering push notifications to devices.</t>
        </is>
      </c>
      <c r="C12" s="281" t="inlineStr">
        <is>
          <t>unauthenticated</t>
        </is>
      </c>
      <c r="D12" s="281" t="inlineStr">
        <is>
          <t>lower unauthenticated rate limit</t>
        </is>
      </c>
      <c r="E12" s="281" t="inlineStr">
        <is>
          <t>n/a</t>
        </is>
      </c>
      <c r="F12" s="281" t="inlineStr">
        <is>
          <t>n/a</t>
        </is>
      </c>
      <c r="G12" s="281" t="inlineStr">
        <is>
          <t>none</t>
        </is>
      </c>
      <c r="H12" s="283" t="inlineStr">
        <is>
          <t>WORKS</t>
        </is>
      </c>
      <c r="I12" s="281" t="inlineStr">
        <is>
          <t>No EXPO_ACCESS_TOKEN provisioned. Sends work and were verified on a real device. Ticket is returned but the RECEIPT is never checked, so delivery failures are currently invisible.</t>
        </is>
      </c>
    </row>
    <row r="13" ht="62" customHeight="1" s="250">
      <c r="A13" s="280" t="inlineStr">
        <is>
          <t>RotoWire</t>
        </is>
      </c>
      <c r="B13" s="281" t="inlineStr">
        <is>
          <t>NBA injuries (intended).</t>
        </is>
      </c>
      <c r="C13" s="281" t="inlineStr">
        <is>
          <t>never provisioned</t>
        </is>
      </c>
      <c r="D13" s="281" t="inlineStr">
        <is>
          <t>n/a</t>
        </is>
      </c>
      <c r="E13" s="281" t="inlineStr">
        <is>
          <t>n/a</t>
        </is>
      </c>
      <c r="F13" s="281" t="inlineStr">
        <is>
          <t>n/a</t>
        </is>
      </c>
      <c r="G13" s="281" t="inlineStr">
        <is>
          <t>n/a</t>
        </is>
      </c>
      <c r="H13" s="284" t="inlineStr">
        <is>
          <t>NOT PROVISIONED</t>
        </is>
      </c>
      <c r="I13" s="281" t="inlineStr">
        <is>
          <t>No key was ever obtained. Adapter is a stub, so NBA player_injury_status stays empty. Football injuries come from API-Football and are real.</t>
        </is>
      </c>
    </row>
    <row r="14" ht="62" customHeight="1" s="250">
      <c r="A14" s="280" t="inlineStr">
        <is>
          <t>SportsDataIO</t>
        </is>
      </c>
      <c r="B14" s="281" t="inlineStr">
        <is>
          <t>Phase 2 US sports (NFL/NHL/MLB).</t>
        </is>
      </c>
      <c r="C14" s="281" t="inlineStr">
        <is>
          <t>never provisioned</t>
        </is>
      </c>
      <c r="D14" s="281" t="inlineStr">
        <is>
          <t>n/a</t>
        </is>
      </c>
      <c r="E14" s="281" t="inlineStr">
        <is>
          <t>n/a</t>
        </is>
      </c>
      <c r="F14" s="281" t="inlineStr">
        <is>
          <t>n/a</t>
        </is>
      </c>
      <c r="G14" s="281" t="inlineStr">
        <is>
          <t>n/a</t>
        </is>
      </c>
      <c r="H14" s="284" t="inlineStr">
        <is>
          <t>NOT PROVISIONED</t>
        </is>
      </c>
      <c r="I14" s="281" t="inlineStr">
        <is>
          <t>Adapter is a stub. Not needed until Phase 2.</t>
        </is>
      </c>
    </row>
    <row r="16">
      <c r="A16" s="278" t="inlineStr">
        <is>
          <t>Re-check by calling each provider's own status endpoint; do not trust these figures after the dates above. API-Football: GET /status. TheRundown: x-ratelimit-requests-* response headers. BallDontLie / TheStatsAPI: x-ratelimit-* response headers.</t>
        </is>
      </c>
    </row>
  </sheetData>
  <mergeCells count="1">
    <mergeCell ref="A16:I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2026-08-09T10:39:47Z</dcterms:modified>
  <cp:lastModifiedBy>Richard Usang</cp:lastModifiedBy>
</cp:coreProperties>
</file>