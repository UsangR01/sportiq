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6CA6CFF3-1C8F-4D89-B2C3-F8FF4B4E13BE}"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5" i="1" l="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2" i="1"/>
  <c r="R33" i="1" s="1"/>
  <c r="R34" i="1" s="1"/>
  <c r="R35" i="1" s="1"/>
  <c r="R36" i="1" s="1"/>
  <c r="R37" i="1" s="1"/>
  <c r="R31" i="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s="1"/>
  <c r="R7" i="1" l="1"/>
  <c r="E14" i="3" l="1"/>
  <c r="R8" i="1"/>
  <c r="E9" i="3" s="1"/>
  <c r="D6" i="3" l="1"/>
  <c r="D8" i="3"/>
  <c r="D13" i="3"/>
  <c r="C6" i="3"/>
  <c r="C5" i="3"/>
  <c r="D12" i="3"/>
  <c r="E6" i="3"/>
  <c r="C8" i="3"/>
  <c r="E12" i="3"/>
  <c r="C4" i="3"/>
  <c r="E8" i="3"/>
  <c r="D7" i="3"/>
  <c r="E13" i="3"/>
  <c r="D5" i="3"/>
  <c r="C9" i="3"/>
  <c r="E7" i="3"/>
  <c r="C7" i="3"/>
  <c r="E4" i="3"/>
  <c r="E5" i="3"/>
  <c r="C13" i="3"/>
  <c r="D4" i="3"/>
  <c r="D10" i="3"/>
  <c r="D9" i="3"/>
  <c r="D11" i="3"/>
  <c r="C10" i="3"/>
  <c r="E10" i="3"/>
  <c r="C12" i="3"/>
  <c r="B12" i="3" s="1"/>
  <c r="F12" i="3" s="1"/>
  <c r="D14" i="3"/>
  <c r="E11" i="3"/>
  <c r="C11" i="3"/>
  <c r="C14" i="3"/>
  <c r="B8" i="3" l="1"/>
  <c r="F8" i="3" s="1"/>
  <c r="B14" i="3"/>
  <c r="F14" i="3" s="1"/>
  <c r="B9" i="3"/>
  <c r="F9" i="3" s="1"/>
  <c r="B13" i="3"/>
  <c r="F13" i="3" s="1"/>
  <c r="B6" i="3"/>
  <c r="F6" i="3" s="1"/>
  <c r="B11" i="3"/>
  <c r="F11" i="3" s="1"/>
  <c r="D16" i="3"/>
  <c r="E16" i="3"/>
  <c r="C16" i="3"/>
  <c r="B4" i="3"/>
  <c r="B5" i="3"/>
  <c r="F5" i="3" s="1"/>
  <c r="B10" i="3"/>
  <c r="F10" i="3" s="1"/>
  <c r="B7" i="3"/>
  <c r="F7" i="3" s="1"/>
  <c r="F4" i="3" l="1"/>
  <c r="B16" i="3"/>
  <c r="B18" i="3" l="1"/>
  <c r="F16" i="3"/>
</calcChain>
</file>

<file path=xl/sharedStrings.xml><?xml version="1.0" encoding="utf-8"?>
<sst xmlns="http://schemas.openxmlformats.org/spreadsheetml/2006/main" count="901" uniqueCount="476">
  <si>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</si>
  <si>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</si>
  <si>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</si>
  <si>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</si>
  <si>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</si>
  <si>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</si>
  <si>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</si>
  <si>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</si>
  <si>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</si>
  <si>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</si>
  <si>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</si>
  <si>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</si>
  <si>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</si>
  <si>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</si>
  <si>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</si>
  <si>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</si>
  <si>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</si>
  <si>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</si>
  <si>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</si>
  <si>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</si>
  <si>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</si>
  <si>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</si>
  <si>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</si>
  <si>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</si>
  <si>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</si>
  <si>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</si>
  <si>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</si>
  <si>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</si>
  <si>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</si>
  <si>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</si>
  <si>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</si>
  <si>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</si>
  <si>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</si>
  <si>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</si>
  <si>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</si>
  <si>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</si>
  <si>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</si>
  <si>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</si>
  <si>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</si>
  <si>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</si>
  <si>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</si>
  <si>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</si>
  <si>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</si>
  <si>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</si>
  <si>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</si>
  <si>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</si>
  <si>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</si>
  <si>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</si>
  <si>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</si>
  <si>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</si>
  <si>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</si>
  <si>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</si>
  <si>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</si>
  <si>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</si>
  <si>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</si>
  <si>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</si>
  <si>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</si>
  <si>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</si>
  <si>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</si>
  <si>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</si>
  <si>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</si>
  <si>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</si>
  <si>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</si>
  <si>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</si>
  <si>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</si>
  <si>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</si>
  <si>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</si>
  <si>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</si>
  <si>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</si>
  <si>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</si>
  <si>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</si>
  <si>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</si>
  <si>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</si>
  <si>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</si>
  <si>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</si>
  <si>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</si>
  <si>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</si>
  <si>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</si>
  <si>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</si>
  <si>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</si>
  <si>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</si>
  <si>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</si>
  <si>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</si>
  <si>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</si>
  <si>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</si>
  <si>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</si>
  <si>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</si>
  <si>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</si>
  <si>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</si>
  <si>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</si>
  <si>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</si>
  <si>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</si>
  <si>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</si>
  <si>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</si>
  <si>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</si>
  <si>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</si>
  <si>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</si>
  <si>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</si>
  <si>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</si>
  <si>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</si>
  <si>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</si>
  <si>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</si>
  <si>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</si>
  <si>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</si>
  <si>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</si>
  <si>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</si>
  <si>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</si>
  <si>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</si>
  <si>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</si>
  <si>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</si>
  <si>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</si>
  <si>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</si>
  <si>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</si>
  <si>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</si>
  <si>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</si>
  <si>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</si>
  <si>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</si>
  <si>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</si>
  <si>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</si>
  <si>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</si>
  <si>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</si>
  <si>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</si>
  <si>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</si>
  <si>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</si>
  <si>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</si>
  <si>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</si>
  <si>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</si>
  <si>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</si>
  <si>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</si>
  <si>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</si>
  <si>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</si>
  <si>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</si>
  <si>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</si>
  <si>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</si>
  <si>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</si>
  <si>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</si>
  <si>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</si>
  <si>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</si>
  <si>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</si>
  <si>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</si>
  <si>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</si>
  <si>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</si>
  <si>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</si>
  <si>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</si>
  <si>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</si>
  <si>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</si>
  <si>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</si>
  <si>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</si>
  <si>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</si>
  <si>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</si>
  <si>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</si>
  <si>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</si>
  <si>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</si>
  <si>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</si>
  <si>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</si>
  <si>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</si>
  <si>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</si>
  <si>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</si>
  <si>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</si>
  <si>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</si>
  <si>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</si>
  <si>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</si>
  <si>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</si>
  <si>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</si>
  <si>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</si>
  <si>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</si>
  <si>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</si>
  <si>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</si>
  <si>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</si>
  <si>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</si>
  <si>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</si>
  <si>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</si>
  <si>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</si>
  <si>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</si>
  <si>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</si>
  <si>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</si>
  <si>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</si>
  <si>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</si>
  <si>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</si>
  <si>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</si>
  <si>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</si>
  <si>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</si>
  <si>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</si>
  <si>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</si>
  <si>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</si>
  <si>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</si>
  <si>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</si>
  <si>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</si>
  <si>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</si>
  <si>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</si>
  <si>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</si>
  <si>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</si>
  <si>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</si>
  <si>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</si>
  <si>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</si>
  <si>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</si>
  <si>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</si>
  <si>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</si>
  <si>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</si>
  <si>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</si>
  <si>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</si>
  <si>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</si>
  <si>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</si>
  <si>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</si>
  <si>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</si>
  <si>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</si>
  <si>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</si>
  <si>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</si>
  <si>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</si>
  <si>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</si>
  <si>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</si>
  <si>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</si>
  <si>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</si>
  <si>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</si>
  <si>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</si>
  <si>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</si>
  <si>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</si>
  <si>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</si>
  <si>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</si>
  <si>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</si>
  <si>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</si>
  <si>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</si>
  <si>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</si>
  <si>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</si>
  <si>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</si>
  <si>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</si>
  <si>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</si>
  <si>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</si>
  <si>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</si>
  <si>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</si>
  <si>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</si>
  <si>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</si>
  <si>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</si>
  <si>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</si>
  <si>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</si>
  <si>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</si>
  <si>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</si>
  <si>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</si>
  <si>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</si>
  <si>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</si>
  <si>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</si>
  <si>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</si>
  <si>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</si>
  <si>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</si>
  <si>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</si>
  <si>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</si>
  <si>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</si>
  <si>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</si>
  <si>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</si>
  <si>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</si>
  <si>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</si>
  <si>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</si>
  <si>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</si>
  <si>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</si>
  <si>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</si>
  <si>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</si>
  <si>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</si>
  <si>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</si>
  <si>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</si>
  <si>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</si>
  <si>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</si>
  <si>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</si>
  <si>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</si>
  <si>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</si>
  <si>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</si>
  <si>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</si>
  <si>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</si>
  <si>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</si>
  <si>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</si>
  <si>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</si>
  <si>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</si>
  <si>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</si>
  <si>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</si>
  <si>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</si>
  <si>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</si>
  <si>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</si>
  <si>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</si>
  <si>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</si>
  <si>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</si>
  <si>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</si>
  <si>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Package must match com.sportpiq.app exactly or tokens register to the wrong app</t>
  </si>
  <si>
    <t>Development build + verify push on a real device</t>
  </si>
  <si>
    <t>The only way to prove delivery; Expo Go on Android cannot receive push</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</si>
  <si>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</si>
  <si>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</si>
  <si>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</si>
  <si>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</si>
  <si>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</si>
  <si>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</si>
  <si>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</si>
  <si>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</si>
  <si>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</si>
  <si>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</si>
  <si>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</si>
  <si>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</si>
  <si>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</si>
  <si>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Last untested link: Profile -&gt; enable notifications -&gt; PUT /user/push-token 204</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</si>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</sst>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58"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s>
  <fills count="54">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s>
  <borders count="16">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17">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2" fillId="3" borderId="14" xfId="0" applyFont="1" applyFill="1" applyBorder="1" applyAlignment="1">
      <alignment horizontal="left" vertical="center"/>
    </xf>
    <xf numFmtId="0" fontId="0" fillId="0" borderId="2" xfId="0" applyBorder="1"/>
    <xf numFmtId="0" fontId="0" fillId="0" borderId="3" xfId="0" applyBorder="1"/>
    <xf numFmtId="0" fontId="1" fillId="2" borderId="14"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4"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7"/>
  <sheetViews>
    <sheetView tabSelected="1" workbookViewId="0">
      <pane xSplit="7" ySplit="4" topLeftCell="H5" activePane="bottomRight" state="frozen"/>
      <selection pane="topRight"/>
      <selection pane="bottomLeft"/>
      <selection pane="bottomRight" sqref="A1:Q1"/>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192" t="s">
        <v>0</v>
      </c>
      <c r="B1" s="190"/>
      <c r="C1" s="190"/>
      <c r="D1" s="190"/>
      <c r="E1" s="190"/>
      <c r="F1" s="190"/>
      <c r="G1" s="190"/>
      <c r="H1" s="190"/>
      <c r="I1" s="190"/>
      <c r="J1" s="190"/>
      <c r="K1" s="190"/>
      <c r="L1" s="190"/>
      <c r="M1" s="190"/>
      <c r="N1" s="190"/>
      <c r="O1" s="190"/>
      <c r="P1" s="190"/>
      <c r="Q1" s="191"/>
    </row>
    <row r="2" spans="1:18" ht="18" customHeight="1" x14ac:dyDescent="0.55000000000000004">
      <c r="A2" s="189" t="s">
        <v>1</v>
      </c>
      <c r="B2" s="190"/>
      <c r="C2" s="190"/>
      <c r="D2" s="190"/>
      <c r="E2" s="190"/>
      <c r="F2" s="190"/>
      <c r="G2" s="190"/>
      <c r="H2" s="190"/>
      <c r="I2" s="190"/>
      <c r="J2" s="190"/>
      <c r="K2" s="190"/>
      <c r="L2" s="190"/>
      <c r="M2" s="190"/>
      <c r="N2" s="190"/>
      <c r="O2" s="190"/>
      <c r="P2" s="190"/>
      <c r="Q2" s="191"/>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35"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1" spans="1:18" x14ac:dyDescent="0.55000000000000004">
      <c r="A121" s="108" t="s">
        <v>162</v>
      </c>
      <c r="B121" s="109" t="s">
        <v>275</v>
      </c>
      <c r="C121" s="110" t="s">
        <v>22</v>
      </c>
      <c r="D121" s="111" t="s">
        <v>85</v>
      </c>
      <c r="E121" s="112">
        <v>46238</v>
      </c>
      <c r="F121" s="112">
        <v>46238</v>
      </c>
      <c r="G121" s="113" t="s">
        <v>276</v>
      </c>
      <c r="H121" s="109"/>
      <c r="I121" s="114"/>
      <c r="J121" s="109"/>
      <c r="K121" s="109"/>
      <c r="L121" s="109"/>
      <c r="M121" s="109"/>
      <c r="N121" s="109"/>
      <c r="O121" s="109"/>
      <c r="P121" s="109"/>
      <c r="Q121" s="109"/>
      <c r="R121" t="str">
        <f t="shared" si="3"/>
        <v>E10 Deploy</v>
      </c>
    </row>
    <row r="122" spans="1:18" x14ac:dyDescent="0.55000000000000004">
      <c r="A122" s="115" t="s">
        <v>162</v>
      </c>
      <c r="B122" s="116" t="s">
        <v>277</v>
      </c>
      <c r="C122" s="110" t="s">
        <v>22</v>
      </c>
      <c r="D122" s="117" t="s">
        <v>85</v>
      </c>
      <c r="E122" s="118">
        <v>46238</v>
      </c>
      <c r="F122" s="118">
        <v>46238</v>
      </c>
      <c r="G122" s="119" t="s">
        <v>278</v>
      </c>
      <c r="H122" s="116"/>
      <c r="I122" s="114"/>
      <c r="J122" s="116"/>
      <c r="K122" s="116"/>
      <c r="L122" s="116"/>
      <c r="M122" s="116"/>
      <c r="N122" s="116"/>
      <c r="O122" s="116"/>
      <c r="P122" s="116"/>
      <c r="Q122" s="116"/>
      <c r="R122" t="str">
        <f t="shared" si="3"/>
        <v>E10 Deploy</v>
      </c>
    </row>
    <row r="123" spans="1:18" x14ac:dyDescent="0.55000000000000004">
      <c r="A123" s="108" t="s">
        <v>162</v>
      </c>
      <c r="B123" s="109" t="s">
        <v>279</v>
      </c>
      <c r="C123" s="120" t="s">
        <v>128</v>
      </c>
      <c r="D123" s="111" t="s">
        <v>85</v>
      </c>
      <c r="E123" s="112">
        <v>46239</v>
      </c>
      <c r="F123" s="112">
        <v>46239</v>
      </c>
      <c r="G123" s="113" t="s">
        <v>280</v>
      </c>
      <c r="H123" s="109"/>
      <c r="I123" s="121"/>
      <c r="J123" s="109"/>
      <c r="K123" s="109"/>
      <c r="L123" s="109"/>
      <c r="M123" s="109"/>
      <c r="N123" s="109"/>
      <c r="O123" s="109"/>
      <c r="P123" s="109"/>
      <c r="Q123" s="109"/>
      <c r="R123" t="str">
        <f t="shared" si="3"/>
        <v>E10 Deploy</v>
      </c>
    </row>
    <row r="124" spans="1:18" x14ac:dyDescent="0.55000000000000004">
      <c r="A124" s="115" t="s">
        <v>162</v>
      </c>
      <c r="B124" s="116" t="s">
        <v>281</v>
      </c>
      <c r="C124" s="120" t="s">
        <v>128</v>
      </c>
      <c r="D124" s="117" t="s">
        <v>85</v>
      </c>
      <c r="E124" s="118">
        <v>46239</v>
      </c>
      <c r="F124" s="118">
        <v>46240</v>
      </c>
      <c r="G124" s="119" t="s">
        <v>282</v>
      </c>
      <c r="H124" s="116"/>
      <c r="I124" s="121"/>
      <c r="J124" s="116"/>
      <c r="K124" s="116"/>
      <c r="L124" s="116"/>
      <c r="M124" s="116"/>
      <c r="N124" s="116"/>
      <c r="O124" s="116"/>
      <c r="P124" s="116"/>
      <c r="Q124" s="116"/>
      <c r="R124" t="str">
        <f t="shared" si="3"/>
        <v>E10 Deploy</v>
      </c>
    </row>
    <row r="125" spans="1:18" x14ac:dyDescent="0.55000000000000004">
      <c r="A125" s="126" t="s">
        <v>162</v>
      </c>
      <c r="B125" s="127" t="s">
        <v>283</v>
      </c>
      <c r="C125" s="128" t="s">
        <v>22</v>
      </c>
      <c r="D125" s="129" t="s">
        <v>85</v>
      </c>
      <c r="E125" s="130">
        <v>46238</v>
      </c>
      <c r="F125" s="130">
        <v>46238</v>
      </c>
      <c r="G125" s="131" t="s">
        <v>284</v>
      </c>
      <c r="H125" s="127"/>
      <c r="I125" s="132"/>
      <c r="J125" s="127"/>
      <c r="K125" s="127"/>
      <c r="L125" s="127"/>
      <c r="M125" s="127"/>
      <c r="N125" s="127"/>
      <c r="O125" s="127"/>
      <c r="P125" s="127"/>
      <c r="Q125" s="127"/>
      <c r="R125" t="str">
        <f t="shared" si="3"/>
        <v>E10 Deploy</v>
      </c>
    </row>
    <row r="126" spans="1:18" x14ac:dyDescent="0.55000000000000004">
      <c r="A126" s="133" t="s">
        <v>162</v>
      </c>
      <c r="B126" s="134" t="s">
        <v>285</v>
      </c>
      <c r="C126" s="135" t="s">
        <v>128</v>
      </c>
      <c r="D126" s="136" t="s">
        <v>85</v>
      </c>
      <c r="E126" s="137">
        <v>46239</v>
      </c>
      <c r="F126" s="137">
        <v>46239</v>
      </c>
      <c r="G126" s="138" t="s">
        <v>286</v>
      </c>
      <c r="H126" s="134"/>
      <c r="I126" s="139"/>
      <c r="J126" s="134"/>
      <c r="K126" s="134"/>
      <c r="L126" s="134"/>
      <c r="M126" s="134"/>
      <c r="N126" s="134"/>
      <c r="O126" s="134"/>
      <c r="P126" s="134"/>
      <c r="Q126" s="134"/>
      <c r="R126" t="str">
        <f t="shared" si="3"/>
        <v>E10 Deploy</v>
      </c>
    </row>
    <row r="127" spans="1:18" x14ac:dyDescent="0.55000000000000004">
      <c r="A127" s="140" t="s">
        <v>83</v>
      </c>
      <c r="B127" s="141" t="s">
        <v>287</v>
      </c>
      <c r="C127" s="142" t="s">
        <v>136</v>
      </c>
      <c r="D127" s="143" t="s">
        <v>85</v>
      </c>
      <c r="E127" s="144">
        <v>46239</v>
      </c>
      <c r="F127" s="144">
        <v>46239</v>
      </c>
      <c r="G127" s="145" t="s">
        <v>288</v>
      </c>
      <c r="H127" s="141"/>
      <c r="I127" s="146"/>
      <c r="J127" s="141"/>
      <c r="K127" s="141"/>
      <c r="L127" s="141"/>
      <c r="M127" s="141"/>
      <c r="N127" s="141"/>
      <c r="O127" s="141"/>
      <c r="P127" s="141"/>
      <c r="Q127" s="141"/>
      <c r="R127" t="str">
        <f t="shared" si="3"/>
        <v>E7 Mobile</v>
      </c>
    </row>
    <row r="128" spans="1:18" x14ac:dyDescent="0.55000000000000004">
      <c r="A128" s="147" t="s">
        <v>83</v>
      </c>
      <c r="B128" s="148" t="s">
        <v>289</v>
      </c>
      <c r="C128" s="149" t="s">
        <v>22</v>
      </c>
      <c r="D128" s="150" t="s">
        <v>85</v>
      </c>
      <c r="E128" s="151">
        <v>46239</v>
      </c>
      <c r="F128" s="151">
        <v>46239</v>
      </c>
      <c r="G128" s="152" t="s">
        <v>290</v>
      </c>
      <c r="H128" s="148"/>
      <c r="I128" s="153"/>
      <c r="J128" s="148"/>
      <c r="K128" s="148"/>
      <c r="L128" s="148"/>
      <c r="M128" s="148"/>
      <c r="N128" s="148"/>
      <c r="O128" s="148"/>
      <c r="P128" s="148"/>
      <c r="Q128" s="148"/>
      <c r="R128" t="str">
        <f t="shared" si="3"/>
        <v>E7 Mobile</v>
      </c>
    </row>
    <row r="129" spans="1:18" x14ac:dyDescent="0.55000000000000004">
      <c r="A129" s="140" t="s">
        <v>83</v>
      </c>
      <c r="B129" s="141" t="s">
        <v>291</v>
      </c>
      <c r="C129" s="149" t="s">
        <v>22</v>
      </c>
      <c r="D129" s="143" t="s">
        <v>85</v>
      </c>
      <c r="E129" s="144">
        <v>46239</v>
      </c>
      <c r="F129" s="144">
        <v>46239</v>
      </c>
      <c r="G129" s="145" t="s">
        <v>292</v>
      </c>
      <c r="H129" s="141"/>
      <c r="I129" s="153"/>
      <c r="J129" s="141"/>
      <c r="K129" s="141"/>
      <c r="L129" s="141"/>
      <c r="M129" s="141"/>
      <c r="N129" s="141"/>
      <c r="O129" s="141"/>
      <c r="P129" s="141"/>
      <c r="Q129" s="141"/>
      <c r="R129" t="str">
        <f t="shared" si="3"/>
        <v>E7 Mobile</v>
      </c>
    </row>
    <row r="130" spans="1:18" x14ac:dyDescent="0.55000000000000004">
      <c r="A130" s="147" t="s">
        <v>191</v>
      </c>
      <c r="B130" s="148" t="s">
        <v>293</v>
      </c>
      <c r="C130" s="149" t="s">
        <v>22</v>
      </c>
      <c r="D130" s="150" t="s">
        <v>75</v>
      </c>
      <c r="E130" s="151">
        <v>46239</v>
      </c>
      <c r="F130" s="151">
        <v>46239</v>
      </c>
      <c r="G130" s="152" t="s">
        <v>294</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295</v>
      </c>
      <c r="C131" s="154" t="s">
        <v>128</v>
      </c>
      <c r="D131" s="143" t="s">
        <v>85</v>
      </c>
      <c r="E131" s="144">
        <v>46239</v>
      </c>
      <c r="F131" s="144">
        <v>46239</v>
      </c>
      <c r="G131" s="145" t="s">
        <v>296</v>
      </c>
      <c r="H131" s="141"/>
      <c r="I131" s="155"/>
      <c r="J131" s="141"/>
      <c r="K131" s="141"/>
      <c r="L131" s="141"/>
      <c r="M131" s="141"/>
      <c r="N131" s="141"/>
      <c r="O131" s="141"/>
      <c r="P131" s="141"/>
      <c r="Q131" s="141"/>
      <c r="R131" t="str">
        <f t="shared" si="3"/>
        <v>E7 Mobile</v>
      </c>
    </row>
    <row r="132" spans="1:18" x14ac:dyDescent="0.55000000000000004">
      <c r="A132" s="147" t="s">
        <v>83</v>
      </c>
      <c r="B132" s="148" t="s">
        <v>297</v>
      </c>
      <c r="C132" s="154" t="s">
        <v>128</v>
      </c>
      <c r="D132" s="150" t="s">
        <v>85</v>
      </c>
      <c r="E132" s="151">
        <v>46240</v>
      </c>
      <c r="F132" s="151">
        <v>46240</v>
      </c>
      <c r="G132" s="152" t="s">
        <v>298</v>
      </c>
      <c r="H132" s="148"/>
      <c r="I132" s="155"/>
      <c r="J132" s="148"/>
      <c r="K132" s="148"/>
      <c r="L132" s="148"/>
      <c r="M132" s="148"/>
      <c r="N132" s="148"/>
      <c r="O132" s="148"/>
      <c r="P132" s="148"/>
      <c r="Q132" s="148"/>
      <c r="R132" t="str">
        <f t="shared" si="3"/>
        <v>E7 Mobile</v>
      </c>
    </row>
    <row r="133" spans="1:18" x14ac:dyDescent="0.55000000000000004">
      <c r="A133" s="160" t="s">
        <v>130</v>
      </c>
      <c r="B133" s="161" t="s">
        <v>299</v>
      </c>
      <c r="C133" s="162" t="s">
        <v>22</v>
      </c>
      <c r="D133" s="163" t="s">
        <v>33</v>
      </c>
      <c r="E133" s="164">
        <v>46239</v>
      </c>
      <c r="F133" s="164">
        <v>46239</v>
      </c>
      <c r="G133" s="165" t="s">
        <v>300</v>
      </c>
      <c r="H133" s="161"/>
      <c r="I133" s="166"/>
      <c r="J133" s="161"/>
      <c r="K133" s="161"/>
      <c r="L133" s="161"/>
      <c r="M133" s="161"/>
      <c r="N133" s="161"/>
      <c r="O133" s="161"/>
      <c r="P133" s="161"/>
      <c r="Q133" s="161"/>
      <c r="R133" t="str">
        <f t="shared" si="3"/>
        <v>E9 Data Ops</v>
      </c>
    </row>
    <row r="134" spans="1:18" x14ac:dyDescent="0.55000000000000004">
      <c r="A134" s="167" t="s">
        <v>130</v>
      </c>
      <c r="B134" s="168" t="s">
        <v>301</v>
      </c>
      <c r="C134" s="162" t="s">
        <v>22</v>
      </c>
      <c r="D134" s="169" t="s">
        <v>33</v>
      </c>
      <c r="E134" s="170">
        <v>46239</v>
      </c>
      <c r="F134" s="170">
        <v>46239</v>
      </c>
      <c r="G134" s="171" t="s">
        <v>302</v>
      </c>
      <c r="H134" s="168"/>
      <c r="I134" s="166"/>
      <c r="J134" s="168"/>
      <c r="K134" s="168"/>
      <c r="L134" s="168"/>
      <c r="M134" s="168"/>
      <c r="N134" s="168"/>
      <c r="O134" s="168"/>
      <c r="P134" s="168"/>
      <c r="Q134" s="168"/>
      <c r="R134" t="str">
        <f t="shared" si="3"/>
        <v>E9 Data Ops</v>
      </c>
    </row>
    <row r="135" spans="1:18" x14ac:dyDescent="0.55000000000000004">
      <c r="A135" s="179" t="s">
        <v>130</v>
      </c>
      <c r="B135" s="180" t="s">
        <v>303</v>
      </c>
      <c r="C135" s="181" t="s">
        <v>128</v>
      </c>
      <c r="D135" s="182" t="s">
        <v>33</v>
      </c>
      <c r="E135" s="183">
        <v>46255</v>
      </c>
      <c r="F135" s="183">
        <v>46255</v>
      </c>
      <c r="G135" s="184" t="s">
        <v>304</v>
      </c>
      <c r="H135" s="180"/>
      <c r="I135" s="180"/>
      <c r="J135" s="180"/>
      <c r="K135" s="185"/>
      <c r="L135" s="180"/>
      <c r="M135" s="180"/>
      <c r="N135" s="180"/>
      <c r="O135" s="180"/>
      <c r="P135" s="180"/>
      <c r="Q135" s="180"/>
      <c r="R135" t="str">
        <f t="shared" si="3"/>
        <v>E9 Data Ops</v>
      </c>
    </row>
    <row r="137" spans="1:18" x14ac:dyDescent="0.55000000000000004">
      <c r="A137" s="25" t="s">
        <v>305</v>
      </c>
      <c r="B137" s="5" t="s">
        <v>22</v>
      </c>
      <c r="C137" s="17" t="s">
        <v>231</v>
      </c>
      <c r="D137" s="19" t="s">
        <v>128</v>
      </c>
      <c r="E137" s="23" t="s">
        <v>145</v>
      </c>
      <c r="F137"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workbookViewId="0">
      <pane ySplit="3" topLeftCell="A4" activePane="bottomLeft" state="frozen"/>
      <selection pane="bottomLeft"/>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08" t="s">
        <v>306</v>
      </c>
      <c r="B1" s="198"/>
      <c r="C1" s="198"/>
      <c r="D1" s="198"/>
      <c r="E1" s="198"/>
      <c r="F1" s="198"/>
      <c r="G1" s="198"/>
      <c r="H1" s="198"/>
      <c r="I1" s="198"/>
      <c r="J1" s="198"/>
      <c r="K1" s="198"/>
      <c r="L1" s="198"/>
      <c r="M1" s="198"/>
      <c r="N1" s="198"/>
      <c r="O1" s="198"/>
      <c r="P1" s="198"/>
      <c r="Q1" s="198"/>
      <c r="R1" s="198"/>
      <c r="S1" s="198"/>
    </row>
    <row r="2" spans="1:19" ht="18" customHeight="1" x14ac:dyDescent="0.55000000000000004">
      <c r="A2" s="215" t="s">
        <v>307</v>
      </c>
      <c r="B2" s="198"/>
      <c r="C2" s="198"/>
      <c r="D2" s="198"/>
      <c r="E2" s="198"/>
      <c r="F2" s="198"/>
      <c r="G2" s="198"/>
      <c r="H2" s="198"/>
      <c r="I2" s="198"/>
      <c r="J2" s="198"/>
      <c r="K2" s="198"/>
      <c r="L2" s="198"/>
      <c r="M2" s="198"/>
      <c r="N2" s="198"/>
      <c r="O2" s="198"/>
      <c r="P2" s="198"/>
      <c r="Q2" s="198"/>
      <c r="R2" s="198"/>
      <c r="S2" s="198"/>
    </row>
    <row r="4" spans="1:19" ht="20.05" customHeight="1" x14ac:dyDescent="0.55000000000000004">
      <c r="A4" s="203" t="s">
        <v>308</v>
      </c>
      <c r="B4" s="198"/>
      <c r="C4" s="198"/>
      <c r="D4" s="198"/>
      <c r="E4" s="198"/>
      <c r="F4" s="198"/>
      <c r="G4" s="198"/>
      <c r="H4" s="198"/>
      <c r="I4" s="198"/>
      <c r="J4" s="198"/>
      <c r="K4" s="198"/>
      <c r="L4" s="198"/>
      <c r="M4" s="198"/>
      <c r="N4" s="198"/>
      <c r="O4" s="198"/>
      <c r="P4" s="198"/>
      <c r="Q4" s="198"/>
      <c r="R4" s="198"/>
      <c r="S4" s="198"/>
    </row>
    <row r="5" spans="1:19" ht="52" customHeight="1" x14ac:dyDescent="0.55000000000000004">
      <c r="A5" s="37" t="s">
        <v>309</v>
      </c>
      <c r="B5" s="193" t="s">
        <v>310</v>
      </c>
      <c r="C5" s="194"/>
      <c r="D5" s="195"/>
      <c r="E5" s="196" t="s">
        <v>311</v>
      </c>
      <c r="F5" s="194"/>
      <c r="G5" s="195"/>
      <c r="H5" s="196" t="s">
        <v>312</v>
      </c>
      <c r="I5" s="194"/>
      <c r="J5" s="195"/>
      <c r="K5" s="193" t="s">
        <v>313</v>
      </c>
      <c r="L5" s="194"/>
      <c r="M5" s="195"/>
      <c r="N5" s="200" t="s">
        <v>314</v>
      </c>
      <c r="O5" s="194"/>
      <c r="P5" s="195"/>
      <c r="Q5" s="200" t="s">
        <v>315</v>
      </c>
      <c r="R5" s="194"/>
      <c r="S5" s="195"/>
    </row>
    <row r="6" spans="1:19" ht="15" customHeight="1" x14ac:dyDescent="0.55000000000000004">
      <c r="B6" s="197" t="s">
        <v>316</v>
      </c>
      <c r="C6" s="198"/>
      <c r="D6" s="198"/>
      <c r="E6" s="198"/>
      <c r="F6" s="198"/>
      <c r="G6" s="198"/>
      <c r="H6" s="198"/>
      <c r="I6" s="198"/>
      <c r="J6" s="198"/>
      <c r="K6" s="198"/>
      <c r="L6" s="198"/>
      <c r="M6" s="198"/>
      <c r="N6" s="198"/>
      <c r="O6" s="198"/>
      <c r="P6" s="198"/>
      <c r="Q6" s="198"/>
      <c r="R6" s="198"/>
      <c r="S6" s="198"/>
    </row>
    <row r="7" spans="1:19" ht="20.05" customHeight="1" x14ac:dyDescent="0.55000000000000004">
      <c r="A7" s="203" t="s">
        <v>317</v>
      </c>
      <c r="B7" s="198"/>
      <c r="C7" s="198"/>
      <c r="D7" s="198"/>
      <c r="E7" s="198"/>
      <c r="F7" s="198"/>
      <c r="G7" s="198"/>
      <c r="H7" s="198"/>
      <c r="I7" s="198"/>
      <c r="J7" s="198"/>
      <c r="K7" s="198"/>
      <c r="L7" s="198"/>
      <c r="M7" s="198"/>
      <c r="N7" s="198"/>
      <c r="O7" s="198"/>
      <c r="P7" s="198"/>
      <c r="Q7" s="198"/>
      <c r="R7" s="198"/>
      <c r="S7" s="198"/>
    </row>
    <row r="8" spans="1:19" ht="46" customHeight="1" x14ac:dyDescent="0.55000000000000004">
      <c r="A8" s="37" t="s">
        <v>318</v>
      </c>
      <c r="B8" s="206" t="s">
        <v>319</v>
      </c>
      <c r="C8" s="194"/>
      <c r="D8" s="194"/>
      <c r="E8" s="194"/>
      <c r="F8" s="194"/>
      <c r="G8" s="194"/>
      <c r="H8" s="194"/>
      <c r="I8" s="194"/>
      <c r="J8" s="195"/>
      <c r="K8" s="206" t="s">
        <v>320</v>
      </c>
      <c r="L8" s="194"/>
      <c r="M8" s="194"/>
      <c r="N8" s="194"/>
      <c r="O8" s="194"/>
      <c r="P8" s="194"/>
      <c r="Q8" s="194"/>
      <c r="R8" s="194"/>
      <c r="S8" s="195"/>
    </row>
    <row r="9" spans="1:19" ht="15" customHeight="1" x14ac:dyDescent="0.55000000000000004">
      <c r="B9" s="197" t="s">
        <v>316</v>
      </c>
      <c r="C9" s="198"/>
      <c r="D9" s="198"/>
      <c r="E9" s="198"/>
      <c r="F9" s="198"/>
      <c r="G9" s="198"/>
      <c r="H9" s="198"/>
      <c r="I9" s="198"/>
      <c r="J9" s="198"/>
      <c r="K9" s="198"/>
      <c r="L9" s="198"/>
      <c r="M9" s="198"/>
      <c r="N9" s="198"/>
      <c r="O9" s="198"/>
      <c r="P9" s="198"/>
      <c r="Q9" s="198"/>
      <c r="R9" s="198"/>
      <c r="S9" s="198"/>
    </row>
    <row r="10" spans="1:19" ht="20.05" customHeight="1" x14ac:dyDescent="0.55000000000000004">
      <c r="A10" s="203" t="s">
        <v>321</v>
      </c>
      <c r="B10" s="198"/>
      <c r="C10" s="198"/>
      <c r="D10" s="198"/>
      <c r="E10" s="198"/>
      <c r="F10" s="198"/>
      <c r="G10" s="198"/>
      <c r="H10" s="198"/>
      <c r="I10" s="198"/>
      <c r="J10" s="198"/>
      <c r="K10" s="198"/>
      <c r="L10" s="198"/>
      <c r="M10" s="198"/>
      <c r="N10" s="198"/>
      <c r="O10" s="198"/>
      <c r="P10" s="198"/>
      <c r="Q10" s="198"/>
      <c r="R10" s="198"/>
      <c r="S10" s="198"/>
    </row>
    <row r="11" spans="1:19" ht="54" customHeight="1" x14ac:dyDescent="0.55000000000000004">
      <c r="A11" s="37" t="s">
        <v>322</v>
      </c>
      <c r="B11" s="193" t="s">
        <v>323</v>
      </c>
      <c r="C11" s="194"/>
      <c r="D11" s="195"/>
      <c r="E11" s="193" t="s">
        <v>324</v>
      </c>
      <c r="F11" s="194"/>
      <c r="G11" s="195"/>
      <c r="H11" s="193" t="s">
        <v>325</v>
      </c>
      <c r="I11" s="194"/>
      <c r="J11" s="195"/>
      <c r="K11" s="196" t="s">
        <v>326</v>
      </c>
      <c r="L11" s="194"/>
      <c r="M11" s="195"/>
      <c r="N11" s="193" t="s">
        <v>327</v>
      </c>
      <c r="O11" s="194"/>
      <c r="P11" s="195"/>
      <c r="Q11" s="193" t="s">
        <v>328</v>
      </c>
      <c r="R11" s="194"/>
      <c r="S11" s="195"/>
    </row>
    <row r="12" spans="1:19" ht="15" customHeight="1" x14ac:dyDescent="0.55000000000000004">
      <c r="B12" s="197" t="s">
        <v>316</v>
      </c>
      <c r="C12" s="198"/>
      <c r="D12" s="198"/>
      <c r="E12" s="198"/>
      <c r="F12" s="198"/>
      <c r="G12" s="198"/>
      <c r="H12" s="198"/>
      <c r="I12" s="198"/>
      <c r="J12" s="198"/>
      <c r="K12" s="198"/>
      <c r="L12" s="198"/>
      <c r="M12" s="198"/>
      <c r="N12" s="198"/>
      <c r="O12" s="198"/>
      <c r="P12" s="198"/>
      <c r="Q12" s="198"/>
      <c r="R12" s="198"/>
      <c r="S12" s="198"/>
    </row>
    <row r="13" spans="1:19" ht="20.05" customHeight="1" x14ac:dyDescent="0.55000000000000004">
      <c r="A13" s="203" t="s">
        <v>329</v>
      </c>
      <c r="B13" s="198"/>
      <c r="C13" s="198"/>
      <c r="D13" s="198"/>
      <c r="E13" s="198"/>
      <c r="F13" s="198"/>
      <c r="G13" s="198"/>
      <c r="H13" s="198"/>
      <c r="I13" s="198"/>
      <c r="J13" s="198"/>
      <c r="K13" s="198"/>
      <c r="L13" s="198"/>
      <c r="M13" s="198"/>
      <c r="N13" s="198"/>
      <c r="O13" s="198"/>
      <c r="P13" s="198"/>
      <c r="Q13" s="198"/>
      <c r="R13" s="198"/>
      <c r="S13" s="198"/>
    </row>
    <row r="14" spans="1:19" ht="52" customHeight="1" x14ac:dyDescent="0.55000000000000004">
      <c r="A14" s="37" t="s">
        <v>330</v>
      </c>
      <c r="B14" s="201" t="s">
        <v>331</v>
      </c>
      <c r="C14" s="194"/>
      <c r="D14" s="194"/>
      <c r="E14" s="194"/>
      <c r="F14" s="194"/>
      <c r="G14" s="195"/>
      <c r="H14" s="201" t="s">
        <v>332</v>
      </c>
      <c r="I14" s="194"/>
      <c r="J14" s="194"/>
      <c r="K14" s="194"/>
      <c r="L14" s="194"/>
      <c r="M14" s="195"/>
      <c r="N14" s="201" t="s">
        <v>333</v>
      </c>
      <c r="O14" s="194"/>
      <c r="P14" s="195"/>
      <c r="Q14" s="196" t="s">
        <v>334</v>
      </c>
      <c r="R14" s="194"/>
      <c r="S14" s="195"/>
    </row>
    <row r="15" spans="1:19" ht="15" customHeight="1" x14ac:dyDescent="0.55000000000000004">
      <c r="B15" s="197" t="s">
        <v>335</v>
      </c>
      <c r="C15" s="198"/>
      <c r="D15" s="198"/>
      <c r="E15" s="198"/>
      <c r="F15" s="198"/>
      <c r="G15" s="198"/>
      <c r="H15" s="198"/>
      <c r="I15" s="198"/>
      <c r="J15" s="198"/>
      <c r="K15" s="198"/>
      <c r="L15" s="198"/>
      <c r="M15" s="198"/>
      <c r="N15" s="198"/>
      <c r="O15" s="198"/>
      <c r="P15" s="198"/>
      <c r="Q15" s="198"/>
      <c r="R15" s="198"/>
      <c r="S15" s="198"/>
    </row>
    <row r="16" spans="1:19" ht="20.05" customHeight="1" x14ac:dyDescent="0.55000000000000004">
      <c r="A16" s="203" t="s">
        <v>336</v>
      </c>
      <c r="B16" s="198"/>
      <c r="C16" s="198"/>
      <c r="D16" s="198"/>
      <c r="E16" s="198"/>
      <c r="F16" s="198"/>
      <c r="G16" s="198"/>
      <c r="H16" s="198"/>
      <c r="I16" s="198"/>
      <c r="J16" s="198"/>
      <c r="K16" s="198"/>
      <c r="L16" s="198"/>
      <c r="M16" s="198"/>
      <c r="N16" s="198"/>
      <c r="O16" s="198"/>
      <c r="P16" s="198"/>
      <c r="Q16" s="198"/>
      <c r="R16" s="198"/>
      <c r="S16" s="198"/>
    </row>
    <row r="17" spans="1:19" ht="54" customHeight="1" x14ac:dyDescent="0.55000000000000004">
      <c r="A17" s="37" t="s">
        <v>337</v>
      </c>
      <c r="B17" s="202" t="s">
        <v>338</v>
      </c>
      <c r="C17" s="194"/>
      <c r="D17" s="194"/>
      <c r="E17" s="194"/>
      <c r="F17" s="194"/>
      <c r="G17" s="195"/>
      <c r="H17" s="202" t="s">
        <v>339</v>
      </c>
      <c r="I17" s="194"/>
      <c r="J17" s="195"/>
      <c r="K17" s="202" t="s">
        <v>340</v>
      </c>
      <c r="L17" s="194"/>
      <c r="M17" s="195"/>
      <c r="N17" s="202" t="s">
        <v>341</v>
      </c>
      <c r="O17" s="194"/>
      <c r="P17" s="195"/>
      <c r="Q17" s="202" t="s">
        <v>342</v>
      </c>
      <c r="R17" s="194"/>
      <c r="S17" s="195"/>
    </row>
    <row r="18" spans="1:19" ht="15" customHeight="1" x14ac:dyDescent="0.55000000000000004">
      <c r="B18" s="197" t="s">
        <v>316</v>
      </c>
      <c r="C18" s="198"/>
      <c r="D18" s="198"/>
      <c r="E18" s="198"/>
      <c r="F18" s="198"/>
      <c r="G18" s="198"/>
      <c r="H18" s="198"/>
      <c r="I18" s="198"/>
      <c r="J18" s="198"/>
      <c r="K18" s="198"/>
      <c r="L18" s="198"/>
      <c r="M18" s="198"/>
      <c r="N18" s="198"/>
      <c r="O18" s="198"/>
      <c r="P18" s="198"/>
      <c r="Q18" s="198"/>
      <c r="R18" s="198"/>
      <c r="S18" s="198"/>
    </row>
    <row r="19" spans="1:19" ht="20.05" customHeight="1" x14ac:dyDescent="0.55000000000000004">
      <c r="A19" s="203" t="s">
        <v>343</v>
      </c>
      <c r="B19" s="198"/>
      <c r="C19" s="198"/>
      <c r="D19" s="198"/>
      <c r="E19" s="198"/>
      <c r="F19" s="198"/>
      <c r="G19" s="198"/>
      <c r="H19" s="198"/>
      <c r="I19" s="198"/>
      <c r="J19" s="198"/>
      <c r="K19" s="198"/>
      <c r="L19" s="198"/>
      <c r="M19" s="198"/>
      <c r="N19" s="198"/>
      <c r="O19" s="198"/>
      <c r="P19" s="198"/>
      <c r="Q19" s="198"/>
      <c r="R19" s="198"/>
      <c r="S19" s="198"/>
    </row>
    <row r="20" spans="1:19" ht="46" customHeight="1" x14ac:dyDescent="0.55000000000000004">
      <c r="A20" s="37" t="s">
        <v>344</v>
      </c>
      <c r="B20" s="204" t="s">
        <v>345</v>
      </c>
      <c r="C20" s="194"/>
      <c r="D20" s="194"/>
      <c r="E20" s="194"/>
      <c r="F20" s="194"/>
      <c r="G20" s="195"/>
      <c r="H20" s="204" t="s">
        <v>346</v>
      </c>
      <c r="I20" s="194"/>
      <c r="J20" s="194"/>
      <c r="K20" s="194"/>
      <c r="L20" s="194"/>
      <c r="M20" s="195"/>
      <c r="N20" s="204" t="s">
        <v>347</v>
      </c>
      <c r="O20" s="194"/>
      <c r="P20" s="194"/>
      <c r="Q20" s="194"/>
      <c r="R20" s="194"/>
      <c r="S20" s="195"/>
    </row>
    <row r="21" spans="1:19" ht="15" customHeight="1" x14ac:dyDescent="0.55000000000000004">
      <c r="B21" s="197" t="s">
        <v>316</v>
      </c>
      <c r="C21" s="198"/>
      <c r="D21" s="198"/>
      <c r="E21" s="198"/>
      <c r="F21" s="198"/>
      <c r="G21" s="198"/>
      <c r="H21" s="198"/>
      <c r="I21" s="198"/>
      <c r="J21" s="198"/>
      <c r="K21" s="198"/>
      <c r="L21" s="198"/>
      <c r="M21" s="198"/>
      <c r="N21" s="198"/>
      <c r="O21" s="198"/>
      <c r="P21" s="198"/>
      <c r="Q21" s="198"/>
      <c r="R21" s="198"/>
      <c r="S21" s="198"/>
    </row>
    <row r="22" spans="1:19" ht="20.05" customHeight="1" x14ac:dyDescent="0.55000000000000004">
      <c r="A22" s="203" t="s">
        <v>348</v>
      </c>
      <c r="B22" s="198"/>
      <c r="C22" s="198"/>
      <c r="D22" s="198"/>
      <c r="E22" s="198"/>
      <c r="F22" s="198"/>
      <c r="G22" s="198"/>
      <c r="H22" s="198"/>
      <c r="I22" s="198"/>
      <c r="J22" s="198"/>
      <c r="K22" s="198"/>
      <c r="L22" s="198"/>
      <c r="M22" s="198"/>
      <c r="N22" s="198"/>
      <c r="O22" s="198"/>
      <c r="P22" s="198"/>
      <c r="Q22" s="198"/>
      <c r="R22" s="198"/>
      <c r="S22" s="198"/>
    </row>
    <row r="23" spans="1:19" ht="52" customHeight="1" x14ac:dyDescent="0.55000000000000004">
      <c r="A23" s="37" t="s">
        <v>349</v>
      </c>
      <c r="B23" s="204" t="s">
        <v>350</v>
      </c>
      <c r="C23" s="194"/>
      <c r="D23" s="194"/>
      <c r="E23" s="194"/>
      <c r="F23" s="194"/>
      <c r="G23" s="195"/>
      <c r="H23" s="204" t="s">
        <v>351</v>
      </c>
      <c r="I23" s="194"/>
      <c r="J23" s="195"/>
      <c r="K23" s="204" t="s">
        <v>352</v>
      </c>
      <c r="L23" s="194"/>
      <c r="M23" s="195"/>
      <c r="N23" s="204" t="s">
        <v>353</v>
      </c>
      <c r="O23" s="194"/>
      <c r="P23" s="195"/>
      <c r="Q23" s="200" t="s">
        <v>354</v>
      </c>
      <c r="R23" s="194"/>
      <c r="S23" s="195"/>
    </row>
    <row r="26" spans="1:19" ht="20.05" customHeight="1" x14ac:dyDescent="0.55000000000000004">
      <c r="A26" s="209" t="s">
        <v>355</v>
      </c>
      <c r="B26" s="198"/>
      <c r="C26" s="198"/>
      <c r="D26" s="198"/>
      <c r="E26" s="198"/>
      <c r="F26" s="198"/>
      <c r="G26" s="198"/>
      <c r="H26" s="198"/>
      <c r="I26" s="198"/>
      <c r="J26" s="198"/>
      <c r="K26" s="198"/>
      <c r="L26" s="198"/>
      <c r="M26" s="198"/>
      <c r="N26" s="198"/>
      <c r="O26" s="198"/>
      <c r="P26" s="198"/>
      <c r="Q26" s="198"/>
      <c r="R26" s="198"/>
      <c r="S26" s="198"/>
    </row>
    <row r="27" spans="1:19" ht="52" customHeight="1" x14ac:dyDescent="0.55000000000000004">
      <c r="A27" s="37" t="s">
        <v>356</v>
      </c>
      <c r="B27" s="193" t="s">
        <v>357</v>
      </c>
      <c r="C27" s="194"/>
      <c r="D27" s="195"/>
      <c r="E27" s="193" t="s">
        <v>358</v>
      </c>
      <c r="F27" s="194"/>
      <c r="G27" s="195"/>
      <c r="H27" s="201" t="s">
        <v>359</v>
      </c>
      <c r="I27" s="194"/>
      <c r="J27" s="195"/>
      <c r="K27" s="202" t="s">
        <v>360</v>
      </c>
      <c r="L27" s="194"/>
      <c r="M27" s="195"/>
      <c r="N27" s="202" t="s">
        <v>361</v>
      </c>
      <c r="O27" s="194"/>
      <c r="P27" s="195"/>
      <c r="Q27" s="201" t="s">
        <v>362</v>
      </c>
      <c r="R27" s="194"/>
      <c r="S27" s="195"/>
    </row>
    <row r="30" spans="1:19" ht="20.05" customHeight="1" x14ac:dyDescent="0.55000000000000004">
      <c r="A30" s="203" t="s">
        <v>363</v>
      </c>
      <c r="B30" s="198"/>
      <c r="C30" s="198"/>
      <c r="D30" s="198"/>
      <c r="E30" s="198"/>
      <c r="F30" s="198"/>
      <c r="G30" s="198"/>
      <c r="H30" s="198"/>
      <c r="I30" s="198"/>
      <c r="J30" s="198"/>
      <c r="K30" s="198"/>
      <c r="L30" s="198"/>
      <c r="M30" s="198"/>
      <c r="N30" s="198"/>
      <c r="O30" s="198"/>
      <c r="P30" s="198"/>
      <c r="Q30" s="198"/>
      <c r="R30" s="198"/>
      <c r="S30" s="198"/>
    </row>
    <row r="31" spans="1:19" ht="16" customHeight="1" x14ac:dyDescent="0.55000000000000004">
      <c r="A31" s="199" t="s">
        <v>364</v>
      </c>
      <c r="B31" s="198"/>
      <c r="C31" s="198"/>
      <c r="D31" s="198"/>
      <c r="E31" s="198"/>
      <c r="F31" s="198"/>
      <c r="G31" s="198"/>
      <c r="H31" s="198"/>
      <c r="I31" s="198"/>
      <c r="J31" s="198"/>
      <c r="K31" s="198"/>
      <c r="L31" s="198"/>
      <c r="M31" s="198"/>
      <c r="N31" s="198"/>
      <c r="O31" s="198"/>
      <c r="P31" s="198"/>
      <c r="Q31" s="198"/>
      <c r="R31" s="198"/>
      <c r="S31" s="198"/>
    </row>
    <row r="32" spans="1:19" ht="16" customHeight="1" x14ac:dyDescent="0.55000000000000004">
      <c r="A32" s="199" t="s">
        <v>365</v>
      </c>
      <c r="B32" s="198"/>
      <c r="C32" s="198"/>
      <c r="D32" s="198"/>
      <c r="E32" s="198"/>
      <c r="F32" s="198"/>
      <c r="G32" s="198"/>
      <c r="H32" s="198"/>
      <c r="I32" s="198"/>
      <c r="J32" s="198"/>
      <c r="K32" s="198"/>
      <c r="L32" s="198"/>
      <c r="M32" s="198"/>
      <c r="N32" s="198"/>
      <c r="O32" s="198"/>
      <c r="P32" s="198"/>
      <c r="Q32" s="198"/>
      <c r="R32" s="198"/>
      <c r="S32" s="198"/>
    </row>
    <row r="33" spans="1:19" ht="16" customHeight="1" x14ac:dyDescent="0.55000000000000004">
      <c r="A33" s="199" t="s">
        <v>366</v>
      </c>
      <c r="B33" s="198"/>
      <c r="C33" s="198"/>
      <c r="D33" s="198"/>
      <c r="E33" s="198"/>
      <c r="F33" s="198"/>
      <c r="G33" s="198"/>
      <c r="H33" s="198"/>
      <c r="I33" s="198"/>
      <c r="J33" s="198"/>
      <c r="K33" s="198"/>
      <c r="L33" s="198"/>
      <c r="M33" s="198"/>
      <c r="N33" s="198"/>
      <c r="O33" s="198"/>
      <c r="P33" s="198"/>
      <c r="Q33" s="198"/>
      <c r="R33" s="198"/>
      <c r="S33" s="198"/>
    </row>
    <row r="34" spans="1:19" ht="16" customHeight="1" x14ac:dyDescent="0.55000000000000004">
      <c r="A34" s="199" t="s">
        <v>367</v>
      </c>
      <c r="B34" s="198"/>
      <c r="C34" s="198"/>
      <c r="D34" s="198"/>
      <c r="E34" s="198"/>
      <c r="F34" s="198"/>
      <c r="G34" s="198"/>
      <c r="H34" s="198"/>
      <c r="I34" s="198"/>
      <c r="J34" s="198"/>
      <c r="K34" s="198"/>
      <c r="L34" s="198"/>
      <c r="M34" s="198"/>
      <c r="N34" s="198"/>
      <c r="O34" s="198"/>
      <c r="P34" s="198"/>
      <c r="Q34" s="198"/>
      <c r="R34" s="198"/>
      <c r="S34" s="198"/>
    </row>
    <row r="35" spans="1:19" ht="16" customHeight="1" x14ac:dyDescent="0.55000000000000004">
      <c r="A35" s="199" t="s">
        <v>368</v>
      </c>
      <c r="B35" s="198"/>
      <c r="C35" s="198"/>
      <c r="D35" s="198"/>
      <c r="E35" s="198"/>
      <c r="F35" s="198"/>
      <c r="G35" s="198"/>
      <c r="H35" s="198"/>
      <c r="I35" s="198"/>
      <c r="J35" s="198"/>
      <c r="K35" s="198"/>
      <c r="L35" s="198"/>
      <c r="M35" s="198"/>
      <c r="N35" s="198"/>
      <c r="O35" s="198"/>
      <c r="P35" s="198"/>
      <c r="Q35" s="198"/>
      <c r="R35" s="198"/>
      <c r="S35" s="198"/>
    </row>
    <row r="36" spans="1:19" ht="16" customHeight="1" x14ac:dyDescent="0.55000000000000004">
      <c r="A36" s="199" t="s">
        <v>369</v>
      </c>
      <c r="B36" s="198"/>
      <c r="C36" s="198"/>
      <c r="D36" s="198"/>
      <c r="E36" s="198"/>
      <c r="F36" s="198"/>
      <c r="G36" s="198"/>
      <c r="H36" s="198"/>
      <c r="I36" s="198"/>
      <c r="J36" s="198"/>
      <c r="K36" s="198"/>
      <c r="L36" s="198"/>
      <c r="M36" s="198"/>
      <c r="N36" s="198"/>
      <c r="O36" s="198"/>
      <c r="P36" s="198"/>
      <c r="Q36" s="198"/>
      <c r="R36" s="198"/>
      <c r="S36" s="198"/>
    </row>
    <row r="37" spans="1:19" ht="16" customHeight="1" x14ac:dyDescent="0.55000000000000004">
      <c r="A37" s="210" t="s">
        <v>370</v>
      </c>
      <c r="B37" s="198"/>
      <c r="C37" s="198"/>
      <c r="D37" s="198"/>
      <c r="E37" s="198"/>
      <c r="F37" s="198"/>
      <c r="G37" s="198"/>
      <c r="H37" s="198"/>
      <c r="I37" s="198"/>
      <c r="J37" s="198"/>
      <c r="K37" s="198"/>
      <c r="L37" s="198"/>
      <c r="M37" s="198"/>
      <c r="N37" s="198"/>
      <c r="O37" s="198"/>
      <c r="P37" s="198"/>
      <c r="Q37" s="198"/>
      <c r="R37" s="198"/>
      <c r="S37" s="198"/>
    </row>
    <row r="39" spans="1:19" ht="18" customHeight="1" x14ac:dyDescent="0.55000000000000004">
      <c r="A39" s="38" t="s">
        <v>305</v>
      </c>
      <c r="B39" s="213" t="s">
        <v>371</v>
      </c>
      <c r="C39" s="198"/>
      <c r="D39" s="198"/>
      <c r="E39" s="211" t="s">
        <v>372</v>
      </c>
      <c r="F39" s="198"/>
      <c r="G39" s="198"/>
      <c r="H39" s="214" t="s">
        <v>373</v>
      </c>
      <c r="I39" s="198"/>
      <c r="J39" s="198"/>
      <c r="K39" s="207" t="s">
        <v>374</v>
      </c>
      <c r="L39" s="198"/>
      <c r="M39" s="198"/>
      <c r="N39" s="205" t="s">
        <v>45</v>
      </c>
      <c r="O39" s="198"/>
      <c r="P39" s="198"/>
      <c r="Q39" s="212" t="s">
        <v>375</v>
      </c>
      <c r="R39" s="198"/>
      <c r="S39" s="198"/>
    </row>
  </sheetData>
  <mergeCells count="67">
    <mergeCell ref="A1:S1"/>
    <mergeCell ref="H23:J23"/>
    <mergeCell ref="N27:P27"/>
    <mergeCell ref="A26:S26"/>
    <mergeCell ref="H20:M20"/>
    <mergeCell ref="A16:S16"/>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K27:M27"/>
    <mergeCell ref="Q27:S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16" t="s">
        <v>376</v>
      </c>
      <c r="B1" s="190"/>
      <c r="C1" s="190"/>
      <c r="D1" s="190"/>
      <c r="E1" s="190"/>
      <c r="F1" s="191"/>
    </row>
    <row r="3" spans="1:6" x14ac:dyDescent="0.55000000000000004">
      <c r="A3" s="1" t="s">
        <v>2</v>
      </c>
      <c r="B3" s="1" t="s">
        <v>377</v>
      </c>
      <c r="C3" s="1" t="s">
        <v>22</v>
      </c>
      <c r="D3" s="1" t="s">
        <v>378</v>
      </c>
      <c r="E3" s="1" t="s">
        <v>145</v>
      </c>
      <c r="F3" s="1" t="s">
        <v>379</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7</v>
      </c>
      <c r="C8" s="26">
        <f>COUNTIFS('Delivery Board'!$R$5:$R$500,$A8,'Delivery Board'!$C$5:$C$500,"Done")</f>
        <v>7</v>
      </c>
      <c r="D8" s="26">
        <f>COUNTIFS('Delivery Board'!$R$5:$R$500,$A8,'Delivery Board'!$C$5:$C$500,"Planned")+COUNTIFS('Delivery Board'!$R$5:$R$500,$A8,'Delivery Board'!$C$5:$C$500,"In progress")+COUNTIFS('Delivery Board'!$R$5:$R$500,$A8,'Delivery Board'!$C$5:$C$500,"Milestone")</f>
        <v>0</v>
      </c>
      <c r="E8" s="26">
        <f>COUNTIFS('Delivery Board'!$R$5:$R$500,$A8,'Delivery Board'!$C$5:$C$500,"Blocked")</f>
        <v>0</v>
      </c>
      <c r="F8" s="27">
        <f t="shared" si="1"/>
        <v>1</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15</v>
      </c>
      <c r="C10" s="26">
        <f>COUNTIFS('Delivery Board'!$R$5:$R$500,$A10,'Delivery Board'!$C$5:$C$500,"Done")</f>
        <v>11</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0.73333333333333328</v>
      </c>
    </row>
    <row r="11" spans="1:6" x14ac:dyDescent="0.55000000000000004">
      <c r="A11" s="25" t="s">
        <v>99</v>
      </c>
      <c r="B11" s="26">
        <f t="shared" si="0"/>
        <v>26</v>
      </c>
      <c r="C11" s="26">
        <f>COUNTIFS('Delivery Board'!$R$5:$R$500,$A11,'Delivery Board'!$C$5:$C$500,"Done")</f>
        <v>22</v>
      </c>
      <c r="D11" s="26">
        <f>COUNTIFS('Delivery Board'!$R$5:$R$500,$A11,'Delivery Board'!$C$5:$C$500,"Planned")+COUNTIFS('Delivery Board'!$R$5:$R$500,$A11,'Delivery Board'!$C$5:$C$500,"In progress")+COUNTIFS('Delivery Board'!$R$5:$R$500,$A11,'Delivery Board'!$C$5:$C$500,"Milestone")</f>
        <v>4</v>
      </c>
      <c r="E11" s="26">
        <f>COUNTIFS('Delivery Board'!$R$5:$R$500,$A11,'Delivery Board'!$C$5:$C$500,"Blocked")</f>
        <v>0</v>
      </c>
      <c r="F11" s="27">
        <f t="shared" si="1"/>
        <v>0.84615384615384615</v>
      </c>
    </row>
    <row r="12" spans="1:6" x14ac:dyDescent="0.55000000000000004">
      <c r="A12" s="25" t="s">
        <v>130</v>
      </c>
      <c r="B12" s="26">
        <f t="shared" si="0"/>
        <v>22</v>
      </c>
      <c r="C12" s="26">
        <f>COUNTIFS('Delivery Board'!$R$5:$R$500,$A12,'Delivery Board'!$C$5:$C$500,"Done")</f>
        <v>6</v>
      </c>
      <c r="D12" s="26">
        <f>COUNTIFS('Delivery Board'!$R$5:$R$500,$A12,'Delivery Board'!$C$5:$C$500,"Planned")+COUNTIFS('Delivery Board'!$R$5:$R$500,$A12,'Delivery Board'!$C$5:$C$500,"In progress")+COUNTIFS('Delivery Board'!$R$5:$R$500,$A12,'Delivery Board'!$C$5:$C$500,"Milestone")</f>
        <v>14</v>
      </c>
      <c r="E12" s="26">
        <f>COUNTIFS('Delivery Board'!$R$5:$R$500,$A12,'Delivery Board'!$C$5:$C$500,"Blocked")</f>
        <v>2</v>
      </c>
      <c r="F12" s="27">
        <f t="shared" si="1"/>
        <v>0.27272727272727271</v>
      </c>
    </row>
    <row r="13" spans="1:6" x14ac:dyDescent="0.55000000000000004">
      <c r="A13" s="25" t="s">
        <v>162</v>
      </c>
      <c r="B13" s="26">
        <f t="shared" si="0"/>
        <v>30</v>
      </c>
      <c r="C13" s="26">
        <f>COUNTIFS('Delivery Board'!$R$5:$R$500,$A13,'Delivery Board'!$C$5:$C$500,"Done")</f>
        <v>12</v>
      </c>
      <c r="D13" s="26">
        <f>COUNTIFS('Delivery Board'!$R$5:$R$500,$A13,'Delivery Board'!$C$5:$C$500,"Planned")+COUNTIFS('Delivery Board'!$R$5:$R$500,$A13,'Delivery Board'!$C$5:$C$500,"In progress")+COUNTIFS('Delivery Board'!$R$5:$R$500,$A13,'Delivery Board'!$C$5:$C$500,"Milestone")</f>
        <v>18</v>
      </c>
      <c r="E13" s="26">
        <f>COUNTIFS('Delivery Board'!$R$5:$R$500,$A13,'Delivery Board'!$C$5:$C$500,"Blocked")</f>
        <v>0</v>
      </c>
      <c r="F13" s="27">
        <f t="shared" si="1"/>
        <v>0.4</v>
      </c>
    </row>
    <row r="14" spans="1:6" x14ac:dyDescent="0.55000000000000004">
      <c r="A14" s="25" t="s">
        <v>191</v>
      </c>
      <c r="B14" s="26">
        <f t="shared" si="0"/>
        <v>10</v>
      </c>
      <c r="C14" s="26">
        <f>COUNTIFS('Delivery Board'!$R$5:$R$500,$A14,'Delivery Board'!$C$5:$C$500,"Done")</f>
        <v>6</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0.6</v>
      </c>
    </row>
    <row r="16" spans="1:6" x14ac:dyDescent="0.55000000000000004">
      <c r="A16" s="28" t="s">
        <v>380</v>
      </c>
      <c r="B16" s="29">
        <f>SUM(B4:B14)</f>
        <v>131</v>
      </c>
      <c r="C16" s="29">
        <f>SUM(C4:C14)</f>
        <v>85</v>
      </c>
      <c r="D16">
        <f>SUM(D4:D14)</f>
        <v>44</v>
      </c>
      <c r="E16">
        <f>SUM(E4:E14)</f>
        <v>2</v>
      </c>
      <c r="F16" s="30">
        <f>IF(B16=0,0,C16/B16)</f>
        <v>0.64885496183206104</v>
      </c>
    </row>
    <row r="18" spans="1:2" x14ac:dyDescent="0.55000000000000004">
      <c r="A18" s="43" t="s">
        <v>381</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382</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9"/>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16" t="s">
        <v>383</v>
      </c>
      <c r="B1" s="190"/>
      <c r="C1" s="190"/>
      <c r="D1" s="190"/>
      <c r="E1" s="191"/>
    </row>
    <row r="3" spans="1:5" x14ac:dyDescent="0.55000000000000004">
      <c r="A3" s="31" t="s">
        <v>384</v>
      </c>
      <c r="B3" s="31" t="s">
        <v>385</v>
      </c>
      <c r="C3" s="31" t="s">
        <v>386</v>
      </c>
      <c r="D3" s="31" t="s">
        <v>4</v>
      </c>
      <c r="E3" s="31" t="s">
        <v>387</v>
      </c>
    </row>
    <row r="4" spans="1:5" ht="28" customHeight="1" x14ac:dyDescent="0.55000000000000004">
      <c r="A4" s="32" t="s">
        <v>388</v>
      </c>
      <c r="B4" s="12" t="s">
        <v>389</v>
      </c>
      <c r="C4" s="23" t="s">
        <v>390</v>
      </c>
      <c r="D4" s="12" t="s">
        <v>391</v>
      </c>
      <c r="E4" s="33" t="s">
        <v>392</v>
      </c>
    </row>
    <row r="5" spans="1:5" ht="28" customHeight="1" x14ac:dyDescent="0.55000000000000004">
      <c r="A5" s="34" t="s">
        <v>393</v>
      </c>
      <c r="B5" s="6" t="s">
        <v>389</v>
      </c>
      <c r="C5" s="21" t="s">
        <v>394</v>
      </c>
      <c r="D5" s="6" t="s">
        <v>391</v>
      </c>
      <c r="E5" s="35" t="s">
        <v>395</v>
      </c>
    </row>
    <row r="6" spans="1:5" ht="28" customHeight="1" x14ac:dyDescent="0.55000000000000004">
      <c r="A6" s="32" t="s">
        <v>396</v>
      </c>
      <c r="B6" s="12" t="s">
        <v>397</v>
      </c>
      <c r="C6" s="23" t="s">
        <v>390</v>
      </c>
      <c r="D6" s="12" t="s">
        <v>128</v>
      </c>
      <c r="E6" s="33" t="s">
        <v>398</v>
      </c>
    </row>
    <row r="7" spans="1:5" ht="28" customHeight="1" x14ac:dyDescent="0.55000000000000004">
      <c r="A7" s="34" t="s">
        <v>399</v>
      </c>
      <c r="B7" s="6" t="s">
        <v>389</v>
      </c>
      <c r="C7" s="21" t="s">
        <v>394</v>
      </c>
      <c r="D7" s="6" t="s">
        <v>128</v>
      </c>
      <c r="E7" s="35" t="s">
        <v>400</v>
      </c>
    </row>
    <row r="8" spans="1:5" ht="28" customHeight="1" x14ac:dyDescent="0.55000000000000004">
      <c r="A8" s="32" t="s">
        <v>401</v>
      </c>
      <c r="B8" s="12" t="s">
        <v>397</v>
      </c>
      <c r="C8" s="19" t="s">
        <v>402</v>
      </c>
      <c r="D8" s="12" t="s">
        <v>403</v>
      </c>
      <c r="E8" s="33" t="s">
        <v>404</v>
      </c>
    </row>
    <row r="9" spans="1:5" ht="28" customHeight="1" x14ac:dyDescent="0.55000000000000004">
      <c r="A9" s="34" t="s">
        <v>405</v>
      </c>
      <c r="B9" s="6" t="s">
        <v>389</v>
      </c>
      <c r="C9" s="21" t="s">
        <v>394</v>
      </c>
      <c r="D9" s="6" t="s">
        <v>406</v>
      </c>
      <c r="E9" s="35" t="s">
        <v>407</v>
      </c>
    </row>
    <row r="10" spans="1:5" ht="28" customHeight="1" x14ac:dyDescent="0.55000000000000004">
      <c r="A10" s="32" t="s">
        <v>408</v>
      </c>
      <c r="B10" s="12" t="s">
        <v>409</v>
      </c>
      <c r="C10" s="19" t="s">
        <v>402</v>
      </c>
      <c r="D10" s="12" t="s">
        <v>391</v>
      </c>
      <c r="E10" s="33" t="s">
        <v>410</v>
      </c>
    </row>
    <row r="11" spans="1:5" ht="28" customHeight="1" x14ac:dyDescent="0.55000000000000004">
      <c r="A11" s="34" t="s">
        <v>411</v>
      </c>
      <c r="B11" s="6" t="s">
        <v>397</v>
      </c>
      <c r="C11" s="21" t="s">
        <v>394</v>
      </c>
      <c r="D11" s="6" t="s">
        <v>128</v>
      </c>
      <c r="E11" s="35" t="s">
        <v>412</v>
      </c>
    </row>
    <row r="12" spans="1:5" ht="28" customHeight="1" x14ac:dyDescent="0.55000000000000004">
      <c r="A12" s="32" t="s">
        <v>413</v>
      </c>
      <c r="B12" s="12" t="s">
        <v>397</v>
      </c>
      <c r="C12" s="36" t="s">
        <v>414</v>
      </c>
      <c r="D12" s="12" t="s">
        <v>415</v>
      </c>
      <c r="E12" s="33" t="s">
        <v>416</v>
      </c>
    </row>
    <row r="13" spans="1:5" ht="28" customHeight="1" x14ac:dyDescent="0.55000000000000004">
      <c r="A13" s="34" t="s">
        <v>417</v>
      </c>
      <c r="B13" s="6" t="s">
        <v>397</v>
      </c>
      <c r="C13" s="19" t="s">
        <v>402</v>
      </c>
      <c r="D13" s="6" t="s">
        <v>415</v>
      </c>
      <c r="E13" s="35" t="s">
        <v>418</v>
      </c>
    </row>
    <row r="14" spans="1:5" ht="28" customHeight="1" x14ac:dyDescent="0.55000000000000004">
      <c r="A14" s="32" t="s">
        <v>419</v>
      </c>
      <c r="B14" s="12" t="s">
        <v>389</v>
      </c>
      <c r="C14" s="19" t="s">
        <v>402</v>
      </c>
      <c r="D14" s="12" t="s">
        <v>128</v>
      </c>
      <c r="E14" s="33" t="s">
        <v>420</v>
      </c>
    </row>
    <row r="15" spans="1:5" ht="28" customHeight="1" x14ac:dyDescent="0.55000000000000004">
      <c r="A15" s="34" t="s">
        <v>421</v>
      </c>
      <c r="B15" s="6" t="s">
        <v>389</v>
      </c>
      <c r="C15" s="19" t="s">
        <v>402</v>
      </c>
      <c r="D15" s="6" t="s">
        <v>391</v>
      </c>
      <c r="E15" s="35" t="s">
        <v>422</v>
      </c>
    </row>
    <row r="16" spans="1:5" ht="30" customHeight="1" x14ac:dyDescent="0.55000000000000004">
      <c r="A16" s="32" t="s">
        <v>423</v>
      </c>
      <c r="B16" s="12" t="s">
        <v>389</v>
      </c>
      <c r="C16" s="21" t="s">
        <v>394</v>
      </c>
      <c r="D16" s="12" t="s">
        <v>424</v>
      </c>
      <c r="E16" s="33" t="s">
        <v>425</v>
      </c>
    </row>
    <row r="17" spans="1:5" ht="30" customHeight="1" x14ac:dyDescent="0.55000000000000004">
      <c r="A17" s="34" t="s">
        <v>426</v>
      </c>
      <c r="B17" s="6" t="s">
        <v>389</v>
      </c>
      <c r="C17" s="23" t="s">
        <v>390</v>
      </c>
      <c r="D17" s="6" t="s">
        <v>391</v>
      </c>
      <c r="E17" s="35" t="s">
        <v>427</v>
      </c>
    </row>
    <row r="18" spans="1:5" ht="30" customHeight="1" x14ac:dyDescent="0.55000000000000004">
      <c r="A18" s="32" t="s">
        <v>428</v>
      </c>
      <c r="B18" s="12" t="s">
        <v>397</v>
      </c>
      <c r="C18" s="19" t="s">
        <v>402</v>
      </c>
      <c r="D18" s="12" t="s">
        <v>403</v>
      </c>
      <c r="E18" s="33" t="s">
        <v>429</v>
      </c>
    </row>
    <row r="19" spans="1:5" ht="30" customHeight="1" x14ac:dyDescent="0.55000000000000004">
      <c r="A19" s="34" t="s">
        <v>430</v>
      </c>
      <c r="B19" s="6" t="s">
        <v>389</v>
      </c>
      <c r="C19" s="19" t="s">
        <v>402</v>
      </c>
      <c r="D19" s="6" t="s">
        <v>391</v>
      </c>
      <c r="E19" s="35" t="s">
        <v>431</v>
      </c>
    </row>
    <row r="20" spans="1:5" ht="32.049999999999997" customHeight="1" x14ac:dyDescent="0.55000000000000004">
      <c r="A20" s="32" t="s">
        <v>432</v>
      </c>
      <c r="B20" s="12" t="s">
        <v>433</v>
      </c>
      <c r="C20" s="23" t="s">
        <v>390</v>
      </c>
      <c r="D20" s="12" t="s">
        <v>434</v>
      </c>
      <c r="E20" s="33" t="s">
        <v>435</v>
      </c>
    </row>
    <row r="21" spans="1:5" ht="32.049999999999997" customHeight="1" x14ac:dyDescent="0.55000000000000004">
      <c r="A21" s="34" t="s">
        <v>436</v>
      </c>
      <c r="B21" s="6" t="s">
        <v>389</v>
      </c>
      <c r="C21" s="21" t="s">
        <v>394</v>
      </c>
      <c r="D21" s="6" t="s">
        <v>424</v>
      </c>
      <c r="E21" s="35" t="s">
        <v>437</v>
      </c>
    </row>
    <row r="22" spans="1:5" ht="32.049999999999997" customHeight="1" x14ac:dyDescent="0.55000000000000004">
      <c r="A22" s="32" t="s">
        <v>438</v>
      </c>
      <c r="B22" s="12" t="s">
        <v>439</v>
      </c>
      <c r="C22" s="19" t="s">
        <v>402</v>
      </c>
      <c r="D22" s="12" t="s">
        <v>391</v>
      </c>
      <c r="E22" s="33" t="s">
        <v>440</v>
      </c>
    </row>
    <row r="23" spans="1:5" ht="32.049999999999997" customHeight="1" x14ac:dyDescent="0.55000000000000004">
      <c r="A23" s="34" t="s">
        <v>441</v>
      </c>
      <c r="B23" s="6" t="s">
        <v>439</v>
      </c>
      <c r="C23" s="19" t="s">
        <v>402</v>
      </c>
      <c r="D23" s="6" t="s">
        <v>391</v>
      </c>
      <c r="E23" s="35" t="s">
        <v>442</v>
      </c>
    </row>
    <row r="24" spans="1:5" ht="32.049999999999997" customHeight="1" x14ac:dyDescent="0.55000000000000004">
      <c r="A24" s="32" t="s">
        <v>443</v>
      </c>
      <c r="B24" s="12" t="s">
        <v>439</v>
      </c>
      <c r="C24" s="19" t="s">
        <v>402</v>
      </c>
      <c r="D24" s="12" t="s">
        <v>391</v>
      </c>
      <c r="E24" s="33" t="s">
        <v>444</v>
      </c>
    </row>
    <row r="25" spans="1:5" ht="32.049999999999997" customHeight="1" x14ac:dyDescent="0.55000000000000004">
      <c r="A25" s="58" t="s">
        <v>445</v>
      </c>
      <c r="B25" s="55" t="s">
        <v>403</v>
      </c>
      <c r="C25" s="59" t="s">
        <v>402</v>
      </c>
      <c r="D25" s="55" t="s">
        <v>391</v>
      </c>
      <c r="E25" s="60" t="s">
        <v>446</v>
      </c>
    </row>
    <row r="26" spans="1:5" ht="32.049999999999997" customHeight="1" x14ac:dyDescent="0.55000000000000004">
      <c r="A26" s="61" t="s">
        <v>447</v>
      </c>
      <c r="B26" s="49" t="s">
        <v>439</v>
      </c>
      <c r="C26" s="59" t="s">
        <v>414</v>
      </c>
      <c r="D26" s="49" t="s">
        <v>434</v>
      </c>
      <c r="E26" s="62" t="s">
        <v>448</v>
      </c>
    </row>
    <row r="27" spans="1:5" ht="32.049999999999997" customHeight="1" x14ac:dyDescent="0.55000000000000004">
      <c r="A27" s="58" t="s">
        <v>449</v>
      </c>
      <c r="B27" s="55" t="s">
        <v>403</v>
      </c>
      <c r="C27" s="59" t="s">
        <v>414</v>
      </c>
      <c r="D27" s="55" t="s">
        <v>391</v>
      </c>
      <c r="E27" s="60" t="s">
        <v>450</v>
      </c>
    </row>
    <row r="28" spans="1:5" ht="46" customHeight="1" x14ac:dyDescent="0.55000000000000004">
      <c r="A28" s="79" t="s">
        <v>451</v>
      </c>
      <c r="B28" s="66" t="s">
        <v>403</v>
      </c>
      <c r="C28" s="75" t="s">
        <v>394</v>
      </c>
      <c r="D28" s="107" t="s">
        <v>434</v>
      </c>
      <c r="E28" s="107" t="s">
        <v>452</v>
      </c>
    </row>
    <row r="29" spans="1:5" ht="46" customHeight="1" x14ac:dyDescent="0.55000000000000004">
      <c r="A29" s="80" t="s">
        <v>453</v>
      </c>
      <c r="B29" s="72" t="s">
        <v>389</v>
      </c>
      <c r="C29" s="77" t="s">
        <v>402</v>
      </c>
      <c r="D29" s="106" t="s">
        <v>434</v>
      </c>
      <c r="E29" s="106" t="s">
        <v>454</v>
      </c>
    </row>
    <row r="30" spans="1:5" ht="32.049999999999997" customHeight="1" x14ac:dyDescent="0.55000000000000004">
      <c r="A30" s="88" t="s">
        <v>455</v>
      </c>
      <c r="B30" s="84" t="s">
        <v>389</v>
      </c>
      <c r="C30" s="89" t="s">
        <v>402</v>
      </c>
      <c r="D30" s="84" t="s">
        <v>391</v>
      </c>
      <c r="E30" s="90" t="s">
        <v>456</v>
      </c>
    </row>
    <row r="31" spans="1:5" ht="32.049999999999997" customHeight="1" x14ac:dyDescent="0.55000000000000004">
      <c r="A31" s="105" t="s">
        <v>457</v>
      </c>
      <c r="B31" s="94" t="s">
        <v>439</v>
      </c>
      <c r="C31" s="103" t="s">
        <v>402</v>
      </c>
      <c r="D31" s="94" t="s">
        <v>458</v>
      </c>
      <c r="E31" s="106" t="s">
        <v>459</v>
      </c>
    </row>
    <row r="32" spans="1:5" ht="32.049999999999997" customHeight="1" x14ac:dyDescent="0.55000000000000004">
      <c r="A32" s="122" t="s">
        <v>460</v>
      </c>
      <c r="B32" s="117" t="s">
        <v>403</v>
      </c>
      <c r="C32" s="120" t="s">
        <v>402</v>
      </c>
      <c r="D32" s="117" t="s">
        <v>434</v>
      </c>
      <c r="E32" s="123" t="s">
        <v>461</v>
      </c>
    </row>
    <row r="33" spans="1:5" ht="32.049999999999997" customHeight="1" x14ac:dyDescent="0.55000000000000004">
      <c r="A33" s="124" t="s">
        <v>462</v>
      </c>
      <c r="B33" s="111" t="s">
        <v>389</v>
      </c>
      <c r="C33" s="120" t="s">
        <v>402</v>
      </c>
      <c r="D33" s="111" t="s">
        <v>424</v>
      </c>
      <c r="E33" s="125" t="s">
        <v>463</v>
      </c>
    </row>
    <row r="34" spans="1:5" ht="32.049999999999997" customHeight="1" x14ac:dyDescent="0.55000000000000004">
      <c r="A34" s="156" t="s">
        <v>464</v>
      </c>
      <c r="B34" s="150" t="s">
        <v>439</v>
      </c>
      <c r="C34" s="142" t="s">
        <v>394</v>
      </c>
      <c r="D34" s="150" t="s">
        <v>391</v>
      </c>
      <c r="E34" s="157" t="s">
        <v>465</v>
      </c>
    </row>
    <row r="35" spans="1:5" ht="32.049999999999997" customHeight="1" x14ac:dyDescent="0.55000000000000004">
      <c r="A35" s="158" t="s">
        <v>466</v>
      </c>
      <c r="B35" s="143" t="s">
        <v>389</v>
      </c>
      <c r="C35" s="154" t="s">
        <v>402</v>
      </c>
      <c r="D35" s="143" t="s">
        <v>391</v>
      </c>
      <c r="E35" s="159" t="s">
        <v>467</v>
      </c>
    </row>
    <row r="36" spans="1:5" ht="74.05" customHeight="1" x14ac:dyDescent="0.55000000000000004">
      <c r="A36" s="172" t="s">
        <v>401</v>
      </c>
      <c r="B36" s="169" t="s">
        <v>389</v>
      </c>
      <c r="C36" s="173" t="s">
        <v>390</v>
      </c>
      <c r="D36" s="178" t="s">
        <v>468</v>
      </c>
      <c r="E36" s="178" t="s">
        <v>469</v>
      </c>
    </row>
    <row r="37" spans="1:5" ht="32.049999999999997" customHeight="1" x14ac:dyDescent="0.55000000000000004">
      <c r="A37" s="175" t="s">
        <v>470</v>
      </c>
      <c r="B37" s="163" t="s">
        <v>439</v>
      </c>
      <c r="C37" s="176" t="s">
        <v>402</v>
      </c>
      <c r="D37" s="163" t="s">
        <v>391</v>
      </c>
      <c r="E37" s="177" t="s">
        <v>471</v>
      </c>
    </row>
    <row r="38" spans="1:5" ht="32.049999999999997" customHeight="1" x14ac:dyDescent="0.55000000000000004">
      <c r="A38" s="172" t="s">
        <v>472</v>
      </c>
      <c r="B38" s="169" t="s">
        <v>439</v>
      </c>
      <c r="C38" s="176" t="s">
        <v>414</v>
      </c>
      <c r="D38" s="169" t="s">
        <v>391</v>
      </c>
      <c r="E38" s="174" t="s">
        <v>473</v>
      </c>
    </row>
    <row r="39" spans="1:5" ht="32.049999999999997" customHeight="1" x14ac:dyDescent="0.55000000000000004">
      <c r="A39" s="186" t="s">
        <v>474</v>
      </c>
      <c r="B39" s="182" t="s">
        <v>389</v>
      </c>
      <c r="C39" s="187" t="s">
        <v>394</v>
      </c>
      <c r="D39" s="182" t="s">
        <v>391</v>
      </c>
      <c r="E39" s="188" t="s">
        <v>475</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Usang</cp:lastModifiedBy>
  <dcterms:created xsi:type="dcterms:W3CDTF">2026-08-03T22:52:33Z</dcterms:created>
  <dcterms:modified xsi:type="dcterms:W3CDTF">2026-08-05T14:46:44Z</dcterms:modified>
</cp:coreProperties>
</file>