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895" yWindow="-16320" windowWidth="29040" windowHeight="15720" tabRatio="600" firstSheet="0" activeTab="0" autoFilterDateGrouping="1"/>
  </bookViews>
  <sheets>
    <sheet xmlns:r="http://schemas.openxmlformats.org/officeDocument/2006/relationships" name="Delivery Board" sheetId="1" state="visible" r:id="rId1"/>
    <sheet xmlns:r="http://schemas.openxmlformats.org/officeDocument/2006/relationships" name="Architecture" sheetId="2" state="visible" r:id="rId2"/>
    <sheet xmlns:r="http://schemas.openxmlformats.org/officeDocument/2006/relationships" name="Epic Summary" sheetId="3" state="visible" r:id="rId3"/>
    <sheet xmlns:r="http://schemas.openxmlformats.org/officeDocument/2006/relationships" name="Risks &amp; Decisions" sheetId="4" state="visible" r:id="rId4"/>
    <sheet xmlns:r="http://schemas.openxmlformats.org/officeDocument/2006/relationships" name="Edge Measurement" sheetId="5" state="visible" r:id="rId5"/>
    <sheet xmlns:r="http://schemas.openxmlformats.org/officeDocument/2006/relationships" name="APIs &amp; Quotas" sheetId="6" state="visible" r:id="rId6"/>
  </sheets>
  <definedNames/>
  <calcPr calcId="191029" fullCalcOnLoad="1"/>
</workbook>
</file>

<file path=xl/styles.xml><?xml version="1.0" encoding="utf-8"?>
<styleSheet xmlns="http://schemas.openxmlformats.org/spreadsheetml/2006/main">
  <numFmts count="2">
    <numFmt numFmtId="164" formatCode="dd\ mmm"/>
    <numFmt numFmtId="165" formatCode="yyyy\-mm\-dd\ h:mm:ss"/>
  </numFmts>
  <fonts count="87">
    <font>
      <name val="Calibri"/>
      <family val="2"/>
      <color theme="1"/>
      <sz val="11"/>
      <scheme val="minor"/>
    </font>
    <font>
      <name val="Calibri"/>
      <b val="1"/>
      <color rgb="FFFFFFFF"/>
      <sz val="16"/>
    </font>
    <font>
      <name val="Calibri"/>
      <color rgb="FF4B5563"/>
      <sz val="9"/>
    </font>
    <font>
      <name val="Calibri"/>
      <b val="1"/>
      <color rgb="FFFFFFFF"/>
      <sz val="10"/>
    </font>
    <font>
      <name val="Calibri"/>
      <b val="1"/>
      <color rgb="FFFFFFFF"/>
      <sz val="8"/>
    </font>
    <font>
      <name val="Calibri"/>
      <b val="1"/>
      <color rgb="FF111827"/>
      <sz val="9"/>
    </font>
    <font>
      <name val="Calibri"/>
      <color rgb="FF111827"/>
      <sz val="9"/>
    </font>
    <font>
      <name val="Calibri"/>
      <color rgb="FF6B7280"/>
      <sz val="8"/>
    </font>
    <font>
      <name val="Calibri"/>
      <b val="1"/>
      <color rgb="FFFFFFFF"/>
      <sz val="9"/>
    </font>
    <font>
      <name val="Calibri"/>
      <color rgb="FF111827"/>
      <sz val="10"/>
    </font>
    <font>
      <name val="Calibri"/>
      <b val="1"/>
      <color rgb="FF111827"/>
      <sz val="10"/>
    </font>
    <font>
      <name val="Calibri"/>
      <b val="1"/>
      <color rgb="FFFFFFFF"/>
      <sz val="15"/>
    </font>
    <font>
      <name val="Calibri"/>
      <b val="1"/>
      <color rgb="FF111827"/>
      <sz val="11"/>
    </font>
    <font>
      <name val="Calibri"/>
      <color rgb="FF475569"/>
      <sz val="9"/>
    </font>
    <font>
      <name val="Calibri"/>
      <b val="1"/>
      <color rgb="FF374151"/>
      <sz val="9"/>
    </font>
    <font>
      <name val="Calibri"/>
      <b val="1"/>
      <color rgb="FFFFFFFF"/>
      <sz val="8.5"/>
    </font>
    <font>
      <name val="Calibri"/>
      <b val="1"/>
      <color rgb="FF64748B"/>
      <sz val="10"/>
    </font>
    <font>
      <name val="Calibri"/>
      <color rgb="FF334155"/>
      <sz val="9"/>
    </font>
    <font>
      <name val="Calibri"/>
      <b val="1"/>
      <color rgb="FFB91C1C"/>
      <sz val="9"/>
    </font>
    <font>
      <name val="Calibri"/>
      <b val="1"/>
      <sz val="10"/>
    </font>
    <font>
      <name val="Calibri"/>
      <b val="1"/>
      <color rgb="FF6B7280"/>
      <sz val="8"/>
    </font>
    <font>
      <name val="Calibri"/>
      <b val="1"/>
      <color rgb="FF6B7280"/>
      <sz val="9"/>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color rgb="FF111827"/>
      <sz val="9"/>
    </font>
    <font>
      <name val="Calibri"/>
      <b val="1"/>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sz val="14"/>
    </font>
    <font>
      <name val="Calibri"/>
      <i val="1"/>
      <sz val="9"/>
    </font>
    <font>
      <name val="Calibri"/>
      <b val="1"/>
      <color rgb="FFFFFFFF"/>
      <sz val="11"/>
    </font>
    <font>
      <name val="Calibri"/>
      <b val="1"/>
      <sz val="11"/>
    </font>
    <font>
      <name val="Calibri"/>
      <b val="1"/>
      <sz val="14"/>
    </font>
    <font>
      <name val="Calibri"/>
      <sz val="9"/>
    </font>
    <font>
      <name val="Calibri"/>
      <b val="1"/>
      <color rgb="FFFFFFFF"/>
      <sz val="11"/>
    </font>
    <font>
      <name val="Calibri"/>
      <b val="1"/>
      <color rgb="FFFFFFFF"/>
      <sz val="11"/>
    </font>
    <font>
      <name val="Calibri"/>
      <b val="1"/>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b val="1"/>
    </font>
  </fonts>
  <fills count="76">
    <fill>
      <patternFill/>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23">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right/>
      <top style="thin">
        <color rgb="FFD1D5DB"/>
      </top>
      <bottom/>
      <diagonal/>
    </border>
    <border>
      <left/>
      <right style="thin">
        <color rgb="FFD1D5DB"/>
      </right>
      <top style="thin">
        <color rgb="FFD1D5DB"/>
      </top>
      <bottom/>
      <diagonal/>
    </border>
    <border>
      <left/>
      <right/>
      <top style="thin">
        <color rgb="FFCBD5E1"/>
      </top>
      <bottom/>
      <diagonal/>
    </border>
    <border>
      <left/>
      <right style="thin">
        <color rgb="FFCBD5E1"/>
      </right>
      <top style="thin">
        <color rgb="FFCBD5E1"/>
      </top>
      <bottom/>
      <diagonal/>
    </border>
  </borders>
  <cellStyleXfs count="1">
    <xf numFmtId="0" fontId="0" fillId="0" borderId="0"/>
  </cellStyleXfs>
  <cellXfs count="305">
    <xf numFmtId="0" fontId="0" fillId="0" borderId="0" pivotButton="0" quotePrefix="0" xfId="0"/>
    <xf numFmtId="0" fontId="3" fillId="4" borderId="1" applyAlignment="1" pivotButton="0" quotePrefix="0" xfId="0">
      <alignment horizontal="center" vertical="center" wrapText="1"/>
    </xf>
    <xf numFmtId="0" fontId="4" fillId="4" borderId="1" applyAlignment="1" pivotButton="0" quotePrefix="0" xfId="0">
      <alignment horizontal="center" vertical="center"/>
    </xf>
    <xf numFmtId="0" fontId="5" fillId="5" borderId="1" applyAlignment="1" pivotButton="0" quotePrefix="0" xfId="0">
      <alignment horizontal="left" vertical="center"/>
    </xf>
    <xf numFmtId="0" fontId="6" fillId="5" borderId="1" applyAlignment="1" pivotButton="0" quotePrefix="0" xfId="0">
      <alignment horizontal="left" vertical="center"/>
    </xf>
    <xf numFmtId="0" fontId="4" fillId="6" borderId="1" applyAlignment="1" pivotButton="0" quotePrefix="0" xfId="0">
      <alignment horizontal="center" vertical="center"/>
    </xf>
    <xf numFmtId="0" fontId="6" fillId="5" borderId="1" applyAlignment="1" pivotButton="0" quotePrefix="0" xfId="0">
      <alignment horizontal="center" vertical="center"/>
    </xf>
    <xf numFmtId="164" fontId="6" fillId="5" borderId="1" applyAlignment="1" pivotButton="0" quotePrefix="0" xfId="0">
      <alignment horizontal="center" vertical="center"/>
    </xf>
    <xf numFmtId="0" fontId="8" fillId="6" borderId="1" applyAlignment="1" pivotButton="0" quotePrefix="0" xfId="0">
      <alignment horizontal="center" vertical="center"/>
    </xf>
    <xf numFmtId="0" fontId="9" fillId="5" borderId="1" applyAlignment="1" pivotButton="0" quotePrefix="0" xfId="0">
      <alignment horizontal="left" vertical="center"/>
    </xf>
    <xf numFmtId="0" fontId="6" fillId="7" borderId="1" applyAlignment="1" pivotButton="0" quotePrefix="0" xfId="0">
      <alignment horizontal="left" vertical="center"/>
    </xf>
    <xf numFmtId="0" fontId="6" fillId="7" borderId="1" applyAlignment="1" pivotButton="0" quotePrefix="0" xfId="0">
      <alignment horizontal="center" vertical="center"/>
    </xf>
    <xf numFmtId="164" fontId="6" fillId="7" borderId="1" applyAlignment="1" pivotButton="0" quotePrefix="0" xfId="0">
      <alignment horizontal="center" vertical="center"/>
    </xf>
    <xf numFmtId="0" fontId="9" fillId="7" borderId="1" applyAlignment="1" pivotButton="0" quotePrefix="0" xfId="0">
      <alignment horizontal="left" vertical="center"/>
    </xf>
    <xf numFmtId="0" fontId="5" fillId="7" borderId="1" applyAlignment="1" pivotButton="0" quotePrefix="0" xfId="0">
      <alignment horizontal="left" vertical="center"/>
    </xf>
    <xf numFmtId="0" fontId="4" fillId="8" borderId="1" applyAlignment="1" pivotButton="0" quotePrefix="0" xfId="0">
      <alignment horizontal="center" vertical="center"/>
    </xf>
    <xf numFmtId="0" fontId="8" fillId="8" borderId="1" applyAlignment="1" pivotButton="0" quotePrefix="0" xfId="0">
      <alignment horizontal="center" vertical="center"/>
    </xf>
    <xf numFmtId="0" fontId="4" fillId="9" borderId="1" applyAlignment="1" pivotButton="0" quotePrefix="0" xfId="0">
      <alignment horizontal="center" vertical="center"/>
    </xf>
    <xf numFmtId="0" fontId="8" fillId="9" borderId="1" applyAlignment="1" pivotButton="0" quotePrefix="0" xfId="0">
      <alignment horizontal="center" vertical="center"/>
    </xf>
    <xf numFmtId="0" fontId="4" fillId="10" borderId="1" applyAlignment="1" pivotButton="0" quotePrefix="0" xfId="0">
      <alignment horizontal="center" vertical="center"/>
    </xf>
    <xf numFmtId="0" fontId="8" fillId="10" borderId="1" applyAlignment="1" pivotButton="0" quotePrefix="0" xfId="0">
      <alignment horizontal="center" vertical="center"/>
    </xf>
    <xf numFmtId="0" fontId="4" fillId="11" borderId="1" applyAlignment="1" pivotButton="0" quotePrefix="0" xfId="0">
      <alignment horizontal="center" vertical="center"/>
    </xf>
    <xf numFmtId="0" fontId="8" fillId="11" borderId="1" applyAlignment="1" pivotButton="0" quotePrefix="0" xfId="0">
      <alignment horizontal="center" vertical="center"/>
    </xf>
    <xf numFmtId="0" fontId="10" fillId="0" borderId="1" applyAlignment="1" pivotButton="0" quotePrefix="0" xfId="0">
      <alignment horizontal="left" vertical="center"/>
    </xf>
    <xf numFmtId="0" fontId="9" fillId="0" borderId="1" applyAlignment="1" pivotButton="0" quotePrefix="0" xfId="0">
      <alignment horizontal="center" vertical="center"/>
    </xf>
    <xf numFmtId="9" fontId="10" fillId="0" borderId="1" applyAlignment="1" pivotButton="0" quotePrefix="0" xfId="0">
      <alignment horizontal="center" vertical="center"/>
    </xf>
    <xf numFmtId="0" fontId="12" fillId="3" borderId="1" applyAlignment="1" pivotButton="0" quotePrefix="0" xfId="0">
      <alignment horizontal="left" vertical="center"/>
    </xf>
    <xf numFmtId="0" fontId="10" fillId="3" borderId="1" applyAlignment="1" pivotButton="0" quotePrefix="0" xfId="0">
      <alignment horizontal="center" vertical="center"/>
    </xf>
    <xf numFmtId="9" fontId="12" fillId="3" borderId="1" applyAlignment="1" pivotButton="0" quotePrefix="0" xfId="0">
      <alignment horizontal="center" vertical="center"/>
    </xf>
    <xf numFmtId="0" fontId="3" fillId="4" borderId="1" applyAlignment="1" pivotButton="0" quotePrefix="0" xfId="0">
      <alignment horizontal="center" vertical="center"/>
    </xf>
    <xf numFmtId="0" fontId="5" fillId="7" borderId="1" applyAlignment="1" pivotButton="0" quotePrefix="0" xfId="0">
      <alignment horizontal="left" vertical="center" wrapText="1"/>
    </xf>
    <xf numFmtId="0" fontId="6" fillId="7" borderId="1" applyAlignment="1" pivotButton="0" quotePrefix="0" xfId="0">
      <alignment horizontal="left" vertical="center" wrapText="1"/>
    </xf>
    <xf numFmtId="0" fontId="5" fillId="5" borderId="1" applyAlignment="1" pivotButton="0" quotePrefix="0" xfId="0">
      <alignment horizontal="left" vertical="center" wrapText="1"/>
    </xf>
    <xf numFmtId="0" fontId="6" fillId="5" borderId="1" applyAlignment="1" pivotButton="0" quotePrefix="0" xfId="0">
      <alignment horizontal="left" vertical="center" wrapText="1"/>
    </xf>
    <xf numFmtId="0" fontId="4" fillId="12" borderId="1" applyAlignment="1" pivotButton="0" quotePrefix="0" xfId="0">
      <alignment horizontal="center" vertical="center"/>
    </xf>
    <xf numFmtId="0" fontId="14" fillId="3" borderId="4" applyAlignment="1" pivotButton="0" quotePrefix="0" xfId="0">
      <alignment horizontal="right" vertical="center" wrapText="1" indent="1"/>
    </xf>
    <xf numFmtId="0" fontId="19" fillId="0" borderId="0" pivotButton="0" quotePrefix="0" xfId="0"/>
    <xf numFmtId="0" fontId="6" fillId="6" borderId="1" applyAlignment="1" pivotButton="0" quotePrefix="0" xfId="0">
      <alignment horizontal="left" vertical="center"/>
    </xf>
    <xf numFmtId="0" fontId="6" fillId="10" borderId="1" applyAlignment="1" pivotButton="0" quotePrefix="0" xfId="0">
      <alignment horizontal="left" vertical="center"/>
    </xf>
    <xf numFmtId="0" fontId="6" fillId="9" borderId="1" applyAlignment="1" pivotButton="0" quotePrefix="0" xfId="0">
      <alignment horizontal="left" vertical="center"/>
    </xf>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6" fillId="0" borderId="1" applyAlignment="1" pivotButton="0" quotePrefix="0" xfId="0">
      <alignment horizontal="center" vertical="center"/>
    </xf>
    <xf numFmtId="0" fontId="7" fillId="0" borderId="1" applyAlignment="1" pivotButton="0" quotePrefix="0" xfId="0">
      <alignment horizontal="left" vertical="center"/>
    </xf>
    <xf numFmtId="0" fontId="22" fillId="16" borderId="7" applyAlignment="1" pivotButton="0" quotePrefix="0" xfId="0">
      <alignment horizontal="left" vertical="center"/>
    </xf>
    <xf numFmtId="0" fontId="23" fillId="16" borderId="7" applyAlignment="1" pivotButton="0" quotePrefix="0" xfId="0">
      <alignment horizontal="left" vertical="center"/>
    </xf>
    <xf numFmtId="0" fontId="23" fillId="16" borderId="7" applyAlignment="1" pivotButton="0" quotePrefix="0" xfId="0">
      <alignment horizontal="center" vertical="center"/>
    </xf>
    <xf numFmtId="164" fontId="23" fillId="16" borderId="7" applyAlignment="1" pivotButton="0" quotePrefix="0" xfId="0">
      <alignment horizontal="center" vertical="center"/>
    </xf>
    <xf numFmtId="0" fontId="23" fillId="17" borderId="7" applyAlignment="1" pivotButton="0" quotePrefix="0" xfId="0">
      <alignment horizontal="left" vertical="center"/>
    </xf>
    <xf numFmtId="0" fontId="22" fillId="18" borderId="7" applyAlignment="1" pivotButton="0" quotePrefix="0" xfId="0">
      <alignment horizontal="left" vertical="center"/>
    </xf>
    <xf numFmtId="0" fontId="23" fillId="18" borderId="7" applyAlignment="1" pivotButton="0" quotePrefix="0" xfId="0">
      <alignment horizontal="left" vertical="center"/>
    </xf>
    <xf numFmtId="0" fontId="23" fillId="18" borderId="7" applyAlignment="1" pivotButton="0" quotePrefix="0" xfId="0">
      <alignment horizontal="center" vertical="center"/>
    </xf>
    <xf numFmtId="164" fontId="23" fillId="18" borderId="7" applyAlignment="1" pivotButton="0" quotePrefix="0" xfId="0">
      <alignment horizontal="center" vertical="center"/>
    </xf>
    <xf numFmtId="0" fontId="22" fillId="18" borderId="7" applyAlignment="1" pivotButton="0" quotePrefix="0" xfId="0">
      <alignment horizontal="left" vertical="center" wrapText="1"/>
    </xf>
    <xf numFmtId="0" fontId="24" fillId="19" borderId="7" applyAlignment="1" pivotButton="0" quotePrefix="0" xfId="0">
      <alignment horizontal="center" vertical="center"/>
    </xf>
    <xf numFmtId="0" fontId="23" fillId="18" borderId="7" applyAlignment="1" pivotButton="0" quotePrefix="0" xfId="0">
      <alignment horizontal="left" vertical="center" wrapText="1"/>
    </xf>
    <xf numFmtId="0" fontId="22" fillId="16" borderId="7" applyAlignment="1" pivotButton="0" quotePrefix="0" xfId="0">
      <alignment horizontal="left" vertical="center" wrapText="1"/>
    </xf>
    <xf numFmtId="0" fontId="23" fillId="16" borderId="7" applyAlignment="1" pivotButton="0" quotePrefix="0" xfId="0">
      <alignment horizontal="left" vertical="center" wrapText="1"/>
    </xf>
    <xf numFmtId="0" fontId="26" fillId="20" borderId="8" applyAlignment="1" pivotButton="0" quotePrefix="0" xfId="0">
      <alignment horizontal="left" vertical="center"/>
    </xf>
    <xf numFmtId="0" fontId="27" fillId="20" borderId="8" applyAlignment="1" pivotButton="0" quotePrefix="0" xfId="0">
      <alignment horizontal="left" vertical="center"/>
    </xf>
    <xf numFmtId="0" fontId="27" fillId="20" borderId="8" applyAlignment="1" pivotButton="0" quotePrefix="0" xfId="0">
      <alignment horizontal="center" vertical="center"/>
    </xf>
    <xf numFmtId="164" fontId="27" fillId="20" borderId="8" applyAlignment="1" pivotButton="0" quotePrefix="0" xfId="0">
      <alignment horizontal="center" vertical="center"/>
    </xf>
    <xf numFmtId="0" fontId="27" fillId="21" borderId="8" applyAlignment="1" pivotButton="0" quotePrefix="0" xfId="0">
      <alignment horizontal="left" vertical="center"/>
    </xf>
    <xf numFmtId="0" fontId="26" fillId="22" borderId="8" applyAlignment="1" pivotButton="0" quotePrefix="0" xfId="0">
      <alignment horizontal="left" vertical="center"/>
    </xf>
    <xf numFmtId="0" fontId="27" fillId="22" borderId="8" applyAlignment="1" pivotButton="0" quotePrefix="0" xfId="0">
      <alignment horizontal="left" vertical="center"/>
    </xf>
    <xf numFmtId="0" fontId="27" fillId="22" borderId="8" applyAlignment="1" pivotButton="0" quotePrefix="0" xfId="0">
      <alignment horizontal="center" vertical="center"/>
    </xf>
    <xf numFmtId="164" fontId="27" fillId="22" borderId="8" applyAlignment="1" pivotButton="0" quotePrefix="0" xfId="0">
      <alignment horizontal="center" vertical="center"/>
    </xf>
    <xf numFmtId="0" fontId="28" fillId="23" borderId="8" applyAlignment="1" pivotButton="0" quotePrefix="0" xfId="0">
      <alignment horizontal="center" vertical="center"/>
    </xf>
    <xf numFmtId="0" fontId="27" fillId="23" borderId="8" applyAlignment="1" pivotButton="0" quotePrefix="0" xfId="0">
      <alignment horizontal="left" vertical="center"/>
    </xf>
    <xf numFmtId="0" fontId="28" fillId="24" borderId="8" applyAlignment="1" pivotButton="0" quotePrefix="0" xfId="0">
      <alignment horizontal="center" vertical="center"/>
    </xf>
    <xf numFmtId="0" fontId="27" fillId="24" borderId="8" applyAlignment="1" pivotButton="0" quotePrefix="0" xfId="0">
      <alignment horizontal="left" vertical="center"/>
    </xf>
    <xf numFmtId="0" fontId="26" fillId="20" borderId="8" applyAlignment="1" pivotButton="0" quotePrefix="0" xfId="0">
      <alignment horizontal="left" vertical="center" wrapText="1"/>
    </xf>
    <xf numFmtId="0" fontId="26" fillId="22" borderId="8" applyAlignment="1" pivotButton="0" quotePrefix="0" xfId="0">
      <alignment horizontal="left" vertical="center" wrapText="1"/>
    </xf>
    <xf numFmtId="0" fontId="30" fillId="25" borderId="9" applyAlignment="1" pivotButton="0" quotePrefix="0" xfId="0">
      <alignment horizontal="left" vertical="center"/>
    </xf>
    <xf numFmtId="0" fontId="31" fillId="25" borderId="9" applyAlignment="1" pivotButton="0" quotePrefix="0" xfId="0">
      <alignment horizontal="left" vertical="center"/>
    </xf>
    <xf numFmtId="0" fontId="31" fillId="25" borderId="9" applyAlignment="1" pivotButton="0" quotePrefix="0" xfId="0">
      <alignment horizontal="center" vertical="center"/>
    </xf>
    <xf numFmtId="164" fontId="31" fillId="25" borderId="9" applyAlignment="1" pivotButton="0" quotePrefix="0" xfId="0">
      <alignment horizontal="center" vertical="center"/>
    </xf>
    <xf numFmtId="0" fontId="31" fillId="26" borderId="9" applyAlignment="1" pivotButton="0" quotePrefix="0" xfId="0">
      <alignment horizontal="left" vertical="center"/>
    </xf>
    <xf numFmtId="0" fontId="30" fillId="25" borderId="9" applyAlignment="1" pivotButton="0" quotePrefix="0" xfId="0">
      <alignment horizontal="left" vertical="center" wrapText="1"/>
    </xf>
    <xf numFmtId="0" fontId="32" fillId="27" borderId="9" applyAlignment="1" pivotButton="0" quotePrefix="0" xfId="0">
      <alignment horizontal="center" vertical="center"/>
    </xf>
    <xf numFmtId="0" fontId="31" fillId="25" borderId="9" applyAlignment="1" pivotButton="0" quotePrefix="0" xfId="0">
      <alignment horizontal="left" vertical="center" wrapText="1"/>
    </xf>
    <xf numFmtId="0" fontId="34" fillId="28" borderId="10" applyAlignment="1" pivotButton="0" quotePrefix="0" xfId="0">
      <alignment horizontal="left" vertical="center"/>
    </xf>
    <xf numFmtId="0" fontId="35" fillId="28" borderId="10" applyAlignment="1" pivotButton="0" quotePrefix="0" xfId="0">
      <alignment horizontal="left" vertical="center"/>
    </xf>
    <xf numFmtId="0" fontId="35" fillId="28" borderId="10" applyAlignment="1" pivotButton="0" quotePrefix="0" xfId="0">
      <alignment horizontal="center" vertical="center"/>
    </xf>
    <xf numFmtId="164" fontId="35" fillId="28" borderId="10" applyAlignment="1" pivotButton="0" quotePrefix="0" xfId="0">
      <alignment horizontal="center" vertical="center"/>
    </xf>
    <xf numFmtId="0" fontId="35" fillId="29" borderId="10" applyAlignment="1" pivotButton="0" quotePrefix="0" xfId="0">
      <alignment horizontal="left" vertical="center"/>
    </xf>
    <xf numFmtId="0" fontId="34" fillId="30" borderId="10" applyAlignment="1" pivotButton="0" quotePrefix="0" xfId="0">
      <alignment horizontal="left" vertical="center"/>
    </xf>
    <xf numFmtId="0" fontId="35" fillId="30" borderId="10" applyAlignment="1" pivotButton="0" quotePrefix="0" xfId="0">
      <alignment horizontal="left" vertical="center"/>
    </xf>
    <xf numFmtId="0" fontId="35" fillId="30" borderId="10" applyAlignment="1" pivotButton="0" quotePrefix="0" xfId="0">
      <alignment horizontal="center" vertical="center"/>
    </xf>
    <xf numFmtId="164" fontId="35" fillId="30" borderId="10" applyAlignment="1" pivotButton="0" quotePrefix="0" xfId="0">
      <alignment horizontal="center" vertical="center"/>
    </xf>
    <xf numFmtId="0" fontId="36" fillId="31" borderId="10" applyAlignment="1" pivotButton="0" quotePrefix="0" xfId="0">
      <alignment horizontal="center" vertical="center"/>
    </xf>
    <xf numFmtId="0" fontId="35" fillId="31" borderId="10" applyAlignment="1" pivotButton="0" quotePrefix="0" xfId="0">
      <alignment horizontal="left" vertical="center"/>
    </xf>
    <xf numFmtId="0" fontId="34" fillId="28" borderId="10" applyAlignment="1" pivotButton="0" quotePrefix="0" xfId="0">
      <alignment horizontal="left" vertical="center" wrapText="1"/>
    </xf>
    <xf numFmtId="0" fontId="35" fillId="28" borderId="10" applyAlignment="1" pivotButton="0" quotePrefix="0" xfId="0">
      <alignment horizontal="left" vertical="center" wrapText="1"/>
    </xf>
    <xf numFmtId="0" fontId="35" fillId="30" borderId="10" applyAlignment="1" pivotButton="0" quotePrefix="0" xfId="0">
      <alignment horizontal="left" vertical="center" wrapText="1"/>
    </xf>
    <xf numFmtId="0" fontId="38" fillId="32" borderId="11" applyAlignment="1" pivotButton="0" quotePrefix="0" xfId="0">
      <alignment horizontal="left" vertical="center"/>
    </xf>
    <xf numFmtId="0" fontId="39" fillId="32" borderId="11" applyAlignment="1" pivotButton="0" quotePrefix="0" xfId="0">
      <alignment horizontal="left" vertical="center"/>
    </xf>
    <xf numFmtId="0" fontId="39" fillId="32" borderId="11" applyAlignment="1" pivotButton="0" quotePrefix="0" xfId="0">
      <alignment horizontal="center" vertical="center"/>
    </xf>
    <xf numFmtId="164" fontId="39" fillId="32" borderId="11" applyAlignment="1" pivotButton="0" quotePrefix="0" xfId="0">
      <alignment horizontal="center" vertical="center"/>
    </xf>
    <xf numFmtId="0" fontId="39" fillId="33" borderId="11" applyAlignment="1" pivotButton="0" quotePrefix="0" xfId="0">
      <alignment horizontal="left" vertical="center"/>
    </xf>
    <xf numFmtId="0" fontId="38" fillId="34" borderId="11" applyAlignment="1" pivotButton="0" quotePrefix="0" xfId="0">
      <alignment horizontal="left" vertical="center"/>
    </xf>
    <xf numFmtId="0" fontId="39" fillId="34" borderId="11" applyAlignment="1" pivotButton="0" quotePrefix="0" xfId="0">
      <alignment horizontal="left" vertical="center"/>
    </xf>
    <xf numFmtId="0" fontId="39" fillId="34" borderId="11" applyAlignment="1" pivotButton="0" quotePrefix="0" xfId="0">
      <alignment horizontal="center" vertical="center"/>
    </xf>
    <xf numFmtId="164" fontId="39" fillId="34" borderId="11" applyAlignment="1" pivotButton="0" quotePrefix="0" xfId="0">
      <alignment horizontal="center" vertical="center"/>
    </xf>
    <xf numFmtId="0" fontId="40" fillId="35" borderId="11" applyAlignment="1" pivotButton="0" quotePrefix="0" xfId="0">
      <alignment horizontal="center" vertical="center"/>
    </xf>
    <xf numFmtId="0" fontId="39" fillId="35" borderId="11" applyAlignment="1" pivotButton="0" quotePrefix="0" xfId="0">
      <alignment horizontal="left" vertical="center"/>
    </xf>
    <xf numFmtId="0" fontId="38" fillId="34" borderId="11" applyAlignment="1" pivotButton="0" quotePrefix="0" xfId="0">
      <alignment horizontal="left" vertical="center" wrapText="1"/>
    </xf>
    <xf numFmtId="0" fontId="39" fillId="34" borderId="11" applyAlignment="1" pivotButton="0" quotePrefix="0" xfId="0">
      <alignment horizontal="left" vertical="center" wrapText="1"/>
    </xf>
    <xf numFmtId="0" fontId="38" fillId="32" borderId="11" applyAlignment="1" pivotButton="0" quotePrefix="0" xfId="0">
      <alignment horizontal="left" vertical="center" wrapText="1"/>
    </xf>
    <xf numFmtId="0" fontId="39" fillId="32" borderId="11" applyAlignment="1" pivotButton="0" quotePrefix="0" xfId="0">
      <alignment horizontal="left" vertical="center" wrapText="1"/>
    </xf>
    <xf numFmtId="0" fontId="42" fillId="36" borderId="12" applyAlignment="1" pivotButton="0" quotePrefix="0" xfId="0">
      <alignment horizontal="left" vertical="center"/>
    </xf>
    <xf numFmtId="0" fontId="43" fillId="36" borderId="12" applyAlignment="1" pivotButton="0" quotePrefix="0" xfId="0">
      <alignment horizontal="left" vertical="center"/>
    </xf>
    <xf numFmtId="0" fontId="43" fillId="36" borderId="12" applyAlignment="1" pivotButton="0" quotePrefix="0" xfId="0">
      <alignment horizontal="center" vertical="center"/>
    </xf>
    <xf numFmtId="164" fontId="43" fillId="36" borderId="12" applyAlignment="1" pivotButton="0" quotePrefix="0" xfId="0">
      <alignment horizontal="center" vertical="center"/>
    </xf>
    <xf numFmtId="0" fontId="43" fillId="37" borderId="12" applyAlignment="1" pivotButton="0" quotePrefix="0" xfId="0">
      <alignment horizontal="left" vertical="center"/>
    </xf>
    <xf numFmtId="0" fontId="42" fillId="38" borderId="12" applyAlignment="1" pivotButton="0" quotePrefix="0" xfId="0">
      <alignment horizontal="left" vertical="center"/>
    </xf>
    <xf numFmtId="0" fontId="43" fillId="38" borderId="12" applyAlignment="1" pivotButton="0" quotePrefix="0" xfId="0">
      <alignment horizontal="left" vertical="center"/>
    </xf>
    <xf numFmtId="0" fontId="44" fillId="39" borderId="12" applyAlignment="1" pivotButton="0" quotePrefix="0" xfId="0">
      <alignment horizontal="center" vertical="center"/>
    </xf>
    <xf numFmtId="0" fontId="43" fillId="38" borderId="12" applyAlignment="1" pivotButton="0" quotePrefix="0" xfId="0">
      <alignment horizontal="center" vertical="center"/>
    </xf>
    <xf numFmtId="164" fontId="43" fillId="38" borderId="12" applyAlignment="1" pivotButton="0" quotePrefix="0" xfId="0">
      <alignment horizontal="center" vertical="center"/>
    </xf>
    <xf numFmtId="0" fontId="43" fillId="39" borderId="12" applyAlignment="1" pivotButton="0" quotePrefix="0" xfId="0">
      <alignment horizontal="left" vertical="center"/>
    </xf>
    <xf numFmtId="0" fontId="46" fillId="40" borderId="13" applyAlignment="1" pivotButton="0" quotePrefix="0" xfId="0">
      <alignment horizontal="left" vertical="center"/>
    </xf>
    <xf numFmtId="0" fontId="47" fillId="40" borderId="13" applyAlignment="1" pivotButton="0" quotePrefix="0" xfId="0">
      <alignment horizontal="left" vertical="center"/>
    </xf>
    <xf numFmtId="0" fontId="48" fillId="41" borderId="13" applyAlignment="1" pivotButton="0" quotePrefix="0" xfId="0">
      <alignment horizontal="center" vertical="center"/>
    </xf>
    <xf numFmtId="0" fontId="47" fillId="40" borderId="13" applyAlignment="1" pivotButton="0" quotePrefix="0" xfId="0">
      <alignment horizontal="center" vertical="center"/>
    </xf>
    <xf numFmtId="164" fontId="47" fillId="40" borderId="13" applyAlignment="1" pivotButton="0" quotePrefix="0" xfId="0">
      <alignment horizontal="center" vertical="center"/>
    </xf>
    <xf numFmtId="0" fontId="47" fillId="41" borderId="13" applyAlignment="1" pivotButton="0" quotePrefix="0" xfId="0">
      <alignment horizontal="left" vertical="center"/>
    </xf>
    <xf numFmtId="0" fontId="46" fillId="42" borderId="13" applyAlignment="1" pivotButton="0" quotePrefix="0" xfId="0">
      <alignment horizontal="left" vertical="center"/>
    </xf>
    <xf numFmtId="0" fontId="47" fillId="42" borderId="13" applyAlignment="1" pivotButton="0" quotePrefix="0" xfId="0">
      <alignment horizontal="left" vertical="center"/>
    </xf>
    <xf numFmtId="0" fontId="47" fillId="42" borderId="13" applyAlignment="1" pivotButton="0" quotePrefix="0" xfId="0">
      <alignment horizontal="center" vertical="center"/>
    </xf>
    <xf numFmtId="164" fontId="47" fillId="42" borderId="13" applyAlignment="1" pivotButton="0" quotePrefix="0" xfId="0">
      <alignment horizontal="center" vertical="center"/>
    </xf>
    <xf numFmtId="0" fontId="47" fillId="43" borderId="13" applyAlignment="1" pivotButton="0" quotePrefix="0" xfId="0">
      <alignment horizontal="left" vertical="center"/>
    </xf>
    <xf numFmtId="0" fontId="48" fillId="44" borderId="13" applyAlignment="1" pivotButton="0" quotePrefix="0" xfId="0">
      <alignment horizontal="center" vertical="center"/>
    </xf>
    <xf numFmtId="0" fontId="47" fillId="44" borderId="13" applyAlignment="1" pivotButton="0" quotePrefix="0" xfId="0">
      <alignment horizontal="left" vertical="center"/>
    </xf>
    <xf numFmtId="0" fontId="46" fillId="42" borderId="13" applyAlignment="1" pivotButton="0" quotePrefix="0" xfId="0">
      <alignment horizontal="left" vertical="center" wrapText="1"/>
    </xf>
    <xf numFmtId="0" fontId="47" fillId="42" borderId="13" applyAlignment="1" pivotButton="0" quotePrefix="0" xfId="0">
      <alignment horizontal="left" vertical="center" wrapText="1"/>
    </xf>
    <xf numFmtId="0" fontId="46" fillId="40" borderId="13" applyAlignment="1" pivotButton="0" quotePrefix="0" xfId="0">
      <alignment horizontal="left" vertical="center" wrapText="1"/>
    </xf>
    <xf numFmtId="0" fontId="47" fillId="40" borderId="13" applyAlignment="1" pivotButton="0" quotePrefix="0" xfId="0">
      <alignment horizontal="left" vertical="center" wrapText="1"/>
    </xf>
    <xf numFmtId="0" fontId="50" fillId="45" borderId="14" applyAlignment="1" pivotButton="0" quotePrefix="0" xfId="0">
      <alignment horizontal="left" vertical="center"/>
    </xf>
    <xf numFmtId="0" fontId="51" fillId="45" borderId="14" applyAlignment="1" pivotButton="0" quotePrefix="0" xfId="0">
      <alignment horizontal="left" vertical="center"/>
    </xf>
    <xf numFmtId="0" fontId="51" fillId="45" borderId="14" applyAlignment="1" pivotButton="0" quotePrefix="0" xfId="0">
      <alignment horizontal="center" vertical="center"/>
    </xf>
    <xf numFmtId="164" fontId="51" fillId="45" borderId="14" applyAlignment="1" pivotButton="0" quotePrefix="0" xfId="0">
      <alignment horizontal="center" vertical="center"/>
    </xf>
    <xf numFmtId="0" fontId="51" fillId="46" borderId="14" applyAlignment="1" pivotButton="0" quotePrefix="0" xfId="0">
      <alignment horizontal="left" vertical="center"/>
    </xf>
    <xf numFmtId="0" fontId="50" fillId="47" borderId="14" applyAlignment="1" pivotButton="0" quotePrefix="0" xfId="0">
      <alignment horizontal="left" vertical="center"/>
    </xf>
    <xf numFmtId="0" fontId="51" fillId="47" borderId="14" applyAlignment="1" pivotButton="0" quotePrefix="0" xfId="0">
      <alignment horizontal="left" vertical="center"/>
    </xf>
    <xf numFmtId="0" fontId="51" fillId="47" borderId="14" applyAlignment="1" pivotButton="0" quotePrefix="0" xfId="0">
      <alignment horizontal="center" vertical="center"/>
    </xf>
    <xf numFmtId="164" fontId="51" fillId="47" borderId="14" applyAlignment="1" pivotButton="0" quotePrefix="0" xfId="0">
      <alignment horizontal="center" vertical="center"/>
    </xf>
    <xf numFmtId="0" fontId="50" fillId="47" borderId="14" applyAlignment="1" pivotButton="0" quotePrefix="0" xfId="0">
      <alignment horizontal="left" vertical="center" wrapText="1"/>
    </xf>
    <xf numFmtId="0" fontId="52" fillId="48" borderId="14" applyAlignment="1" pivotButton="0" quotePrefix="0" xfId="0">
      <alignment horizontal="center" vertical="center"/>
    </xf>
    <xf numFmtId="0" fontId="51" fillId="47" borderId="14" applyAlignment="1" pivotButton="0" quotePrefix="0" xfId="0">
      <alignment horizontal="left" vertical="center" wrapText="1"/>
    </xf>
    <xf numFmtId="0" fontId="50" fillId="45" borderId="14" applyAlignment="1" pivotButton="0" quotePrefix="0" xfId="0">
      <alignment horizontal="left" vertical="center" wrapText="1"/>
    </xf>
    <xf numFmtId="0" fontId="52" fillId="49" borderId="14" applyAlignment="1" pivotButton="0" quotePrefix="0" xfId="0">
      <alignment horizontal="center" vertical="center"/>
    </xf>
    <xf numFmtId="0" fontId="51" fillId="45" borderId="14" applyAlignment="1" pivotButton="0" quotePrefix="0" xfId="0">
      <alignment horizontal="left" vertical="center" wrapText="1"/>
    </xf>
    <xf numFmtId="0" fontId="54" fillId="50" borderId="15" applyAlignment="1" pivotButton="0" quotePrefix="0" xfId="0">
      <alignment horizontal="left" vertical="center" wrapText="1"/>
    </xf>
    <xf numFmtId="0" fontId="55" fillId="51" borderId="15" applyAlignment="1" pivotButton="0" quotePrefix="0" xfId="0">
      <alignment horizontal="left" vertical="center"/>
    </xf>
    <xf numFmtId="0" fontId="54" fillId="51" borderId="15" applyAlignment="1" pivotButton="0" quotePrefix="0" xfId="0">
      <alignment horizontal="left" vertical="center"/>
    </xf>
    <xf numFmtId="0" fontId="56" fillId="52" borderId="15" applyAlignment="1" pivotButton="0" quotePrefix="0" xfId="0">
      <alignment horizontal="center" vertical="center"/>
    </xf>
    <xf numFmtId="0" fontId="54" fillId="51" borderId="15" applyAlignment="1" pivotButton="0" quotePrefix="0" xfId="0">
      <alignment horizontal="center" vertical="center"/>
    </xf>
    <xf numFmtId="164" fontId="54" fillId="51" borderId="15" applyAlignment="1" pivotButton="0" quotePrefix="0" xfId="0">
      <alignment horizontal="center" vertical="center"/>
    </xf>
    <xf numFmtId="0" fontId="54" fillId="52" borderId="15" applyAlignment="1" pivotButton="0" quotePrefix="0" xfId="0">
      <alignment horizontal="left" vertical="center"/>
    </xf>
    <xf numFmtId="0" fontId="55" fillId="51" borderId="15" applyAlignment="1" pivotButton="0" quotePrefix="0" xfId="0">
      <alignment horizontal="left" vertical="center" wrapText="1"/>
    </xf>
    <xf numFmtId="0" fontId="56" fillId="53" borderId="15" applyAlignment="1" pivotButton="0" quotePrefix="0" xfId="0">
      <alignment horizontal="center" vertical="center"/>
    </xf>
    <xf numFmtId="0" fontId="54" fillId="51" borderId="15" applyAlignment="1" pivotButton="0" quotePrefix="0" xfId="0">
      <alignment horizontal="left" vertical="center" wrapText="1"/>
    </xf>
    <xf numFmtId="0" fontId="58" fillId="54" borderId="16" applyAlignment="1" pivotButton="0" quotePrefix="0" xfId="0">
      <alignment horizontal="left" vertical="center"/>
    </xf>
    <xf numFmtId="0" fontId="59" fillId="54" borderId="16" applyAlignment="1" pivotButton="0" quotePrefix="0" xfId="0">
      <alignment horizontal="left" vertical="center"/>
    </xf>
    <xf numFmtId="0" fontId="59" fillId="54" borderId="16" applyAlignment="1" pivotButton="0" quotePrefix="0" xfId="0">
      <alignment horizontal="center" vertical="center"/>
    </xf>
    <xf numFmtId="164" fontId="59" fillId="54" borderId="16" applyAlignment="1" pivotButton="0" quotePrefix="0" xfId="0">
      <alignment horizontal="center" vertical="center"/>
    </xf>
    <xf numFmtId="0" fontId="59" fillId="55" borderId="16" applyAlignment="1" pivotButton="0" quotePrefix="0" xfId="0">
      <alignment horizontal="left" vertical="center"/>
    </xf>
    <xf numFmtId="0" fontId="58" fillId="54" borderId="16" applyAlignment="1" pivotButton="0" quotePrefix="0" xfId="0">
      <alignment horizontal="left" vertical="center" wrapText="1"/>
    </xf>
    <xf numFmtId="0" fontId="60" fillId="56" borderId="16" applyAlignment="1" pivotButton="0" quotePrefix="0" xfId="0">
      <alignment horizontal="center" vertical="center"/>
    </xf>
    <xf numFmtId="0" fontId="59" fillId="54" borderId="16" applyAlignment="1" pivotButton="0" quotePrefix="0" xfId="0">
      <alignment horizontal="left" vertical="center" wrapText="1"/>
    </xf>
    <xf numFmtId="0" fontId="58" fillId="57" borderId="16" applyAlignment="1" pivotButton="0" quotePrefix="0" xfId="0">
      <alignment horizontal="left" vertical="center" wrapText="1"/>
    </xf>
    <xf numFmtId="0" fontId="59" fillId="57" borderId="16" applyAlignment="1" pivotButton="0" quotePrefix="0" xfId="0">
      <alignment horizontal="center" vertical="center"/>
    </xf>
    <xf numFmtId="0" fontId="60" fillId="58" borderId="16" applyAlignment="1" pivotButton="0" quotePrefix="0" xfId="0">
      <alignment horizontal="center" vertical="center"/>
    </xf>
    <xf numFmtId="0" fontId="59" fillId="57" borderId="16" applyAlignment="1" pivotButton="0" quotePrefix="0" xfId="0">
      <alignment horizontal="left" vertical="center" wrapText="1"/>
    </xf>
    <xf numFmtId="0" fontId="62" fillId="59" borderId="17" applyAlignment="1" pivotButton="0" quotePrefix="0" xfId="0">
      <alignment horizontal="left" vertical="center"/>
    </xf>
    <xf numFmtId="0" fontId="63" fillId="59" borderId="17" applyAlignment="1" pivotButton="0" quotePrefix="0" xfId="0">
      <alignment horizontal="left" vertical="center"/>
    </xf>
    <xf numFmtId="0" fontId="64" fillId="60" borderId="17" applyAlignment="1" pivotButton="0" quotePrefix="0" xfId="0">
      <alignment horizontal="center" vertical="center"/>
    </xf>
    <xf numFmtId="0" fontId="63" fillId="59" borderId="17" applyAlignment="1" pivotButton="0" quotePrefix="0" xfId="0">
      <alignment horizontal="center" vertical="center"/>
    </xf>
    <xf numFmtId="164" fontId="63" fillId="59" borderId="17" applyAlignment="1" pivotButton="0" quotePrefix="0" xfId="0">
      <alignment horizontal="center" vertical="center"/>
    </xf>
    <xf numFmtId="0" fontId="63" fillId="60" borderId="17" applyAlignment="1" pivotButton="0" quotePrefix="0" xfId="0">
      <alignment horizontal="left" vertical="center"/>
    </xf>
    <xf numFmtId="0" fontId="62" fillId="61" borderId="17" applyAlignment="1" pivotButton="0" quotePrefix="0" xfId="0">
      <alignment horizontal="left" vertical="center"/>
    </xf>
    <xf numFmtId="0" fontId="63" fillId="61" borderId="17" applyAlignment="1" pivotButton="0" quotePrefix="0" xfId="0">
      <alignment horizontal="left" vertical="center"/>
    </xf>
    <xf numFmtId="0" fontId="63" fillId="61" borderId="17" applyAlignment="1" pivotButton="0" quotePrefix="0" xfId="0">
      <alignment horizontal="center" vertical="center"/>
    </xf>
    <xf numFmtId="164" fontId="63" fillId="61" borderId="17" applyAlignment="1" pivotButton="0" quotePrefix="0" xfId="0">
      <alignment horizontal="center" vertical="center"/>
    </xf>
    <xf numFmtId="0" fontId="63" fillId="62" borderId="17" applyAlignment="1" pivotButton="0" quotePrefix="0" xfId="0">
      <alignment horizontal="left" vertical="center"/>
    </xf>
    <xf numFmtId="0" fontId="64" fillId="63" borderId="17" applyAlignment="1" pivotButton="0" quotePrefix="0" xfId="0">
      <alignment horizontal="center" vertical="center"/>
    </xf>
    <xf numFmtId="0" fontId="63" fillId="63" borderId="17" applyAlignment="1" pivotButton="0" quotePrefix="0" xfId="0">
      <alignment horizontal="left" vertical="center"/>
    </xf>
    <xf numFmtId="0" fontId="62" fillId="61" borderId="17" applyAlignment="1" pivotButton="0" quotePrefix="0" xfId="0">
      <alignment horizontal="left" vertical="center" wrapText="1"/>
    </xf>
    <xf numFmtId="0" fontId="63" fillId="61" borderId="17" applyAlignment="1" pivotButton="0" quotePrefix="0" xfId="0">
      <alignment horizontal="left" vertical="center" wrapText="1"/>
    </xf>
    <xf numFmtId="0" fontId="62" fillId="59" borderId="17" applyAlignment="1" pivotButton="0" quotePrefix="0" xfId="0">
      <alignment horizontal="left" vertical="center" wrapText="1"/>
    </xf>
    <xf numFmtId="0" fontId="63" fillId="59" borderId="17" applyAlignment="1" pivotButton="0" quotePrefix="0" xfId="0">
      <alignment horizontal="left" vertical="center" wrapText="1"/>
    </xf>
    <xf numFmtId="0" fontId="66" fillId="64" borderId="18" applyAlignment="1" pivotButton="0" quotePrefix="0" xfId="0">
      <alignment horizontal="left" vertical="center"/>
    </xf>
    <xf numFmtId="0" fontId="67" fillId="64" borderId="18" applyAlignment="1" pivotButton="0" quotePrefix="0" xfId="0">
      <alignment horizontal="left" vertical="center"/>
    </xf>
    <xf numFmtId="0" fontId="67" fillId="64" borderId="18" applyAlignment="1" pivotButton="0" quotePrefix="0" xfId="0">
      <alignment horizontal="center" vertical="center"/>
    </xf>
    <xf numFmtId="164" fontId="67" fillId="64" borderId="18" applyAlignment="1" pivotButton="0" quotePrefix="0" xfId="0">
      <alignment horizontal="center" vertical="center"/>
    </xf>
    <xf numFmtId="0" fontId="67" fillId="65" borderId="18" applyAlignment="1" pivotButton="0" quotePrefix="0" xfId="0">
      <alignment horizontal="left" vertical="center"/>
    </xf>
    <xf numFmtId="0" fontId="66" fillId="66" borderId="18" applyAlignment="1" pivotButton="0" quotePrefix="0" xfId="0">
      <alignment horizontal="left" vertical="center"/>
    </xf>
    <xf numFmtId="0" fontId="67" fillId="66" borderId="18" applyAlignment="1" pivotButton="0" quotePrefix="0" xfId="0">
      <alignment horizontal="left" vertical="center"/>
    </xf>
    <xf numFmtId="0" fontId="68" fillId="67" borderId="18" applyAlignment="1" pivotButton="0" quotePrefix="0" xfId="0">
      <alignment horizontal="center" vertical="center"/>
    </xf>
    <xf numFmtId="0" fontId="67" fillId="66" borderId="18" applyAlignment="1" pivotButton="0" quotePrefix="0" xfId="0">
      <alignment horizontal="center" vertical="center"/>
    </xf>
    <xf numFmtId="164" fontId="67" fillId="66" borderId="18" applyAlignment="1" pivotButton="0" quotePrefix="0" xfId="0">
      <alignment horizontal="center" vertical="center"/>
    </xf>
    <xf numFmtId="0" fontId="67" fillId="67" borderId="18" applyAlignment="1" pivotButton="0" quotePrefix="0" xfId="0">
      <alignment horizontal="left" vertical="center"/>
    </xf>
    <xf numFmtId="0" fontId="68" fillId="68" borderId="18" applyAlignment="1" pivotButton="0" quotePrefix="0" xfId="0">
      <alignment horizontal="center" vertical="center"/>
    </xf>
    <xf numFmtId="0" fontId="67" fillId="68" borderId="18" applyAlignment="1" pivotButton="0" quotePrefix="0" xfId="0">
      <alignment horizontal="left" vertical="center"/>
    </xf>
    <xf numFmtId="0" fontId="67" fillId="69" borderId="18" applyAlignment="1" pivotButton="0" quotePrefix="0" xfId="0">
      <alignment horizontal="left" vertical="center"/>
    </xf>
    <xf numFmtId="0" fontId="66" fillId="64" borderId="18" applyAlignment="1" pivotButton="0" quotePrefix="0" xfId="0">
      <alignment horizontal="left" vertical="center" wrapText="1"/>
    </xf>
    <xf numFmtId="0" fontId="67" fillId="64" borderId="18" applyAlignment="1" pivotButton="0" quotePrefix="0" xfId="0">
      <alignment horizontal="left" vertical="center" wrapText="1"/>
    </xf>
    <xf numFmtId="0" fontId="66" fillId="66" borderId="18" applyAlignment="1" pivotButton="0" quotePrefix="0" xfId="0">
      <alignment horizontal="left" vertical="center" wrapText="1"/>
    </xf>
    <xf numFmtId="0" fontId="67" fillId="66" borderId="18" applyAlignment="1" pivotButton="0" quotePrefix="0" xfId="0">
      <alignment horizontal="left" vertical="center" wrapText="1"/>
    </xf>
    <xf numFmtId="165" fontId="0" fillId="0" borderId="0" pivotButton="0" quotePrefix="0" xfId="0"/>
    <xf numFmtId="0" fontId="70" fillId="0" borderId="0" pivotButton="0" quotePrefix="0" xfId="0"/>
    <xf numFmtId="0" fontId="71" fillId="0" borderId="0" pivotButton="0" quotePrefix="0" xfId="0"/>
    <xf numFmtId="0" fontId="72" fillId="70" borderId="0" applyAlignment="1" pivotButton="0" quotePrefix="0" xfId="0">
      <alignment vertical="center" wrapText="1"/>
    </xf>
    <xf numFmtId="0" fontId="73" fillId="0" borderId="0" applyAlignment="1" pivotButton="0" quotePrefix="0" xfId="0">
      <alignment vertical="top" wrapText="1"/>
    </xf>
    <xf numFmtId="0" fontId="0" fillId="0" borderId="0" applyAlignment="1" pivotButton="0" quotePrefix="0" xfId="0">
      <alignment vertical="top" wrapText="1"/>
    </xf>
    <xf numFmtId="0" fontId="73" fillId="71" borderId="0" applyAlignment="1" pivotButton="0" quotePrefix="0" xfId="0">
      <alignment vertical="top" wrapText="1"/>
    </xf>
    <xf numFmtId="0" fontId="73" fillId="72" borderId="0" applyAlignment="1" pivotButton="0" quotePrefix="0" xfId="0">
      <alignment vertical="top" wrapText="1"/>
    </xf>
    <xf numFmtId="0" fontId="73" fillId="73" borderId="0" applyAlignment="1" pivotButton="0" quotePrefix="0" xfId="0">
      <alignment vertical="top" wrapText="1"/>
    </xf>
    <xf numFmtId="0" fontId="74" fillId="0" borderId="0" pivotButton="0" quotePrefix="0" xfId="0"/>
    <xf numFmtId="0" fontId="76" fillId="70" borderId="0" applyAlignment="1" pivotButton="0" quotePrefix="0" xfId="0">
      <alignment vertical="center"/>
    </xf>
    <xf numFmtId="0" fontId="77" fillId="69" borderId="0" applyAlignment="1" pivotButton="0" quotePrefix="0" xfId="0">
      <alignment horizontal="center" vertical="top"/>
    </xf>
    <xf numFmtId="0" fontId="77" fillId="68" borderId="0" applyAlignment="1" pivotButton="0" quotePrefix="0" xfId="0">
      <alignment horizontal="center" vertical="top"/>
    </xf>
    <xf numFmtId="0" fontId="77" fillId="67" borderId="0" applyAlignment="1" pivotButton="0" quotePrefix="0" xfId="0">
      <alignment horizontal="center" vertical="top"/>
    </xf>
    <xf numFmtId="0" fontId="77" fillId="8" borderId="0" applyAlignment="1" pivotButton="0" quotePrefix="0" xfId="0">
      <alignment horizontal="center" vertical="top"/>
    </xf>
    <xf numFmtId="0" fontId="77" fillId="74" borderId="0" applyAlignment="1" pivotButton="0" quotePrefix="0" xfId="0">
      <alignment horizontal="center" vertical="top"/>
    </xf>
    <xf numFmtId="0" fontId="77" fillId="75" borderId="0" applyAlignment="1" pivotButton="0" quotePrefix="0" xfId="0">
      <alignment horizontal="center" vertical="top"/>
    </xf>
    <xf numFmtId="0" fontId="78" fillId="0" borderId="0" pivotButton="0" quotePrefix="0" xfId="0"/>
    <xf numFmtId="0" fontId="79" fillId="65" borderId="0" applyAlignment="1" pivotButton="0" quotePrefix="0" xfId="0">
      <alignment horizontal="center" vertical="top"/>
    </xf>
    <xf numFmtId="0" fontId="79" fillId="69" borderId="0" applyAlignment="1" pivotButton="0" quotePrefix="0" xfId="0">
      <alignment horizontal="center" vertical="top"/>
    </xf>
    <xf numFmtId="0" fontId="79" fillId="67" borderId="0" applyAlignment="1" pivotButton="0" quotePrefix="0" xfId="0">
      <alignment horizontal="center" vertical="top"/>
    </xf>
    <xf numFmtId="0" fontId="80" fillId="67" borderId="0" applyAlignment="1" pivotButton="0" quotePrefix="0" xfId="0">
      <alignment horizontal="center" vertical="top"/>
    </xf>
    <xf numFmtId="0" fontId="80" fillId="65" borderId="0" applyAlignment="1" pivotButton="0" quotePrefix="0" xfId="0">
      <alignment horizontal="center" vertical="top"/>
    </xf>
    <xf numFmtId="0" fontId="81" fillId="65" borderId="0" applyAlignment="1" pivotButton="0" quotePrefix="0" xfId="0">
      <alignment horizontal="center" vertical="top"/>
    </xf>
    <xf numFmtId="0" fontId="82" fillId="65" borderId="0" applyAlignment="1" pivotButton="0" quotePrefix="0" xfId="0">
      <alignment horizontal="center" vertical="top"/>
    </xf>
    <xf numFmtId="0" fontId="83" fillId="8" borderId="0" applyAlignment="1" pivotButton="0" quotePrefix="0" xfId="0">
      <alignment horizontal="center" vertical="top"/>
    </xf>
    <xf numFmtId="0" fontId="83" fillId="65" borderId="0" applyAlignment="1" pivotButton="0" quotePrefix="0" xfId="0">
      <alignment horizontal="center" vertical="top"/>
    </xf>
    <xf numFmtId="0" fontId="84" fillId="65" borderId="0" applyAlignment="1" pivotButton="0" quotePrefix="0" xfId="0">
      <alignment horizontal="center" vertical="top"/>
    </xf>
    <xf numFmtId="0" fontId="85" fillId="65" borderId="1" applyAlignment="1" pivotButton="0" quotePrefix="0" xfId="0">
      <alignment horizontal="center" vertical="top"/>
    </xf>
    <xf numFmtId="0" fontId="7" fillId="5" borderId="1" applyAlignment="1" pivotButton="0" quotePrefix="0" xfId="0">
      <alignment vertical="top" wrapText="1"/>
    </xf>
    <xf numFmtId="0" fontId="7" fillId="7" borderId="1" applyAlignment="1" pivotButton="0" quotePrefix="0" xfId="0">
      <alignment vertical="top" wrapText="1"/>
    </xf>
    <xf numFmtId="0" fontId="85" fillId="65" borderId="7" applyAlignment="1" pivotButton="0" quotePrefix="0" xfId="0">
      <alignment horizontal="center" vertical="top"/>
    </xf>
    <xf numFmtId="0" fontId="25" fillId="16" borderId="7" applyAlignment="1" pivotButton="0" quotePrefix="0" xfId="0">
      <alignment vertical="top" wrapText="1"/>
    </xf>
    <xf numFmtId="0" fontId="25" fillId="18" borderId="7" applyAlignment="1" pivotButton="0" quotePrefix="0" xfId="0">
      <alignment vertical="top" wrapText="1"/>
    </xf>
    <xf numFmtId="0" fontId="85" fillId="65" borderId="8" applyAlignment="1" pivotButton="0" quotePrefix="0" xfId="0">
      <alignment horizontal="center" vertical="top"/>
    </xf>
    <xf numFmtId="0" fontId="29" fillId="20" borderId="8" applyAlignment="1" pivotButton="0" quotePrefix="0" xfId="0">
      <alignment vertical="top" wrapText="1"/>
    </xf>
    <xf numFmtId="0" fontId="29" fillId="22" borderId="8" applyAlignment="1" pivotButton="0" quotePrefix="0" xfId="0">
      <alignment vertical="top" wrapText="1"/>
    </xf>
    <xf numFmtId="0" fontId="85" fillId="65" borderId="9" applyAlignment="1" pivotButton="0" quotePrefix="0" xfId="0">
      <alignment horizontal="center" vertical="top"/>
    </xf>
    <xf numFmtId="0" fontId="33" fillId="25" borderId="9" applyAlignment="1" pivotButton="0" quotePrefix="0" xfId="0">
      <alignment vertical="top" wrapText="1"/>
    </xf>
    <xf numFmtId="0" fontId="85" fillId="65" borderId="10" applyAlignment="1" pivotButton="0" quotePrefix="0" xfId="0">
      <alignment horizontal="center" vertical="top"/>
    </xf>
    <xf numFmtId="0" fontId="37" fillId="28" borderId="10" applyAlignment="1" pivotButton="0" quotePrefix="0" xfId="0">
      <alignment vertical="top" wrapText="1"/>
    </xf>
    <xf numFmtId="0" fontId="37" fillId="30" borderId="10" applyAlignment="1" pivotButton="0" quotePrefix="0" xfId="0">
      <alignment vertical="top" wrapText="1"/>
    </xf>
    <xf numFmtId="0" fontId="85" fillId="65" borderId="11" applyAlignment="1" pivotButton="0" quotePrefix="0" xfId="0">
      <alignment horizontal="center" vertical="top"/>
    </xf>
    <xf numFmtId="0" fontId="41" fillId="32" borderId="11" applyAlignment="1" pivotButton="0" quotePrefix="0" xfId="0">
      <alignment vertical="top" wrapText="1"/>
    </xf>
    <xf numFmtId="0" fontId="41" fillId="34" borderId="11" applyAlignment="1" pivotButton="0" quotePrefix="0" xfId="0">
      <alignment vertical="top" wrapText="1"/>
    </xf>
    <xf numFmtId="0" fontId="85" fillId="65" borderId="12" applyAlignment="1" pivotButton="0" quotePrefix="0" xfId="0">
      <alignment horizontal="center" vertical="top"/>
    </xf>
    <xf numFmtId="0" fontId="45" fillId="36" borderId="12" applyAlignment="1" pivotButton="0" quotePrefix="0" xfId="0">
      <alignment vertical="top" wrapText="1"/>
    </xf>
    <xf numFmtId="0" fontId="45" fillId="38" borderId="12" applyAlignment="1" pivotButton="0" quotePrefix="0" xfId="0">
      <alignment vertical="top" wrapText="1"/>
    </xf>
    <xf numFmtId="0" fontId="49" fillId="40" borderId="13" applyAlignment="1" pivotButton="0" quotePrefix="0" xfId="0">
      <alignment vertical="top" wrapText="1"/>
    </xf>
    <xf numFmtId="0" fontId="85" fillId="65" borderId="13" applyAlignment="1" pivotButton="0" quotePrefix="0" xfId="0">
      <alignment horizontal="center" vertical="top"/>
    </xf>
    <xf numFmtId="0" fontId="49" fillId="42" borderId="13" applyAlignment="1" pivotButton="0" quotePrefix="0" xfId="0">
      <alignment vertical="top" wrapText="1"/>
    </xf>
    <xf numFmtId="0" fontId="85" fillId="65" borderId="14" applyAlignment="1" pivotButton="0" quotePrefix="0" xfId="0">
      <alignment horizontal="center" vertical="top"/>
    </xf>
    <xf numFmtId="0" fontId="53" fillId="45" borderId="14" applyAlignment="1" pivotButton="0" quotePrefix="0" xfId="0">
      <alignment vertical="top" wrapText="1"/>
    </xf>
    <xf numFmtId="0" fontId="53" fillId="47" borderId="14" applyAlignment="1" pivotButton="0" quotePrefix="0" xfId="0">
      <alignment vertical="top" wrapText="1"/>
    </xf>
    <xf numFmtId="0" fontId="57" fillId="51" borderId="15" applyAlignment="1" pivotButton="0" quotePrefix="0" xfId="0">
      <alignment vertical="top" wrapText="1"/>
    </xf>
    <xf numFmtId="0" fontId="85" fillId="65" borderId="16" applyAlignment="1" pivotButton="0" quotePrefix="0" xfId="0">
      <alignment horizontal="center" vertical="top"/>
    </xf>
    <xf numFmtId="0" fontId="61" fillId="54" borderId="16" applyAlignment="1" pivotButton="0" quotePrefix="0" xfId="0">
      <alignment vertical="top" wrapText="1"/>
    </xf>
    <xf numFmtId="0" fontId="65" fillId="59" borderId="17" applyAlignment="1" pivotButton="0" quotePrefix="0" xfId="0">
      <alignment vertical="top" wrapText="1"/>
    </xf>
    <xf numFmtId="0" fontId="85" fillId="65" borderId="17" applyAlignment="1" pivotButton="0" quotePrefix="0" xfId="0">
      <alignment horizontal="center" vertical="top"/>
    </xf>
    <xf numFmtId="0" fontId="65" fillId="61" borderId="17" applyAlignment="1" pivotButton="0" quotePrefix="0" xfId="0">
      <alignment vertical="top" wrapText="1"/>
    </xf>
    <xf numFmtId="0" fontId="85" fillId="65" borderId="18" applyAlignment="1" pivotButton="0" quotePrefix="0" xfId="0">
      <alignment horizontal="center" vertical="top"/>
    </xf>
    <xf numFmtId="0" fontId="69" fillId="64" borderId="18" applyAlignment="1" pivotButton="0" quotePrefix="0" xfId="0">
      <alignment vertical="top" wrapText="1"/>
    </xf>
    <xf numFmtId="0" fontId="69" fillId="66" borderId="18" applyAlignment="1" pivotButton="0" quotePrefix="0" xfId="0">
      <alignment vertical="top" wrapText="1"/>
    </xf>
    <xf numFmtId="0" fontId="85" fillId="65" borderId="0" applyAlignment="1" pivotButton="0" quotePrefix="0" xfId="0">
      <alignment horizontal="center" vertical="top"/>
    </xf>
    <xf numFmtId="0" fontId="2" fillId="3" borderId="18" applyAlignment="1" pivotButton="0" quotePrefix="0" xfId="0">
      <alignment horizontal="left" vertical="center"/>
    </xf>
    <xf numFmtId="0" fontId="0" fillId="0" borderId="2" pivotButton="0" quotePrefix="0" xfId="0"/>
    <xf numFmtId="0" fontId="0" fillId="0" borderId="3" pivotButton="0" quotePrefix="0" xfId="0"/>
    <xf numFmtId="0" fontId="1" fillId="2" borderId="18" applyAlignment="1" pivotButton="0" quotePrefix="0" xfId="0">
      <alignment horizontal="left" vertical="center"/>
    </xf>
    <xf numFmtId="0" fontId="15" fillId="6" borderId="4" applyAlignment="1" pivotButton="0" quotePrefix="0" xfId="0">
      <alignment horizontal="center" vertical="center" wrapText="1"/>
    </xf>
    <xf numFmtId="0" fontId="0" fillId="0" borderId="5" pivotButton="0" quotePrefix="0" xfId="0"/>
    <xf numFmtId="0" fontId="0" fillId="0" borderId="6" pivotButton="0" quotePrefix="0" xfId="0"/>
    <xf numFmtId="0" fontId="16" fillId="0" borderId="0" applyAlignment="1" pivotButton="0" quotePrefix="0" xfId="0">
      <alignment horizontal="center" vertical="center"/>
    </xf>
    <xf numFmtId="0" fontId="0" fillId="0" borderId="0" pivotButton="0" quotePrefix="0" xfId="0"/>
    <xf numFmtId="0" fontId="15" fillId="13" borderId="4" applyAlignment="1" pivotButton="0" quotePrefix="0" xfId="0">
      <alignment horizontal="center" vertical="center" wrapText="1"/>
    </xf>
    <xf numFmtId="0" fontId="17" fillId="0" borderId="0" applyAlignment="1" pivotButton="0" quotePrefix="0" xfId="0">
      <alignment horizontal="left" vertical="center" indent="1"/>
    </xf>
    <xf numFmtId="0" fontId="15" fillId="11" borderId="4" applyAlignment="1" pivotButton="0" quotePrefix="0" xfId="0">
      <alignment horizontal="center" vertical="center" wrapText="1"/>
    </xf>
    <xf numFmtId="0" fontId="15" fillId="14" borderId="4" applyAlignment="1" pivotButton="0" quotePrefix="0" xfId="0">
      <alignment horizontal="center" vertical="center" wrapText="1"/>
    </xf>
    <xf numFmtId="0" fontId="15" fillId="15" borderId="4" applyAlignment="1" pivotButton="0" quotePrefix="0" xfId="0">
      <alignment horizontal="center" vertical="center" wrapText="1"/>
    </xf>
    <xf numFmtId="0" fontId="3" fillId="4" borderId="0" applyAlignment="1" pivotButton="0" quotePrefix="0" xfId="0">
      <alignment horizontal="left" vertical="center" indent="1"/>
    </xf>
    <xf numFmtId="0" fontId="15" fillId="8" borderId="4" applyAlignment="1" pivotButton="0" quotePrefix="0" xfId="0">
      <alignment horizontal="center" vertical="center" wrapText="1"/>
    </xf>
    <xf numFmtId="0" fontId="15" fillId="15" borderId="0" applyAlignment="1" pivotButton="0" quotePrefix="0" xfId="0">
      <alignment horizontal="center" vertical="center"/>
    </xf>
    <xf numFmtId="0" fontId="15" fillId="4" borderId="4" applyAlignment="1" pivotButton="0" quotePrefix="0" xfId="0">
      <alignment horizontal="center" vertical="center" wrapText="1"/>
    </xf>
    <xf numFmtId="0" fontId="15" fillId="14" borderId="0" applyAlignment="1" pivotButton="0" quotePrefix="0" xfId="0">
      <alignment horizontal="center" vertical="center"/>
    </xf>
    <xf numFmtId="0" fontId="1" fillId="2" borderId="0" applyAlignment="1" pivotButton="0" quotePrefix="0" xfId="0">
      <alignment horizontal="left" vertical="center" indent="1"/>
    </xf>
    <xf numFmtId="0" fontId="3" fillId="2" borderId="0" applyAlignment="1" pivotButton="0" quotePrefix="0" xfId="0">
      <alignment horizontal="left" vertical="center" indent="1"/>
    </xf>
    <xf numFmtId="0" fontId="18" fillId="0" borderId="0" applyAlignment="1" pivotButton="0" quotePrefix="0" xfId="0">
      <alignment horizontal="left" vertical="center" indent="1"/>
    </xf>
    <xf numFmtId="0" fontId="15" fillId="13" borderId="0" applyAlignment="1" pivotButton="0" quotePrefix="0" xfId="0">
      <alignment horizontal="center" vertical="center"/>
    </xf>
    <xf numFmtId="0" fontId="15" fillId="8" borderId="0" applyAlignment="1" pivotButton="0" quotePrefix="0" xfId="0">
      <alignment horizontal="center" vertical="center"/>
    </xf>
    <xf numFmtId="0" fontId="15" fillId="6" borderId="0" applyAlignment="1" pivotButton="0" quotePrefix="0" xfId="0">
      <alignment horizontal="center" vertical="center"/>
    </xf>
    <xf numFmtId="0" fontId="15" fillId="11" borderId="0" applyAlignment="1" pivotButton="0" quotePrefix="0" xfId="0">
      <alignment horizontal="center" vertical="center"/>
    </xf>
    <xf numFmtId="0" fontId="13" fillId="3" borderId="0" applyAlignment="1" pivotButton="0" quotePrefix="0" xfId="0">
      <alignment horizontal="left" vertical="center" indent="1"/>
    </xf>
    <xf numFmtId="0" fontId="11" fillId="2" borderId="18" applyAlignment="1" pivotButton="0" quotePrefix="0" xfId="0">
      <alignment horizontal="left" vertical="center"/>
    </xf>
    <xf numFmtId="0" fontId="75" fillId="0" borderId="0" applyAlignment="1" pivotButton="0" quotePrefix="0" xfId="0">
      <alignment vertical="top" wrapText="1"/>
    </xf>
    <xf numFmtId="0" fontId="71" fillId="0" borderId="0" pivotButton="0" quotePrefix="0" xfId="0"/>
    <xf numFmtId="0" fontId="86" fillId="0" borderId="0" pivotButton="0" quotePrefix="0" xfId="0"/>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12"/>
  <sheetViews>
    <sheetView tabSelected="1" workbookViewId="0">
      <pane xSplit="7" ySplit="4" topLeftCell="H98" activePane="bottomRight" state="frozen"/>
      <selection pane="topRight" activeCell="A1" sqref="A1"/>
      <selection pane="bottomLeft" activeCell="A1" sqref="A1"/>
      <selection pane="bottomRight" activeCell="A108" sqref="A108:XFD108"/>
    </sheetView>
  </sheetViews>
  <sheetFormatPr baseColWidth="8" defaultRowHeight="14.4"/>
  <cols>
    <col width="20" customWidth="1" style="282" min="1" max="1"/>
    <col width="44" customWidth="1" style="282" min="2" max="2"/>
    <col width="12" customWidth="1" style="282" min="3" max="3"/>
    <col width="10" customWidth="1" style="282" min="4" max="4"/>
    <col width="9" customWidth="1" style="282" min="5" max="6"/>
    <col width="56.3671875" bestFit="1" customWidth="1" style="282" min="7" max="7"/>
    <col width="5.41796875" customWidth="1" style="282" min="8" max="17"/>
    <col hidden="1" width="13" customWidth="1" style="282" min="18" max="18"/>
  </cols>
  <sheetData>
    <row r="1" ht="30" customHeight="1" s="282">
      <c r="A1" s="277" t="inlineStr">
        <is>
          <t>SportIQ — Delivery Board &amp; Roadmap</t>
        </is>
      </c>
      <c r="B1" s="275" t="n"/>
      <c r="C1" s="275" t="n"/>
      <c r="D1" s="275" t="n"/>
      <c r="E1" s="275" t="n"/>
      <c r="F1" s="275" t="n"/>
      <c r="G1" s="275" t="n"/>
      <c r="H1" s="275" t="n"/>
      <c r="I1" s="275" t="n"/>
      <c r="J1" s="275" t="n"/>
      <c r="K1" s="275" t="n"/>
      <c r="L1" s="275" t="n"/>
      <c r="M1" s="275" t="n"/>
      <c r="N1" s="275" t="n"/>
      <c r="O1" s="275" t="n"/>
      <c r="P1" s="275" t="n"/>
      <c r="Q1" s="276" t="n"/>
    </row>
    <row r="2" ht="18" customHeight="1" s="282">
      <c r="A2" s="274" t="inlineStr">
        <is>
          <t>Delivered dates are REAL (git history, first commit 2026-07-28). Dates from 2026-08-05 onward are PROPOSED. Updated 2026-08-04.</t>
        </is>
      </c>
      <c r="B2" s="275" t="n"/>
      <c r="C2" s="275" t="n"/>
      <c r="D2" s="275" t="n"/>
      <c r="E2" s="275" t="n"/>
      <c r="F2" s="275" t="n"/>
      <c r="G2" s="275" t="n"/>
      <c r="H2" s="275" t="n"/>
      <c r="I2" s="275" t="n"/>
      <c r="J2" s="275" t="n"/>
      <c r="K2" s="275" t="n"/>
      <c r="L2" s="275" t="n"/>
      <c r="M2" s="275" t="n"/>
      <c r="N2" s="275" t="n"/>
      <c r="O2" s="275" t="n"/>
      <c r="P2" s="275" t="n"/>
      <c r="Q2" s="276" t="n"/>
    </row>
    <row r="4">
      <c r="A4" s="1" t="inlineStr">
        <is>
          <t>Epic</t>
        </is>
      </c>
      <c r="B4" s="1" t="inlineStr">
        <is>
          <t>Feature / Deliverable</t>
        </is>
      </c>
      <c r="C4" s="1" t="inlineStr">
        <is>
          <t>Status</t>
        </is>
      </c>
      <c r="D4" s="1" t="inlineStr">
        <is>
          <t>Stream</t>
        </is>
      </c>
      <c r="E4" s="1" t="inlineStr">
        <is>
          <t>Start</t>
        </is>
      </c>
      <c r="F4" s="1" t="inlineStr">
        <is>
          <t>End</t>
        </is>
      </c>
      <c r="G4" s="1" t="inlineStr">
        <is>
          <t>Notes</t>
        </is>
      </c>
      <c r="H4" s="2" t="inlineStr">
        <is>
          <t>27 Jul</t>
        </is>
      </c>
      <c r="I4" s="2" t="inlineStr">
        <is>
          <t>03 Aug</t>
        </is>
      </c>
      <c r="J4" s="2" t="inlineStr">
        <is>
          <t>10 Aug</t>
        </is>
      </c>
      <c r="K4" s="2" t="inlineStr">
        <is>
          <t>17 Aug</t>
        </is>
      </c>
      <c r="L4" s="2" t="inlineStr">
        <is>
          <t>24 Aug</t>
        </is>
      </c>
      <c r="M4" s="2" t="inlineStr">
        <is>
          <t>31 Aug</t>
        </is>
      </c>
      <c r="N4" s="2" t="inlineStr">
        <is>
          <t>07 Sep</t>
        </is>
      </c>
      <c r="O4" s="2" t="inlineStr">
        <is>
          <t>14 Sep</t>
        </is>
      </c>
      <c r="P4" s="2" t="inlineStr">
        <is>
          <t>21 Sep</t>
        </is>
      </c>
      <c r="Q4" s="2" t="inlineStr">
        <is>
          <t>28 Sep</t>
        </is>
      </c>
      <c r="R4" s="40" t="inlineStr">
        <is>
          <t>EpicKey (helper)</t>
        </is>
      </c>
    </row>
    <row r="5">
      <c r="A5" s="3" t="inlineStr">
        <is>
          <t>E1 Foundation</t>
        </is>
      </c>
      <c r="B5" s="4" t="inlineStr">
        <is>
          <t>PRD/TDD, repo, CLAUDE.md guidance</t>
        </is>
      </c>
      <c r="C5" s="238" t="inlineStr">
        <is>
          <t>Done</t>
        </is>
      </c>
      <c r="D5" s="6" t="inlineStr">
        <is>
          <t>Platform</t>
        </is>
      </c>
      <c r="E5" s="7" t="n">
        <v>46231</v>
      </c>
      <c r="F5" s="7" t="n">
        <v>46231</v>
      </c>
      <c r="G5" s="239" t="inlineStr">
        <is>
          <t>First commit</t>
        </is>
      </c>
      <c r="H5" s="8" t="n"/>
      <c r="I5" s="9" t="n"/>
      <c r="J5" s="9" t="n"/>
      <c r="K5" s="9" t="n"/>
      <c r="L5" s="9" t="n"/>
      <c r="M5" s="9" t="n"/>
      <c r="N5" s="9" t="n"/>
      <c r="O5" s="9" t="n"/>
      <c r="P5" s="9" t="n"/>
      <c r="Q5" s="9" t="n"/>
      <c r="R5">
        <f>$A5</f>
        <v/>
      </c>
    </row>
    <row r="6">
      <c r="A6" s="10" t="n"/>
      <c r="B6" s="10" t="inlineStr">
        <is>
          <t>FastAPI scaffold, TDD §2.1 schema, Alembic</t>
        </is>
      </c>
      <c r="C6" s="238" t="inlineStr">
        <is>
          <t>Done</t>
        </is>
      </c>
      <c r="D6" s="11" t="inlineStr">
        <is>
          <t>Platform</t>
        </is>
      </c>
      <c r="E6" s="12" t="n">
        <v>46231</v>
      </c>
      <c r="F6" s="12" t="n">
        <v>46232</v>
      </c>
      <c r="G6" s="240" t="inlineStr">
        <is>
          <t>All core tables</t>
        </is>
      </c>
      <c r="H6" s="8" t="n"/>
      <c r="I6" s="13" t="n"/>
      <c r="J6" s="13" t="n"/>
      <c r="K6" s="13" t="n"/>
      <c r="L6" s="13" t="n"/>
      <c r="M6" s="13" t="n"/>
      <c r="N6" s="13" t="n"/>
      <c r="O6" s="13" t="n"/>
      <c r="P6" s="13" t="n"/>
      <c r="Q6" s="13" t="n"/>
      <c r="R6">
        <f>IF($A6&lt;&gt;"",$A6,R5)</f>
        <v/>
      </c>
    </row>
    <row r="7">
      <c r="A7" s="4" t="n"/>
      <c r="B7" s="4" t="inlineStr">
        <is>
          <t>Docker Compose (Postgres 16 + Redis 7)</t>
        </is>
      </c>
      <c r="C7" s="238" t="inlineStr">
        <is>
          <t>Done</t>
        </is>
      </c>
      <c r="D7" s="6" t="inlineStr">
        <is>
          <t>Platform</t>
        </is>
      </c>
      <c r="E7" s="7" t="n">
        <v>46231</v>
      </c>
      <c r="F7" s="7" t="n">
        <v>46231</v>
      </c>
      <c r="G7" s="239" t="inlineStr">
        <is>
          <t>Local dev only</t>
        </is>
      </c>
      <c r="H7" s="8" t="n"/>
      <c r="I7" s="9" t="n"/>
      <c r="J7" s="9" t="n"/>
      <c r="K7" s="9" t="n"/>
      <c r="L7" s="9" t="n"/>
      <c r="M7" s="9" t="n"/>
      <c r="N7" s="9" t="n"/>
      <c r="O7" s="9" t="n"/>
      <c r="P7" s="9" t="n"/>
      <c r="Q7" s="9" t="n"/>
      <c r="R7">
        <f>IF($A7&lt;&gt;"",$A7,R6)</f>
        <v/>
      </c>
    </row>
    <row r="8">
      <c r="A8" s="10" t="n"/>
      <c r="B8" s="10" t="inlineStr">
        <is>
          <t>CI: pytest, ruff, black, tsc</t>
        </is>
      </c>
      <c r="C8" s="238" t="inlineStr">
        <is>
          <t>Done</t>
        </is>
      </c>
      <c r="D8" s="11" t="inlineStr">
        <is>
          <t>Platform</t>
        </is>
      </c>
      <c r="E8" s="12" t="n">
        <v>46233</v>
      </c>
      <c r="F8" s="12" t="n">
        <v>46233</v>
      </c>
      <c r="G8" s="240" t="inlineStr">
        <is>
          <t>GitHub Actions, green</t>
        </is>
      </c>
      <c r="H8" s="8" t="n"/>
      <c r="I8" s="13" t="n"/>
      <c r="J8" s="13" t="n"/>
      <c r="K8" s="13" t="n"/>
      <c r="L8" s="13" t="n"/>
      <c r="M8" s="13" t="n"/>
      <c r="N8" s="13" t="n"/>
      <c r="O8" s="13" t="n"/>
      <c r="P8" s="13" t="n"/>
      <c r="Q8" s="13" t="n"/>
      <c r="R8">
        <f>IF($A8&lt;&gt;"",$A8,R7)</f>
        <v/>
      </c>
    </row>
    <row r="9">
      <c r="A9" s="3" t="inlineStr">
        <is>
          <t>E2 Ingestion</t>
        </is>
      </c>
      <c r="B9" s="4" t="inlineStr">
        <is>
          <t>BallDontLie adapter (NBA)</t>
        </is>
      </c>
      <c r="C9" s="238" t="inlineStr">
        <is>
          <t>Done</t>
        </is>
      </c>
      <c r="D9" s="6" t="inlineStr">
        <is>
          <t>Data</t>
        </is>
      </c>
      <c r="E9" s="7" t="n">
        <v>46231</v>
      </c>
      <c r="F9" s="7" t="n">
        <v>46231</v>
      </c>
      <c r="G9" s="239" t="inlineStr">
        <is>
          <t>First real adapter</t>
        </is>
      </c>
      <c r="H9" s="8" t="n"/>
      <c r="I9" s="9" t="n"/>
      <c r="J9" s="9" t="n"/>
      <c r="K9" s="9" t="n"/>
      <c r="L9" s="9" t="n"/>
      <c r="M9" s="9" t="n"/>
      <c r="N9" s="9" t="n"/>
      <c r="O9" s="9" t="n"/>
      <c r="P9" s="9" t="n"/>
      <c r="Q9" s="9" t="n"/>
      <c r="R9">
        <f>IF($A9&lt;&gt;"",$A9,R8)</f>
        <v/>
      </c>
    </row>
    <row r="10">
      <c r="A10" s="10" t="n"/>
      <c r="B10" s="10" t="inlineStr">
        <is>
          <t>TheRundown adapter (odds)</t>
        </is>
      </c>
      <c r="C10" s="238" t="inlineStr">
        <is>
          <t>Done</t>
        </is>
      </c>
      <c r="D10" s="11" t="inlineStr">
        <is>
          <t>Data</t>
        </is>
      </c>
      <c r="E10" s="12" t="n">
        <v>46232</v>
      </c>
      <c r="F10" s="12" t="n">
        <v>46232</v>
      </c>
      <c r="G10" s="240" t="inlineStr">
        <is>
          <t>American-&gt;decimal</t>
        </is>
      </c>
      <c r="H10" s="8" t="n"/>
      <c r="I10" s="13" t="n"/>
      <c r="J10" s="13" t="n"/>
      <c r="K10" s="13" t="n"/>
      <c r="L10" s="13" t="n"/>
      <c r="M10" s="13" t="n"/>
      <c r="N10" s="13" t="n"/>
      <c r="O10" s="13" t="n"/>
      <c r="P10" s="13" t="n"/>
      <c r="Q10" s="13" t="n"/>
      <c r="R10">
        <f>IF($A10&lt;&gt;"",$A10,R9)</f>
        <v/>
      </c>
    </row>
    <row r="11">
      <c r="A11" s="4" t="n"/>
      <c r="B11" s="4" t="inlineStr">
        <is>
          <t>API-Football adapter (Pro tier)</t>
        </is>
      </c>
      <c r="C11" s="238" t="inlineStr">
        <is>
          <t>Done</t>
        </is>
      </c>
      <c r="D11" s="6" t="inlineStr">
        <is>
          <t>Data</t>
        </is>
      </c>
      <c r="E11" s="7" t="n">
        <v>46232</v>
      </c>
      <c r="F11" s="7" t="n">
        <v>46233</v>
      </c>
      <c r="G11" s="239" t="inlineStr">
        <is>
          <t>Fixtures/stats/injuries/H2H</t>
        </is>
      </c>
      <c r="H11" s="8" t="n"/>
      <c r="I11" s="9" t="n"/>
      <c r="J11" s="9" t="n"/>
      <c r="K11" s="9" t="n"/>
      <c r="L11" s="9" t="n"/>
      <c r="M11" s="9" t="n"/>
      <c r="N11" s="9" t="n"/>
      <c r="O11" s="9" t="n"/>
      <c r="P11" s="9" t="n"/>
      <c r="Q11" s="9" t="n"/>
      <c r="R11">
        <f>IF($A11&lt;&gt;"",$A11,R10)</f>
        <v/>
      </c>
    </row>
    <row r="12">
      <c r="A12" s="10" t="n"/>
      <c r="B12" s="10" t="inlineStr">
        <is>
          <t>Live scores + outcome settlement</t>
        </is>
      </c>
      <c r="C12" s="238" t="inlineStr">
        <is>
          <t>Done</t>
        </is>
      </c>
      <c r="D12" s="11" t="inlineStr">
        <is>
          <t>Data</t>
        </is>
      </c>
      <c r="E12" s="12" t="n">
        <v>46233</v>
      </c>
      <c r="F12" s="12" t="n">
        <v>46234</v>
      </c>
      <c r="G12" s="240" t="inlineStr">
        <is>
          <t>FixtureLiveState now written</t>
        </is>
      </c>
      <c r="H12" s="8" t="n"/>
      <c r="I12" s="13" t="n"/>
      <c r="J12" s="13" t="n"/>
      <c r="K12" s="13" t="n"/>
      <c r="L12" s="13" t="n"/>
      <c r="M12" s="13" t="n"/>
      <c r="N12" s="13" t="n"/>
      <c r="O12" s="13" t="n"/>
      <c r="P12" s="13" t="n"/>
      <c r="Q12" s="13" t="n"/>
      <c r="R12">
        <f>IF($A12&lt;&gt;"",$A12,R11)</f>
        <v/>
      </c>
    </row>
    <row r="13">
      <c r="A13" s="4" t="n"/>
      <c r="B13" s="4" t="inlineStr">
        <is>
          <t>Celery worker + beat actually running</t>
        </is>
      </c>
      <c r="C13" s="238" t="inlineStr">
        <is>
          <t>Done</t>
        </is>
      </c>
      <c r="D13" s="6" t="inlineStr">
        <is>
          <t>Data</t>
        </is>
      </c>
      <c r="E13" s="7" t="n">
        <v>46236</v>
      </c>
      <c r="F13" s="7" t="n">
        <v>46237</v>
      </c>
      <c r="G13" s="239" t="inlineStr">
        <is>
          <t>Never ran before this</t>
        </is>
      </c>
      <c r="H13" s="8" t="n"/>
      <c r="I13" s="8" t="n"/>
      <c r="J13" s="9" t="n"/>
      <c r="K13" s="9" t="n"/>
      <c r="L13" s="9" t="n"/>
      <c r="M13" s="9" t="n"/>
      <c r="N13" s="9" t="n"/>
      <c r="O13" s="9" t="n"/>
      <c r="P13" s="9" t="n"/>
      <c r="Q13" s="9" t="n"/>
      <c r="R13">
        <f>IF($A13&lt;&gt;"",$A13,R12)</f>
        <v/>
      </c>
    </row>
    <row r="14">
      <c r="A14" s="14" t="inlineStr">
        <is>
          <t>E3 ML NBA</t>
        </is>
      </c>
      <c r="B14" s="10" t="inlineStr">
        <is>
          <t>Historical collection (6 seasons)</t>
        </is>
      </c>
      <c r="C14" s="238" t="inlineStr">
        <is>
          <t>Done</t>
        </is>
      </c>
      <c r="D14" s="11" t="inlineStr">
        <is>
          <t>ML</t>
        </is>
      </c>
      <c r="E14" s="12" t="n">
        <v>46231</v>
      </c>
      <c r="F14" s="12" t="n">
        <v>46232</v>
      </c>
      <c r="G14" s="240" t="inlineStr">
        <is>
          <t>~14.5k games</t>
        </is>
      </c>
      <c r="H14" s="8" t="n"/>
      <c r="I14" s="13" t="n"/>
      <c r="J14" s="13" t="n"/>
      <c r="K14" s="13" t="n"/>
      <c r="L14" s="13" t="n"/>
      <c r="M14" s="13" t="n"/>
      <c r="N14" s="13" t="n"/>
      <c r="O14" s="13" t="n"/>
      <c r="P14" s="13" t="n"/>
      <c r="Q14" s="13" t="n"/>
      <c r="R14">
        <f>IF($A14&lt;&gt;"",$A14,R13)</f>
        <v/>
      </c>
    </row>
    <row r="15">
      <c r="A15" s="4" t="n"/>
      <c r="B15" s="4" t="inlineStr">
        <is>
          <t>XGBoost + isotonic, 16 features</t>
        </is>
      </c>
      <c r="C15" s="238" t="inlineStr">
        <is>
          <t>Done</t>
        </is>
      </c>
      <c r="D15" s="6" t="inlineStr">
        <is>
          <t>ML</t>
        </is>
      </c>
      <c r="E15" s="7" t="n">
        <v>46232</v>
      </c>
      <c r="F15" s="7" t="n">
        <v>46232</v>
      </c>
      <c r="G15" s="239" t="inlineStr">
        <is>
          <t>68.57% vs 55.43% base</t>
        </is>
      </c>
      <c r="H15" s="8" t="n"/>
      <c r="I15" s="9" t="n"/>
      <c r="J15" s="9" t="n"/>
      <c r="K15" s="9" t="n"/>
      <c r="L15" s="9" t="n"/>
      <c r="M15" s="9" t="n"/>
      <c r="N15" s="9" t="n"/>
      <c r="O15" s="9" t="n"/>
      <c r="P15" s="9" t="n"/>
      <c r="Q15" s="9" t="n"/>
      <c r="R15">
        <f>IF($A15&lt;&gt;"",$A15,R14)</f>
        <v/>
      </c>
    </row>
    <row r="16">
      <c r="A16" s="10" t="n"/>
      <c r="B16" s="10" t="inlineStr">
        <is>
          <t>Big3/Top5 key-player availability</t>
        </is>
      </c>
      <c r="C16" s="238" t="inlineStr">
        <is>
          <t>Done</t>
        </is>
      </c>
      <c r="D16" s="11" t="inlineStr">
        <is>
          <t>ML</t>
        </is>
      </c>
      <c r="E16" s="12" t="n">
        <v>46232</v>
      </c>
      <c r="F16" s="12" t="n">
        <v>46233</v>
      </c>
      <c r="G16" s="240" t="inlineStr">
        <is>
          <t>Two-stage, leakage-guarded</t>
        </is>
      </c>
      <c r="H16" s="8" t="n"/>
      <c r="I16" s="13" t="n"/>
      <c r="J16" s="13" t="n"/>
      <c r="K16" s="13" t="n"/>
      <c r="L16" s="13" t="n"/>
      <c r="M16" s="13" t="n"/>
      <c r="N16" s="13" t="n"/>
      <c r="O16" s="13" t="n"/>
      <c r="P16" s="13" t="n"/>
      <c r="Q16" s="13" t="n"/>
      <c r="R16">
        <f>IF($A16&lt;&gt;"",$A16,R15)</f>
        <v/>
      </c>
    </row>
    <row r="17">
      <c r="A17" s="3" t="inlineStr">
        <is>
          <t>E4 ML Football</t>
        </is>
      </c>
      <c r="B17" s="4" t="inlineStr">
        <is>
          <t>EPL + Brasileirao collection</t>
        </is>
      </c>
      <c r="C17" s="238" t="inlineStr">
        <is>
          <t>Done</t>
        </is>
      </c>
      <c r="D17" s="6" t="inlineStr">
        <is>
          <t>ML</t>
        </is>
      </c>
      <c r="E17" s="7" t="n">
        <v>46232</v>
      </c>
      <c r="F17" s="7" t="n">
        <v>46233</v>
      </c>
      <c r="G17" s="239" t="inlineStr">
        <is>
          <t>7.6k game-log rows</t>
        </is>
      </c>
      <c r="H17" s="8" t="n"/>
      <c r="I17" s="9" t="n"/>
      <c r="J17" s="9" t="n"/>
      <c r="K17" s="9" t="n"/>
      <c r="L17" s="9" t="n"/>
      <c r="M17" s="9" t="n"/>
      <c r="N17" s="9" t="n"/>
      <c r="O17" s="9" t="n"/>
      <c r="P17" s="9" t="n"/>
      <c r="Q17" s="9" t="n"/>
      <c r="R17">
        <f>IF($A17&lt;&gt;"",$A17,R16)</f>
        <v/>
      </c>
    </row>
    <row r="18">
      <c r="A18" s="10" t="n"/>
      <c r="B18" s="10" t="inlineStr">
        <is>
          <t>Two-layer Poisson -&gt; XGBoost 1X2</t>
        </is>
      </c>
      <c r="C18" s="238" t="inlineStr">
        <is>
          <t>Done</t>
        </is>
      </c>
      <c r="D18" s="11" t="inlineStr">
        <is>
          <t>ML</t>
        </is>
      </c>
      <c r="E18" s="12" t="n">
        <v>46233</v>
      </c>
      <c r="F18" s="12" t="n">
        <v>46233</v>
      </c>
      <c r="G18" s="240" t="inlineStr">
        <is>
          <t>47.9% vs 46.5% base</t>
        </is>
      </c>
      <c r="H18" s="8" t="n"/>
      <c r="I18" s="13" t="n"/>
      <c r="J18" s="13" t="n"/>
      <c r="K18" s="13" t="n"/>
      <c r="L18" s="13" t="n"/>
      <c r="M18" s="13" t="n"/>
      <c r="N18" s="13" t="n"/>
      <c r="O18" s="13" t="n"/>
      <c r="P18" s="13" t="n"/>
      <c r="Q18" s="13" t="n"/>
      <c r="R18">
        <f>IF($A18&lt;&gt;"",$A18,R17)</f>
        <v/>
      </c>
    </row>
    <row r="19">
      <c r="A19" s="4" t="n"/>
      <c r="B19" s="4" t="inlineStr">
        <is>
          <t>Elo, streaks, richer H2H</t>
        </is>
      </c>
      <c r="C19" s="238" t="inlineStr">
        <is>
          <t>Done</t>
        </is>
      </c>
      <c r="D19" s="6" t="inlineStr">
        <is>
          <t>ML</t>
        </is>
      </c>
      <c r="E19" s="7" t="n">
        <v>46233</v>
      </c>
      <c r="F19" s="7" t="n">
        <v>46233</v>
      </c>
      <c r="G19" s="239" t="inlineStr">
        <is>
          <t>21 features</t>
        </is>
      </c>
      <c r="H19" s="8" t="n"/>
      <c r="I19" s="9" t="n"/>
      <c r="J19" s="9" t="n"/>
      <c r="K19" s="9" t="n"/>
      <c r="L19" s="9" t="n"/>
      <c r="M19" s="9" t="n"/>
      <c r="N19" s="9" t="n"/>
      <c r="O19" s="9" t="n"/>
      <c r="P19" s="9" t="n"/>
      <c r="Q19" s="9" t="n"/>
      <c r="R19">
        <f>IF($A19&lt;&gt;"",$A19,R18)</f>
        <v/>
      </c>
    </row>
    <row r="20">
      <c r="A20" s="10" t="n"/>
      <c r="B20" s="10" t="inlineStr">
        <is>
          <t>Expand to 5 leagues (MLS/CSL/Scot)</t>
        </is>
      </c>
      <c r="C20" s="238" t="inlineStr">
        <is>
          <t>Done</t>
        </is>
      </c>
      <c r="D20" s="11" t="inlineStr">
        <is>
          <t>ML</t>
        </is>
      </c>
      <c r="E20" s="12" t="n">
        <v>46236</v>
      </c>
      <c r="F20" s="12" t="n">
        <v>46236</v>
      </c>
      <c r="G20" s="240" t="inlineStr">
        <is>
          <t>Fixed O/U bias</t>
        </is>
      </c>
      <c r="H20" s="8" t="n"/>
      <c r="I20" s="13" t="n"/>
      <c r="J20" s="13" t="n"/>
      <c r="K20" s="13" t="n"/>
      <c r="L20" s="13" t="n"/>
      <c r="M20" s="13" t="n"/>
      <c r="N20" s="13" t="n"/>
      <c r="O20" s="13" t="n"/>
      <c r="P20" s="13" t="n"/>
      <c r="Q20" s="13" t="n"/>
      <c r="R20">
        <f>IF($A20&lt;&gt;"",$A20,R19)</f>
        <v/>
      </c>
    </row>
    <row r="21">
      <c r="A21" s="4" t="n"/>
      <c r="B21" s="4" t="inlineStr">
        <is>
          <t>Retrodiction for completed fixtures</t>
        </is>
      </c>
      <c r="C21" s="238" t="inlineStr">
        <is>
          <t>Done</t>
        </is>
      </c>
      <c r="D21" s="6" t="inlineStr">
        <is>
          <t>ML</t>
        </is>
      </c>
      <c r="E21" s="7" t="n">
        <v>46234</v>
      </c>
      <c r="F21" s="7" t="n">
        <v>46234</v>
      </c>
      <c r="G21" s="239" t="inlineStr">
        <is>
          <t>Leakage-safe path</t>
        </is>
      </c>
      <c r="H21" s="8" t="n"/>
      <c r="I21" s="9" t="n"/>
      <c r="J21" s="9" t="n"/>
      <c r="K21" s="9" t="n"/>
      <c r="L21" s="9" t="n"/>
      <c r="M21" s="9" t="n"/>
      <c r="N21" s="9" t="n"/>
      <c r="O21" s="9" t="n"/>
      <c r="P21" s="9" t="n"/>
      <c r="Q21" s="9" t="n"/>
      <c r="R21">
        <f>IF($A21&lt;&gt;"",$A21,R20)</f>
        <v/>
      </c>
    </row>
    <row r="22">
      <c r="A22" s="14" t="inlineStr">
        <is>
          <t>E5 ML Tennis</t>
        </is>
      </c>
      <c r="B22" s="10" t="inlineStr">
        <is>
          <t>BallDontLie ATP adapter</t>
        </is>
      </c>
      <c r="C22" s="238" t="inlineStr">
        <is>
          <t>Done</t>
        </is>
      </c>
      <c r="D22" s="11" t="inlineStr">
        <is>
          <t>ML</t>
        </is>
      </c>
      <c r="E22" s="12" t="n">
        <v>46235</v>
      </c>
      <c r="F22" s="12" t="n">
        <v>46235</v>
      </c>
      <c r="G22" s="240" t="inlineStr">
        <is>
          <t>ALL-STAR tier</t>
        </is>
      </c>
      <c r="H22" s="8" t="n"/>
      <c r="I22" s="13" t="n"/>
      <c r="J22" s="13" t="n"/>
      <c r="K22" s="13" t="n"/>
      <c r="L22" s="13" t="n"/>
      <c r="M22" s="13" t="n"/>
      <c r="N22" s="13" t="n"/>
      <c r="O22" s="13" t="n"/>
      <c r="P22" s="13" t="n"/>
      <c r="Q22" s="13" t="n"/>
      <c r="R22">
        <f>IF($A22&lt;&gt;"",$A22,R21)</f>
        <v/>
      </c>
    </row>
    <row r="23">
      <c r="A23" s="4" t="n"/>
      <c r="B23" s="4" t="inlineStr">
        <is>
          <t>Collection + train (17.7k examples)</t>
        </is>
      </c>
      <c r="C23" s="238" t="inlineStr">
        <is>
          <t>Done</t>
        </is>
      </c>
      <c r="D23" s="6" t="inlineStr">
        <is>
          <t>ML</t>
        </is>
      </c>
      <c r="E23" s="7" t="n">
        <v>46235</v>
      </c>
      <c r="F23" s="7" t="n">
        <v>46235</v>
      </c>
      <c r="G23" s="239" t="inlineStr">
        <is>
          <t>63.9% vs 62.2% rank base</t>
        </is>
      </c>
      <c r="H23" s="8" t="n"/>
      <c r="I23" s="9" t="n"/>
      <c r="J23" s="9" t="n"/>
      <c r="K23" s="9" t="n"/>
      <c r="L23" s="9" t="n"/>
      <c r="M23" s="9" t="n"/>
      <c r="N23" s="9" t="n"/>
      <c r="O23" s="9" t="n"/>
      <c r="P23" s="9" t="n"/>
      <c r="Q23" s="9" t="n"/>
      <c r="R23">
        <f>IF($A23&lt;&gt;"",$A23,R22)</f>
        <v/>
      </c>
    </row>
    <row r="24">
      <c r="A24" s="10" t="n"/>
      <c r="B24" s="10" t="inlineStr">
        <is>
          <t>Fix target leakage (winner as player1)</t>
        </is>
      </c>
      <c r="C24" s="238" t="inlineStr">
        <is>
          <t>Done</t>
        </is>
      </c>
      <c r="D24" s="11" t="inlineStr">
        <is>
          <t>ML</t>
        </is>
      </c>
      <c r="E24" s="12" t="n">
        <v>46235</v>
      </c>
      <c r="F24" s="12" t="n">
        <v>46235</v>
      </c>
      <c r="G24" s="240" t="inlineStr">
        <is>
          <t>Caught pre-launch</t>
        </is>
      </c>
      <c r="H24" s="8" t="n"/>
      <c r="I24" s="13" t="n"/>
      <c r="J24" s="13" t="n"/>
      <c r="K24" s="13" t="n"/>
      <c r="L24" s="13" t="n"/>
      <c r="M24" s="13" t="n"/>
      <c r="N24" s="13" t="n"/>
      <c r="O24" s="13" t="n"/>
      <c r="P24" s="13" t="n"/>
      <c r="Q24" s="13" t="n"/>
      <c r="R24">
        <f>IF($A24&lt;&gt;"",$A24,R23)</f>
        <v/>
      </c>
    </row>
    <row r="25">
      <c r="A25" s="4" t="n"/>
      <c r="B25" s="4" t="inlineStr">
        <is>
          <t>Retirements, tournament grouping</t>
        </is>
      </c>
      <c r="C25" s="238" t="inlineStr">
        <is>
          <t>Done</t>
        </is>
      </c>
      <c r="D25" s="6" t="inlineStr">
        <is>
          <t>ML</t>
        </is>
      </c>
      <c r="E25" s="7" t="n">
        <v>46236</v>
      </c>
      <c r="F25" s="7" t="n">
        <v>46236</v>
      </c>
      <c r="G25" s="239" t="inlineStr">
        <is>
          <t>VOID badge</t>
        </is>
      </c>
      <c r="H25" s="8" t="n"/>
      <c r="I25" s="9" t="n"/>
      <c r="J25" s="9" t="n"/>
      <c r="K25" s="9" t="n"/>
      <c r="L25" s="9" t="n"/>
      <c r="M25" s="9" t="n"/>
      <c r="N25" s="9" t="n"/>
      <c r="O25" s="9" t="n"/>
      <c r="P25" s="9" t="n"/>
      <c r="Q25" s="9" t="n"/>
      <c r="R25">
        <f>IF($A25&lt;&gt;"",$A25,R24)</f>
        <v/>
      </c>
    </row>
    <row r="26">
      <c r="A26" s="10" t="n"/>
      <c r="B26" s="10" t="inlineStr">
        <is>
          <t>Kickoff refresh + live derivation</t>
        </is>
      </c>
      <c r="C26" s="238" t="inlineStr">
        <is>
          <t>Done</t>
        </is>
      </c>
      <c r="D26" s="11" t="inlineStr">
        <is>
          <t>Data</t>
        </is>
      </c>
      <c r="E26" s="12" t="n">
        <v>46237</v>
      </c>
      <c r="F26" s="12" t="n">
        <v>46237</v>
      </c>
      <c r="G26" s="240" t="inlineStr">
        <is>
          <t>26-&gt;20 estimated</t>
        </is>
      </c>
      <c r="H26" s="13" t="n"/>
      <c r="I26" s="8" t="n"/>
      <c r="J26" s="13" t="n"/>
      <c r="K26" s="13" t="n"/>
      <c r="L26" s="13" t="n"/>
      <c r="M26" s="13" t="n"/>
      <c r="N26" s="13" t="n"/>
      <c r="O26" s="13" t="n"/>
      <c r="P26" s="13" t="n"/>
      <c r="Q26" s="13" t="n"/>
      <c r="R26">
        <f>IF($A26&lt;&gt;"",$A26,R25)</f>
        <v/>
      </c>
    </row>
    <row r="27">
      <c r="A27" s="3" t="inlineStr">
        <is>
          <t>E6 Picks</t>
        </is>
      </c>
      <c r="B27" s="4" t="inlineStr">
        <is>
          <t>GET /picks, EV + threshold logic</t>
        </is>
      </c>
      <c r="C27" s="238" t="inlineStr">
        <is>
          <t>Done</t>
        </is>
      </c>
      <c r="D27" s="6" t="inlineStr">
        <is>
          <t>Backend</t>
        </is>
      </c>
      <c r="E27" s="7" t="n">
        <v>46232</v>
      </c>
      <c r="F27" s="7" t="n">
        <v>46233</v>
      </c>
      <c r="G27" s="239" t="inlineStr">
        <is>
          <t>TDD §4.2</t>
        </is>
      </c>
      <c r="H27" s="8" t="n"/>
      <c r="I27" s="9" t="n"/>
      <c r="J27" s="9" t="n"/>
      <c r="K27" s="9" t="n"/>
      <c r="L27" s="9" t="n"/>
      <c r="M27" s="9" t="n"/>
      <c r="N27" s="9" t="n"/>
      <c r="O27" s="9" t="n"/>
      <c r="P27" s="9" t="n"/>
      <c r="Q27" s="9" t="n"/>
      <c r="R27">
        <f>IF($A27&lt;&gt;"",$A27,R26)</f>
        <v/>
      </c>
    </row>
    <row r="28">
      <c r="A28" s="10" t="n"/>
      <c r="B28" s="10" t="inlineStr">
        <is>
          <t>Extra markets: DC, O/U goals, corners</t>
        </is>
      </c>
      <c r="C28" s="238" t="inlineStr">
        <is>
          <t>Done</t>
        </is>
      </c>
      <c r="D28" s="11" t="inlineStr">
        <is>
          <t>Backend</t>
        </is>
      </c>
      <c r="E28" s="12" t="n">
        <v>46234</v>
      </c>
      <c r="F28" s="12" t="n">
        <v>46235</v>
      </c>
      <c r="G28" s="240" t="inlineStr">
        <is>
          <t>Poisson-derived</t>
        </is>
      </c>
      <c r="H28" s="8" t="n"/>
      <c r="I28" s="13" t="n"/>
      <c r="J28" s="13" t="n"/>
      <c r="K28" s="13" t="n"/>
      <c r="L28" s="13" t="n"/>
      <c r="M28" s="13" t="n"/>
      <c r="N28" s="13" t="n"/>
      <c r="O28" s="13" t="n"/>
      <c r="P28" s="13" t="n"/>
      <c r="Q28" s="13" t="n"/>
      <c r="R28">
        <f>IF($A28&lt;&gt;"",$A28,R27)</f>
        <v/>
      </c>
    </row>
    <row r="29">
      <c r="A29" s="4" t="n"/>
      <c r="B29" s="4" t="inlineStr">
        <is>
          <t>Base-rate relative ranking</t>
        </is>
      </c>
      <c r="C29" s="238" t="inlineStr">
        <is>
          <t>Done</t>
        </is>
      </c>
      <c r="D29" s="6" t="inlineStr">
        <is>
          <t>Backend</t>
        </is>
      </c>
      <c r="E29" s="7" t="n">
        <v>46236</v>
      </c>
      <c r="F29" s="7" t="n">
        <v>46236</v>
      </c>
      <c r="G29" s="239" t="inlineStr">
        <is>
          <t>Replaced pure EV</t>
        </is>
      </c>
      <c r="H29" s="8" t="n"/>
      <c r="I29" s="9" t="n"/>
      <c r="J29" s="9" t="n"/>
      <c r="K29" s="9" t="n"/>
      <c r="L29" s="9" t="n"/>
      <c r="M29" s="9" t="n"/>
      <c r="N29" s="9" t="n"/>
      <c r="O29" s="9" t="n"/>
      <c r="P29" s="9" t="n"/>
      <c r="Q29" s="9" t="n"/>
      <c r="R29">
        <f>IF($A29&lt;&gt;"",$A29,R28)</f>
        <v/>
      </c>
    </row>
    <row r="30">
      <c r="A30" s="10" t="n"/>
      <c r="B30" s="10" t="inlineStr">
        <is>
          <t>GET /history + summary</t>
        </is>
      </c>
      <c r="C30" s="238" t="inlineStr">
        <is>
          <t>Done</t>
        </is>
      </c>
      <c r="D30" s="11" t="inlineStr">
        <is>
          <t>Backend</t>
        </is>
      </c>
      <c r="E30" s="12" t="n">
        <v>46236</v>
      </c>
      <c r="F30" s="12" t="n">
        <v>46236</v>
      </c>
      <c r="G30" s="240" t="inlineStr">
        <is>
          <t>Was a 501 stub</t>
        </is>
      </c>
      <c r="H30" s="8" t="n"/>
      <c r="I30" s="13" t="n"/>
      <c r="J30" s="13" t="n"/>
      <c r="K30" s="13" t="n"/>
      <c r="L30" s="13" t="n"/>
      <c r="M30" s="13" t="n"/>
      <c r="N30" s="13" t="n"/>
      <c r="O30" s="13" t="n"/>
      <c r="P30" s="13" t="n"/>
      <c r="Q30" s="13" t="n"/>
      <c r="R30">
        <f>IF($A30&lt;&gt;"",$A30,R29)</f>
        <v/>
      </c>
    </row>
    <row r="31">
      <c r="A31" s="3" t="inlineStr">
        <is>
          <t>E7 Mobile</t>
        </is>
      </c>
      <c r="B31" s="4" t="inlineStr">
        <is>
          <t>Expo scaffold, 8 routes, API client</t>
        </is>
      </c>
      <c r="C31" s="238" t="inlineStr">
        <is>
          <t>Done</t>
        </is>
      </c>
      <c r="D31" s="6" t="inlineStr">
        <is>
          <t>Mobile</t>
        </is>
      </c>
      <c r="E31" s="7" t="n">
        <v>46233</v>
      </c>
      <c r="F31" s="7" t="n">
        <v>46234</v>
      </c>
      <c r="G31" s="239" t="inlineStr">
        <is>
          <t>Web + Android verified</t>
        </is>
      </c>
      <c r="H31" s="8" t="n"/>
      <c r="I31" s="9" t="n"/>
      <c r="J31" s="9" t="n"/>
      <c r="K31" s="9" t="n"/>
      <c r="L31" s="9" t="n"/>
      <c r="M31" s="9" t="n"/>
      <c r="N31" s="9" t="n"/>
      <c r="O31" s="9" t="n"/>
      <c r="P31" s="9" t="n"/>
      <c r="Q31" s="9" t="n"/>
      <c r="R31">
        <f>IF($A31&lt;&gt;"",$A31,R30)</f>
        <v/>
      </c>
    </row>
    <row r="32">
      <c r="A32" s="10" t="n"/>
      <c r="B32" s="10" t="inlineStr">
        <is>
          <t>Auth, guest sessions, biometrics</t>
        </is>
      </c>
      <c r="C32" s="238" t="inlineStr">
        <is>
          <t>Done</t>
        </is>
      </c>
      <c r="D32" s="11" t="inlineStr">
        <is>
          <t>Mobile</t>
        </is>
      </c>
      <c r="E32" s="12" t="n">
        <v>46234</v>
      </c>
      <c r="F32" s="12" t="n">
        <v>46234</v>
      </c>
      <c r="G32" s="240" t="inlineStr">
        <is>
          <t>SecureStore JWT</t>
        </is>
      </c>
      <c r="H32" s="8" t="n"/>
      <c r="I32" s="13" t="n"/>
      <c r="J32" s="13" t="n"/>
      <c r="K32" s="13" t="n"/>
      <c r="L32" s="13" t="n"/>
      <c r="M32" s="13" t="n"/>
      <c r="N32" s="13" t="n"/>
      <c r="O32" s="13" t="n"/>
      <c r="P32" s="13" t="n"/>
      <c r="Q32" s="13" t="n"/>
      <c r="R32">
        <f>IF($A32&lt;&gt;"",$A32,R31)</f>
        <v/>
      </c>
    </row>
    <row r="33">
      <c r="A33" s="4" t="n"/>
      <c r="B33" s="4" t="inlineStr">
        <is>
          <t>Fixture cards, verdicts, flags</t>
        </is>
      </c>
      <c r="C33" s="238" t="inlineStr">
        <is>
          <t>Done</t>
        </is>
      </c>
      <c r="D33" s="6" t="inlineStr">
        <is>
          <t>Mobile</t>
        </is>
      </c>
      <c r="E33" s="7" t="n">
        <v>46235</v>
      </c>
      <c r="F33" s="7" t="n">
        <v>46236</v>
      </c>
      <c r="G33" s="239" t="inlineStr">
        <is>
          <t>Real flag PNGs</t>
        </is>
      </c>
      <c r="H33" s="8" t="n"/>
      <c r="I33" s="9" t="n"/>
      <c r="J33" s="9" t="n"/>
      <c r="K33" s="9" t="n"/>
      <c r="L33" s="9" t="n"/>
      <c r="M33" s="9" t="n"/>
      <c r="N33" s="9" t="n"/>
      <c r="O33" s="9" t="n"/>
      <c r="P33" s="9" t="n"/>
      <c r="Q33" s="9" t="n"/>
      <c r="R33">
        <f>IF($A33&lt;&gt;"",$A33,R32)</f>
        <v/>
      </c>
    </row>
    <row r="34">
      <c r="A34" s="10" t="n"/>
      <c r="B34" s="10" t="inlineStr">
        <is>
          <t>Picks UI rebuild (dropdowns, calendar)</t>
        </is>
      </c>
      <c r="C34" s="238" t="inlineStr">
        <is>
          <t>Done</t>
        </is>
      </c>
      <c r="D34" s="11" t="inlineStr">
        <is>
          <t>Mobile</t>
        </is>
      </c>
      <c r="E34" s="12" t="n">
        <v>46237</v>
      </c>
      <c r="F34" s="12" t="n">
        <v>46237</v>
      </c>
      <c r="G34" s="240" t="inlineStr">
        <is>
          <t>Per mockups</t>
        </is>
      </c>
      <c r="H34" s="13" t="n"/>
      <c r="I34" s="8" t="n"/>
      <c r="J34" s="13" t="n"/>
      <c r="K34" s="13" t="n"/>
      <c r="L34" s="13" t="n"/>
      <c r="M34" s="13" t="n"/>
      <c r="N34" s="13" t="n"/>
      <c r="O34" s="13" t="n"/>
      <c r="P34" s="13" t="n"/>
      <c r="Q34" s="13" t="n"/>
      <c r="R34">
        <f>IF($A34&lt;&gt;"",$A34,R33)</f>
        <v/>
      </c>
    </row>
    <row r="35">
      <c r="A35" s="4" t="n"/>
      <c r="B35" s="4" t="inlineStr">
        <is>
          <t>Theme: light/dark/system, account-synced</t>
        </is>
      </c>
      <c r="C35" s="238" t="inlineStr">
        <is>
          <t>Done</t>
        </is>
      </c>
      <c r="D35" s="6" t="inlineStr">
        <is>
          <t>Mobile</t>
        </is>
      </c>
      <c r="E35" s="7" t="n">
        <v>46237</v>
      </c>
      <c r="F35" s="7" t="n">
        <v>46237</v>
      </c>
      <c r="G35" s="239" t="inlineStr">
        <is>
          <t>Cross-device verified</t>
        </is>
      </c>
      <c r="H35" s="9" t="n"/>
      <c r="I35" s="8" t="n"/>
      <c r="J35" s="9" t="n"/>
      <c r="K35" s="9" t="n"/>
      <c r="L35" s="9" t="n"/>
      <c r="M35" s="9" t="n"/>
      <c r="N35" s="9" t="n"/>
      <c r="O35" s="9" t="n"/>
      <c r="P35" s="9" t="n"/>
      <c r="Q35" s="9" t="n"/>
      <c r="R35">
        <f>IF($A35&lt;&gt;"",$A35,R34)</f>
        <v/>
      </c>
    </row>
    <row r="36">
      <c r="A36" s="10" t="n"/>
      <c r="B36" s="10" t="inlineStr">
        <is>
          <t>Score on each team's row, badge aligned</t>
        </is>
      </c>
      <c r="C36" s="238" t="inlineStr">
        <is>
          <t>Done</t>
        </is>
      </c>
      <c r="D36" s="11" t="inlineStr">
        <is>
          <t>Mobile</t>
        </is>
      </c>
      <c r="E36" s="12" t="n">
        <v>46238</v>
      </c>
      <c r="F36" s="12" t="n">
        <v>46238</v>
      </c>
      <c r="G36" s="240" t="inlineStr">
        <is>
          <t>Per mockups; measured, not eyeballed</t>
        </is>
      </c>
      <c r="H36" s="13" t="n"/>
      <c r="I36" s="8" t="n"/>
      <c r="J36" s="13" t="n"/>
      <c r="K36" s="13" t="n"/>
      <c r="L36" s="13" t="n"/>
      <c r="M36" s="13" t="n"/>
      <c r="N36" s="13" t="n"/>
      <c r="O36" s="13" t="n"/>
      <c r="P36" s="13" t="n"/>
      <c r="Q36" s="13" t="n"/>
      <c r="R36">
        <f>IF($A36&lt;&gt;"",$A36,R35)</f>
        <v/>
      </c>
    </row>
    <row r="37">
      <c r="A37" s="4" t="n"/>
      <c r="B37" s="4" t="inlineStr">
        <is>
          <t>Equal control widths, filters aligned</t>
        </is>
      </c>
      <c r="C37" s="238" t="inlineStr">
        <is>
          <t>Done</t>
        </is>
      </c>
      <c r="D37" s="6" t="inlineStr">
        <is>
          <t>Mobile</t>
        </is>
      </c>
      <c r="E37" s="7" t="n">
        <v>46238</v>
      </c>
      <c r="F37" s="7" t="n">
        <v>46238</v>
      </c>
      <c r="G37" s="239" t="inlineStr">
        <is>
          <t>Shared FILTER_TRIGGER_WIDTH</t>
        </is>
      </c>
      <c r="H37" s="9" t="n"/>
      <c r="I37" s="8" t="n"/>
      <c r="J37" s="9" t="n"/>
      <c r="K37" s="9" t="n"/>
      <c r="L37" s="9" t="n"/>
      <c r="M37" s="9" t="n"/>
      <c r="N37" s="9" t="n"/>
      <c r="O37" s="9" t="n"/>
      <c r="P37" s="9" t="n"/>
      <c r="Q37" s="9" t="n"/>
      <c r="R37">
        <f>IF($A37&lt;&gt;"",$A37,R36)</f>
        <v/>
      </c>
    </row>
    <row r="38">
      <c r="A38" s="14" t="inlineStr">
        <is>
          <t>E8 Model Quality</t>
        </is>
      </c>
      <c r="B38" s="10" t="inlineStr">
        <is>
          <t>Measure O/U signal (found ~none)</t>
        </is>
      </c>
      <c r="C38" s="238" t="inlineStr">
        <is>
          <t>Done</t>
        </is>
      </c>
      <c r="D38" s="11" t="inlineStr">
        <is>
          <t>ML</t>
        </is>
      </c>
      <c r="E38" s="12" t="n">
        <v>46236</v>
      </c>
      <c r="F38" s="12" t="n">
        <v>46236</v>
      </c>
      <c r="G38" s="240" t="inlineStr">
        <is>
          <t>corr +0.030</t>
        </is>
      </c>
      <c r="H38" s="8" t="n"/>
      <c r="I38" s="13" t="n"/>
      <c r="J38" s="13" t="n"/>
      <c r="K38" s="13" t="n"/>
      <c r="L38" s="13" t="n"/>
      <c r="M38" s="13" t="n"/>
      <c r="N38" s="13" t="n"/>
      <c r="O38" s="13" t="n"/>
      <c r="P38" s="13" t="n"/>
      <c r="Q38" s="13" t="n"/>
      <c r="R38">
        <f>IF($A38&lt;&gt;"",$A38,R37)</f>
        <v/>
      </c>
    </row>
    <row r="39">
      <c r="A39" s="4" t="n"/>
      <c r="B39" s="4" t="inlineStr">
        <is>
          <t>Refute Negative Binomial premise</t>
        </is>
      </c>
      <c r="C39" s="238" t="inlineStr">
        <is>
          <t>Done</t>
        </is>
      </c>
      <c r="D39" s="6" t="inlineStr">
        <is>
          <t>ML</t>
        </is>
      </c>
      <c r="E39" s="7" t="n">
        <v>46236</v>
      </c>
      <c r="F39" s="7" t="n">
        <v>46236</v>
      </c>
      <c r="G39" s="239" t="inlineStr">
        <is>
          <t>var/mean = 1.003</t>
        </is>
      </c>
      <c r="H39" s="8" t="n"/>
      <c r="I39" s="9" t="n"/>
      <c r="J39" s="9" t="n"/>
      <c r="K39" s="9" t="n"/>
      <c r="L39" s="9" t="n"/>
      <c r="M39" s="9" t="n"/>
      <c r="N39" s="9" t="n"/>
      <c r="O39" s="9" t="n"/>
      <c r="P39" s="9" t="n"/>
      <c r="Q39" s="9" t="n"/>
      <c r="R39">
        <f>IF($A39&lt;&gt;"",$A39,R38)</f>
        <v/>
      </c>
    </row>
    <row r="40">
      <c r="A40" s="10" t="n"/>
      <c r="B40" s="10" t="inlineStr">
        <is>
          <t>TheStatsAPI eval + xG integration</t>
        </is>
      </c>
      <c r="C40" s="238" t="inlineStr">
        <is>
          <t>Done</t>
        </is>
      </c>
      <c r="D40" s="11" t="inlineStr">
        <is>
          <t>ML</t>
        </is>
      </c>
      <c r="E40" s="12" t="n">
        <v>46237</v>
      </c>
      <c r="F40" s="12" t="n">
        <v>46237</v>
      </c>
      <c r="G40" s="240" t="inlineStr">
        <is>
          <t>xG r=+0.129 vs goals +0.062</t>
        </is>
      </c>
      <c r="H40" s="13" t="n"/>
      <c r="I40" s="8" t="n"/>
      <c r="J40" s="13" t="n"/>
      <c r="K40" s="13" t="n"/>
      <c r="L40" s="13" t="n"/>
      <c r="M40" s="13" t="n"/>
      <c r="N40" s="13" t="n"/>
      <c r="O40" s="13" t="n"/>
      <c r="P40" s="13" t="n"/>
      <c r="Q40" s="13" t="n"/>
      <c r="R40">
        <f>IF($A40&lt;&gt;"",$A40,R39)</f>
        <v/>
      </c>
    </row>
    <row r="41">
      <c r="A41" s="4" t="n"/>
      <c r="B41" s="4" t="inlineStr">
        <is>
          <t>xG collection (5 leagues)</t>
        </is>
      </c>
      <c r="C41" s="238" t="inlineStr">
        <is>
          <t>Done</t>
        </is>
      </c>
      <c r="D41" s="6" t="inlineStr">
        <is>
          <t>ML</t>
        </is>
      </c>
      <c r="E41" s="7" t="n">
        <v>46237</v>
      </c>
      <c r="F41" s="7" t="n">
        <v>46238</v>
      </c>
      <c r="G41" s="239" t="inlineStr">
        <is>
          <t>Superseded by row 47: 5-league collection finished, 5.9k matches</t>
        </is>
      </c>
      <c r="H41" s="9" t="n"/>
      <c r="I41" s="16" t="n"/>
      <c r="J41" s="9" t="n"/>
      <c r="K41" s="9" t="n"/>
      <c r="L41" s="9" t="n"/>
      <c r="M41" s="9" t="n"/>
      <c r="N41" s="9" t="n"/>
      <c r="O41" s="9" t="n"/>
      <c r="P41" s="9" t="n"/>
      <c r="Q41" s="9" t="n"/>
      <c r="R41">
        <f>IF($A41&lt;&gt;"",$A41,R40)</f>
        <v/>
      </c>
    </row>
    <row r="42">
      <c r="A42" s="10" t="n"/>
      <c r="B42" s="10" t="inlineStr">
        <is>
          <t>Retrain + measure O/U buckets</t>
        </is>
      </c>
      <c r="C42" s="238" t="inlineStr">
        <is>
          <t>Done</t>
        </is>
      </c>
      <c r="D42" s="11" t="inlineStr">
        <is>
          <t>ML</t>
        </is>
      </c>
      <c r="E42" s="12" t="n">
        <v>46238</v>
      </c>
      <c r="F42" s="12" t="n">
        <v>46239</v>
      </c>
      <c r="G42" s="240" t="inlineStr">
        <is>
          <t>Superseded by rows 48/90: retrained, O/U buckets measured</t>
        </is>
      </c>
      <c r="H42" s="13" t="n"/>
      <c r="I42" s="18" t="n"/>
      <c r="J42" s="13" t="n"/>
      <c r="K42" s="13" t="n"/>
      <c r="L42" s="13" t="n"/>
      <c r="M42" s="13" t="n"/>
      <c r="N42" s="13" t="n"/>
      <c r="O42" s="13" t="n"/>
      <c r="P42" s="13" t="n"/>
      <c r="Q42" s="13" t="n"/>
      <c r="R42">
        <f>IF($A42&lt;&gt;"",$A42,R41)</f>
        <v/>
      </c>
    </row>
    <row r="43">
      <c r="A43" s="4" t="n"/>
      <c r="B43" s="4" t="inlineStr">
        <is>
          <t>League-identity features (partial pooling)</t>
        </is>
      </c>
      <c r="C43" s="238" t="inlineStr">
        <is>
          <t>Done</t>
        </is>
      </c>
      <c r="D43" s="6" t="inlineStr">
        <is>
          <t>ML</t>
        </is>
      </c>
      <c r="E43" s="7" t="n">
        <v>46239</v>
      </c>
      <c r="F43" s="7" t="n">
        <v>46241</v>
      </c>
      <c r="G43" s="239" t="inlineStr">
        <is>
          <t>Superseded by row 49: built, measured, NEGATIVE, disabled</t>
        </is>
      </c>
      <c r="H43" s="9" t="n"/>
      <c r="I43" s="18" t="n"/>
      <c r="J43" s="9" t="n"/>
      <c r="K43" s="9" t="n"/>
      <c r="L43" s="9" t="n"/>
      <c r="M43" s="9" t="n"/>
      <c r="N43" s="9" t="n"/>
      <c r="O43" s="9" t="n"/>
      <c r="P43" s="9" t="n"/>
      <c r="Q43" s="9" t="n"/>
      <c r="R43">
        <f>IF($A43&lt;&gt;"",$A43,R42)</f>
        <v/>
      </c>
    </row>
    <row r="44">
      <c r="A44" s="10" t="n"/>
      <c r="B44" s="10" t="inlineStr">
        <is>
          <t>Collect La Liga/Bundesliga/Ligue1 history</t>
        </is>
      </c>
      <c r="C44" s="238" t="inlineStr">
        <is>
          <t>Done</t>
        </is>
      </c>
      <c r="D44" s="11" t="inlineStr">
        <is>
          <t>ML</t>
        </is>
      </c>
      <c r="E44" s="12" t="n">
        <v>46240</v>
      </c>
      <c r="F44" s="12" t="n">
        <v>46243</v>
      </c>
      <c r="G44" s="240" t="inlineStr">
        <is>
          <t>Game logs collected for all 4 (+ Serie A). 7,028 fixtures, pool +81%</t>
        </is>
      </c>
      <c r="H44" s="13" t="n"/>
      <c r="I44" s="18" t="n"/>
      <c r="J44" s="13" t="n"/>
      <c r="K44" s="13" t="n"/>
      <c r="L44" s="13" t="n"/>
      <c r="M44" s="13" t="n"/>
      <c r="N44" s="13" t="n"/>
      <c r="O44" s="13" t="n"/>
      <c r="P44" s="13" t="n"/>
      <c r="Q44" s="13" t="n"/>
      <c r="R44">
        <f>IF($A44&lt;&gt;"",$A44,R43)</f>
        <v/>
      </c>
    </row>
    <row r="45">
      <c r="A45" s="4" t="n"/>
      <c r="B45" s="4" t="inlineStr">
        <is>
          <t>Lineups Scottish Prem + MLS, retrain</t>
        </is>
      </c>
      <c r="C45" s="238" t="inlineStr">
        <is>
          <t>Done</t>
        </is>
      </c>
      <c r="D45" s="6" t="inlineStr">
        <is>
          <t>ML</t>
        </is>
      </c>
      <c r="E45" s="7" t="n">
        <v>46241</v>
      </c>
      <c r="F45" s="7" t="n">
        <v>46244</v>
      </c>
      <c r="G45" s="239" t="inlineStr">
        <is>
          <t>DROPPED, not delivered: key-player features pruned, so lineups feed nothing</t>
        </is>
      </c>
      <c r="H45" s="9" t="n"/>
      <c r="I45" s="18" t="n"/>
      <c r="J45" s="18" t="n"/>
      <c r="K45" s="9" t="n"/>
      <c r="L45" s="9" t="n"/>
      <c r="M45" s="9" t="n"/>
      <c r="N45" s="9" t="n"/>
      <c r="O45" s="9" t="n"/>
      <c r="P45" s="9" t="n"/>
      <c r="Q45" s="9" t="n"/>
      <c r="R45">
        <f>IF($A45&lt;&gt;"",$A45,R44)</f>
        <v/>
      </c>
    </row>
    <row r="46">
      <c r="A46" s="10" t="n"/>
      <c r="B46" s="10" t="inlineStr">
        <is>
          <t>GO / NO-GO on Over-Under market</t>
        </is>
      </c>
      <c r="C46" s="238" t="inlineStr">
        <is>
          <t>Done</t>
        </is>
      </c>
      <c r="D46" s="11" t="inlineStr">
        <is>
          <t>ML</t>
        </is>
      </c>
      <c r="E46" s="12" t="n">
        <v>46244</v>
      </c>
      <c r="F46" s="12" t="n">
        <v>46244</v>
      </c>
      <c r="G46" s="240" t="inlineStr">
        <is>
          <t>GO. z=+2.96 p=0.0031 through the calibrated production path</t>
        </is>
      </c>
      <c r="H46" s="13" t="n"/>
      <c r="I46" s="13" t="n"/>
      <c r="J46" s="20" t="inlineStr">
        <is>
          <t>◆</t>
        </is>
      </c>
      <c r="K46" s="13" t="n"/>
      <c r="L46" s="13" t="n"/>
      <c r="M46" s="13" t="n"/>
      <c r="N46" s="13" t="n"/>
      <c r="O46" s="13" t="n"/>
      <c r="P46" s="13" t="n"/>
      <c r="Q46" s="13" t="n"/>
      <c r="R46">
        <f>IF($A46&lt;&gt;"",$A46,R45)</f>
        <v/>
      </c>
    </row>
    <row r="47">
      <c r="A47" s="4" t="n"/>
      <c r="B47" s="4" t="inlineStr">
        <is>
          <t>xG collection complete (5 leagues, 5.9k matches)</t>
        </is>
      </c>
      <c r="C47" s="238" t="inlineStr">
        <is>
          <t>Done</t>
        </is>
      </c>
      <c r="D47" s="6" t="inlineStr">
        <is>
          <t>ML</t>
        </is>
      </c>
      <c r="E47" s="7" t="n">
        <v>46237</v>
      </c>
      <c r="F47" s="7" t="n">
        <v>46238</v>
      </c>
      <c r="G47" s="239" t="inlineStr">
        <is>
          <t>96-100% coverage per season</t>
        </is>
      </c>
      <c r="H47" s="9" t="n"/>
      <c r="I47" s="8" t="n"/>
      <c r="J47" s="9" t="n"/>
      <c r="K47" s="9" t="n"/>
      <c r="L47" s="9" t="n"/>
      <c r="M47" s="9" t="n"/>
      <c r="N47" s="9" t="n"/>
      <c r="O47" s="9" t="n"/>
      <c r="P47" s="9" t="n"/>
      <c r="Q47" s="9" t="n"/>
      <c r="R47">
        <f>IF($A47&lt;&gt;"",$A47,R46)</f>
        <v/>
      </c>
    </row>
    <row r="48">
      <c r="A48" s="10" t="n"/>
      <c r="B48" s="10" t="inlineStr">
        <is>
          <t>Retrain on full xG coverage</t>
        </is>
      </c>
      <c r="C48" s="238" t="inlineStr">
        <is>
          <t>Done</t>
        </is>
      </c>
      <c r="D48" s="11" t="inlineStr">
        <is>
          <t>ML</t>
        </is>
      </c>
      <c r="E48" s="12" t="n">
        <v>46238</v>
      </c>
      <c r="F48" s="12" t="n">
        <v>46238</v>
      </c>
      <c r="G48" s="240" t="inlineStr">
        <is>
          <t>O/U buckets monotonic, z=+1.86 (p=0.062)</t>
        </is>
      </c>
      <c r="H48" s="13" t="n"/>
      <c r="I48" s="8" t="n"/>
      <c r="J48" s="13" t="n"/>
      <c r="K48" s="13" t="n"/>
      <c r="L48" s="13" t="n"/>
      <c r="M48" s="13" t="n"/>
      <c r="N48" s="13" t="n"/>
      <c r="O48" s="13" t="n"/>
      <c r="P48" s="13" t="n"/>
      <c r="Q48" s="13" t="n"/>
      <c r="R48">
        <f>IF($A48&lt;&gt;"",$A48,R47)</f>
        <v/>
      </c>
    </row>
    <row r="49">
      <c r="A49" s="4" t="n"/>
      <c r="B49" s="4" t="inlineStr">
        <is>
          <t>League-identity features — NEGATIVE result</t>
        </is>
      </c>
      <c r="C49" s="238" t="inlineStr">
        <is>
          <t>Done</t>
        </is>
      </c>
      <c r="D49" s="6" t="inlineStr">
        <is>
          <t>ML</t>
        </is>
      </c>
      <c r="E49" s="7" t="n">
        <v>46238</v>
      </c>
      <c r="F49" s="7" t="n">
        <v>46238</v>
      </c>
      <c r="G49" s="239" t="inlineStr">
        <is>
          <t>Made it worse; built, measured, disabled, documented</t>
        </is>
      </c>
      <c r="H49" s="9" t="n"/>
      <c r="I49" s="8" t="n"/>
      <c r="J49" s="9" t="n"/>
      <c r="K49" s="9" t="n"/>
      <c r="L49" s="9" t="n"/>
      <c r="M49" s="9" t="n"/>
      <c r="N49" s="9" t="n"/>
      <c r="O49" s="9" t="n"/>
      <c r="P49" s="9" t="n"/>
      <c r="Q49" s="9" t="n"/>
      <c r="R49">
        <f>IF($A49&lt;&gt;"",$A49,R48)</f>
        <v/>
      </c>
    </row>
    <row r="50">
      <c r="A50" s="10" t="n"/>
      <c r="B50" s="10" t="inlineStr">
        <is>
          <t>Confirm training is deterministic</t>
        </is>
      </c>
      <c r="C50" s="238" t="inlineStr">
        <is>
          <t>Done</t>
        </is>
      </c>
      <c r="D50" s="11" t="inlineStr">
        <is>
          <t>ML</t>
        </is>
      </c>
      <c r="E50" s="12" t="n">
        <v>46238</v>
      </c>
      <c r="F50" s="12" t="n">
        <v>46238</v>
      </c>
      <c r="G50" s="240" t="inlineStr">
        <is>
          <t>Reproduced bit-for-bit; no seed noise in any comparison</t>
        </is>
      </c>
      <c r="H50" s="13" t="n"/>
      <c r="I50" s="8" t="n"/>
      <c r="J50" s="13" t="n"/>
      <c r="K50" s="13" t="n"/>
      <c r="L50" s="13" t="n"/>
      <c r="M50" s="13" t="n"/>
      <c r="N50" s="13" t="n"/>
      <c r="O50" s="13" t="n"/>
      <c r="P50" s="13" t="n"/>
      <c r="Q50" s="13" t="n"/>
      <c r="R50">
        <f>IF($A50&lt;&gt;"",$A50,R49)</f>
        <v/>
      </c>
    </row>
    <row r="51">
      <c r="A51" s="4" t="n"/>
      <c r="B51" s="4" t="inlineStr">
        <is>
          <t>Shot-based features from shotmap</t>
        </is>
      </c>
      <c r="C51" s="17" t="inlineStr">
        <is>
          <t>Planned</t>
        </is>
      </c>
      <c r="D51" s="6" t="inlineStr">
        <is>
          <t>ML</t>
        </is>
      </c>
      <c r="E51" s="7" t="n">
        <v>46239</v>
      </c>
      <c r="F51" s="7" t="n">
        <v>46242</v>
      </c>
      <c r="G51" s="239" t="inlineStr">
        <is>
          <t>Last untried O/U lever; data already collected</t>
        </is>
      </c>
      <c r="H51" s="9" t="n"/>
      <c r="I51" s="18" t="n"/>
      <c r="J51" s="9" t="n"/>
      <c r="K51" s="9" t="n"/>
      <c r="L51" s="9" t="n"/>
      <c r="M51" s="9" t="n"/>
      <c r="N51" s="9" t="n"/>
      <c r="O51" s="9" t="n"/>
      <c r="P51" s="9" t="n"/>
      <c r="Q51" s="9" t="n"/>
      <c r="R51">
        <f>IF($A51&lt;&gt;"",$A51,R50)</f>
        <v/>
      </c>
    </row>
    <row r="52" ht="21" customHeight="1" s="282">
      <c r="A52" s="14" t="inlineStr">
        <is>
          <t>E9 Data Ops</t>
        </is>
      </c>
      <c r="B52" s="10" t="inlineStr">
        <is>
          <t>TheRundown Pro upgrade</t>
        </is>
      </c>
      <c r="C52" s="238" t="inlineStr">
        <is>
          <t>Done</t>
        </is>
      </c>
      <c r="D52" s="11" t="inlineStr">
        <is>
          <t>Data</t>
        </is>
      </c>
      <c r="E52" s="12" t="n">
        <v>46244</v>
      </c>
      <c r="F52" s="12" t="n">
        <v>46245</v>
      </c>
      <c r="G52" s="240" t="inlineStr">
        <is>
          <t>Pro active: 5,000 req/month confirmed live (was 1,000). Cadence stays 6h - worst case at 3h is 134% of quota</t>
        </is>
      </c>
      <c r="H52" s="13" t="n"/>
      <c r="I52" s="13" t="n"/>
      <c r="J52" s="18" t="n"/>
      <c r="K52" s="13" t="n"/>
      <c r="L52" s="13" t="n"/>
      <c r="M52" s="13" t="n"/>
      <c r="N52" s="13" t="n"/>
      <c r="O52" s="13" t="n"/>
      <c r="P52" s="13" t="n"/>
      <c r="Q52" s="13" t="n"/>
      <c r="R52">
        <f>IF($A52&lt;&gt;"",$A52,R51)</f>
        <v/>
      </c>
    </row>
    <row r="53">
      <c r="A53" s="4" t="n"/>
      <c r="B53" s="4" t="inlineStr">
        <is>
          <t>Narrow odds lookahead window</t>
        </is>
      </c>
      <c r="C53" s="17" t="inlineStr">
        <is>
          <t>Planned</t>
        </is>
      </c>
      <c r="D53" s="6" t="inlineStr">
        <is>
          <t>Data</t>
        </is>
      </c>
      <c r="E53" s="7" t="n">
        <v>46239</v>
      </c>
      <c r="F53" s="7" t="n">
        <v>46240</v>
      </c>
      <c r="G53" s="239" t="inlineStr">
        <is>
          <t>Halves per-league cost</t>
        </is>
      </c>
      <c r="H53" s="9" t="n"/>
      <c r="I53" s="18" t="n"/>
      <c r="J53" s="9" t="n"/>
      <c r="K53" s="9" t="n"/>
      <c r="L53" s="9" t="n"/>
      <c r="M53" s="9" t="n"/>
      <c r="N53" s="9" t="n"/>
      <c r="O53" s="9" t="n"/>
      <c r="P53" s="9" t="n"/>
      <c r="Q53" s="9" t="n"/>
      <c r="R53">
        <f>IF($A53&lt;&gt;"",$A53,R52)</f>
        <v/>
      </c>
    </row>
    <row r="54">
      <c r="A54" s="10" t="n"/>
      <c r="B54" s="10" t="inlineStr">
        <is>
          <t>Re-test API-Football European odds</t>
        </is>
      </c>
      <c r="C54" s="238" t="inlineStr">
        <is>
          <t>Done</t>
        </is>
      </c>
      <c r="D54" s="11" t="inlineStr">
        <is>
          <t>Data</t>
        </is>
      </c>
      <c r="E54" s="12" t="n">
        <v>46255</v>
      </c>
      <c r="F54" s="12" t="n">
        <v>46255</v>
      </c>
      <c r="G54" s="240" t="inlineStr">
        <is>
          <t>Merged into row 135 (same check, two entries)</t>
        </is>
      </c>
      <c r="H54" s="13" t="n"/>
      <c r="I54" s="13" t="n"/>
      <c r="J54" s="13" t="n"/>
      <c r="K54" s="20" t="inlineStr">
        <is>
          <t>◆</t>
        </is>
      </c>
      <c r="L54" s="13" t="n"/>
      <c r="M54" s="13" t="n"/>
      <c r="N54" s="13" t="n"/>
      <c r="O54" s="13" t="n"/>
      <c r="P54" s="13" t="n"/>
      <c r="Q54" s="13" t="n"/>
      <c r="R54">
        <f>IF($A54&lt;&gt;"",$A54,R53)</f>
        <v/>
      </c>
    </row>
    <row r="55">
      <c r="A55" s="4" t="n"/>
      <c r="B55" s="4" t="inlineStr">
        <is>
          <t>EPL 2026-27 season opens</t>
        </is>
      </c>
      <c r="C55" s="19" t="inlineStr">
        <is>
          <t>Milestone</t>
        </is>
      </c>
      <c r="D55" s="6" t="inlineStr">
        <is>
          <t>Data</t>
        </is>
      </c>
      <c r="E55" s="7" t="n">
        <v>46255</v>
      </c>
      <c r="F55" s="7" t="n">
        <v>46255</v>
      </c>
      <c r="G55" s="239" t="inlineStr">
        <is>
          <t>First real load test</t>
        </is>
      </c>
      <c r="H55" s="9" t="n"/>
      <c r="I55" s="9" t="n"/>
      <c r="J55" s="9" t="n"/>
      <c r="K55" s="20" t="inlineStr">
        <is>
          <t>◆</t>
        </is>
      </c>
      <c r="L55" s="9" t="n"/>
      <c r="M55" s="9" t="n"/>
      <c r="N55" s="9" t="n"/>
      <c r="O55" s="9" t="n"/>
      <c r="P55" s="9" t="n"/>
      <c r="Q55" s="9" t="n"/>
      <c r="R55">
        <f>IF($A55&lt;&gt;"",$A55,R54)</f>
        <v/>
      </c>
    </row>
    <row r="56">
      <c r="A56" s="10" t="n"/>
      <c r="B56" s="10" t="inlineStr">
        <is>
          <t>API-Football renewal</t>
        </is>
      </c>
      <c r="C56" s="19" t="inlineStr">
        <is>
          <t>Milestone</t>
        </is>
      </c>
      <c r="D56" s="11" t="inlineStr">
        <is>
          <t>Data</t>
        </is>
      </c>
      <c r="E56" s="12" t="n">
        <v>46263</v>
      </c>
      <c r="F56" s="12" t="n">
        <v>46263</v>
      </c>
      <c r="G56" s="240" t="inlineStr">
        <is>
          <t>Auto-renews</t>
        </is>
      </c>
      <c r="H56" s="13" t="n"/>
      <c r="I56" s="13" t="n"/>
      <c r="J56" s="13" t="n"/>
      <c r="K56" s="13" t="n"/>
      <c r="L56" s="20" t="inlineStr">
        <is>
          <t>◆</t>
        </is>
      </c>
      <c r="M56" s="13" t="n"/>
      <c r="N56" s="13" t="n"/>
      <c r="O56" s="13" t="n"/>
      <c r="P56" s="13" t="n"/>
      <c r="Q56" s="13" t="n"/>
      <c r="R56">
        <f>IF($A56&lt;&gt;"",$A56,R55)</f>
        <v/>
      </c>
    </row>
    <row r="57">
      <c r="A57" s="4" t="n"/>
      <c r="B57" s="4" t="inlineStr">
        <is>
          <t>Fix 9 tennis DRAW outcomes</t>
        </is>
      </c>
      <c r="C57" s="17" t="inlineStr">
        <is>
          <t>Planned</t>
        </is>
      </c>
      <c r="D57" s="6" t="inlineStr">
        <is>
          <t>Backend</t>
        </is>
      </c>
      <c r="E57" s="7" t="n">
        <v>46238</v>
      </c>
      <c r="F57" s="7" t="n">
        <v>46238</v>
      </c>
      <c r="G57" s="239" t="inlineStr">
        <is>
          <t>Was tracked as 9; actual total 41. Purge cleared 31, 10 remain</t>
        </is>
      </c>
      <c r="H57" s="9" t="n"/>
      <c r="I57" s="18" t="n"/>
      <c r="J57" s="9" t="n"/>
      <c r="K57" s="9" t="n"/>
      <c r="L57" s="9" t="n"/>
      <c r="M57" s="9" t="n"/>
      <c r="N57" s="9" t="n"/>
      <c r="O57" s="9" t="n"/>
      <c r="P57" s="9" t="n"/>
      <c r="Q57" s="9" t="n"/>
      <c r="R57">
        <f>IF($A57&lt;&gt;"",$A57,R56)</f>
        <v/>
      </c>
    </row>
    <row r="58">
      <c r="A58" s="10" t="n"/>
      <c r="B58" s="10" t="inlineStr">
        <is>
          <t>WTA subscription + collection</t>
        </is>
      </c>
      <c r="C58" s="21" t="inlineStr">
        <is>
          <t>Blocked</t>
        </is>
      </c>
      <c r="D58" s="11" t="inlineStr">
        <is>
          <t>ML</t>
        </is>
      </c>
      <c r="E58" s="12" t="n">
        <v>46246</v>
      </c>
      <c r="F58" s="12" t="n">
        <v>46249</v>
      </c>
      <c r="G58" s="240" t="inlineStr">
        <is>
          <t>Needs tour subscription</t>
        </is>
      </c>
      <c r="H58" s="13" t="n"/>
      <c r="I58" s="13" t="n"/>
      <c r="J58" s="22" t="n"/>
      <c r="K58" s="13" t="n"/>
      <c r="L58" s="13" t="n"/>
      <c r="M58" s="13" t="n"/>
      <c r="N58" s="13" t="n"/>
      <c r="O58" s="13" t="n"/>
      <c r="P58" s="13" t="n"/>
      <c r="Q58" s="13" t="n"/>
      <c r="R58">
        <f>IF($A58&lt;&gt;"",$A58,R57)</f>
        <v/>
      </c>
    </row>
    <row r="59" ht="21" customHeight="1" s="282">
      <c r="A59" s="4" t="n"/>
      <c r="B59" s="4" t="inlineStr">
        <is>
          <t>Tennis odds (fast-follow)</t>
        </is>
      </c>
      <c r="C59" s="238" t="inlineStr">
        <is>
          <t>Done</t>
        </is>
      </c>
      <c r="D59" s="6" t="inlineStr">
        <is>
          <t>Data</t>
        </is>
      </c>
      <c r="E59" s="7" t="n">
        <v>46249</v>
      </c>
      <c r="F59" s="7" t="n">
        <v>46252</v>
      </c>
      <c r="G59" s="239" t="inlineStr">
        <is>
          <t>SHIPPED via BallDontLie GOAT: DraftKings + FanDuel, direct match_id join, no fuzzy name matching</t>
        </is>
      </c>
      <c r="H59" s="9" t="n"/>
      <c r="I59" s="9" t="n"/>
      <c r="J59" s="22" t="n"/>
      <c r="K59" s="22" t="n"/>
      <c r="L59" s="9" t="n"/>
      <c r="M59" s="9" t="n"/>
      <c r="N59" s="9" t="n"/>
      <c r="O59" s="9" t="n"/>
      <c r="P59" s="9" t="n"/>
      <c r="Q59" s="9" t="n"/>
      <c r="R59">
        <f>IF($A59&lt;&gt;"",$A59,R58)</f>
        <v/>
      </c>
    </row>
    <row r="60">
      <c r="A60" s="10" t="n"/>
      <c r="B60" s="10" t="inlineStr">
        <is>
          <t>Tennis kickoff refresh + live derivation</t>
        </is>
      </c>
      <c r="C60" s="238" t="inlineStr">
        <is>
          <t>Done</t>
        </is>
      </c>
      <c r="D60" s="11" t="inlineStr">
        <is>
          <t>Data</t>
        </is>
      </c>
      <c r="E60" s="12" t="n">
        <v>46237</v>
      </c>
      <c r="F60" s="12" t="n">
        <v>46238</v>
      </c>
      <c r="G60" s="240" t="inlineStr">
        <is>
          <t>26-&gt;20 estimated; rest is a provider limit</t>
        </is>
      </c>
      <c r="H60" s="13" t="n"/>
      <c r="I60" s="8" t="n"/>
      <c r="J60" s="13" t="n"/>
      <c r="K60" s="13" t="n"/>
      <c r="L60" s="13" t="n"/>
      <c r="M60" s="13" t="n"/>
      <c r="N60" s="13" t="n"/>
      <c r="O60" s="13" t="n"/>
      <c r="P60" s="13" t="n"/>
      <c r="Q60" s="13" t="n"/>
      <c r="R60">
        <f>IF($A60&lt;&gt;"",$A60,R59)</f>
        <v/>
      </c>
    </row>
    <row r="61">
      <c r="A61" s="4" t="n"/>
      <c r="B61" s="4" t="inlineStr">
        <is>
          <t>Injury ingest per-sport isolation</t>
        </is>
      </c>
      <c r="C61" s="238" t="inlineStr">
        <is>
          <t>Done</t>
        </is>
      </c>
      <c r="D61" s="6" t="inlineStr">
        <is>
          <t>Backend</t>
        </is>
      </c>
      <c r="E61" s="7" t="n">
        <v>46237</v>
      </c>
      <c r="F61" s="7" t="n">
        <v>46238</v>
      </c>
      <c r="G61" s="239" t="inlineStr">
        <is>
          <t>NBA stub was aborting football every 30 min</t>
        </is>
      </c>
      <c r="H61" s="9" t="n"/>
      <c r="I61" s="8" t="n"/>
      <c r="J61" s="9" t="n"/>
      <c r="K61" s="9" t="n"/>
      <c r="L61" s="9" t="n"/>
      <c r="M61" s="9" t="n"/>
      <c r="N61" s="9" t="n"/>
      <c r="O61" s="9" t="n"/>
      <c r="P61" s="9" t="n"/>
      <c r="Q61" s="9" t="n"/>
      <c r="R61">
        <f>IF($A61&lt;&gt;"",$A61,R60)</f>
        <v/>
      </c>
    </row>
    <row r="62">
      <c r="A62" s="10" t="n"/>
      <c r="B62" s="10" t="inlineStr">
        <is>
          <t>Commit 4 Aug work</t>
        </is>
      </c>
      <c r="C62" s="238" t="inlineStr">
        <is>
          <t>Done</t>
        </is>
      </c>
      <c r="D62" s="11" t="inlineStr">
        <is>
          <t>Platform</t>
        </is>
      </c>
      <c r="E62" s="12" t="n">
        <v>46239</v>
      </c>
      <c r="F62" s="12" t="n">
        <v>46239</v>
      </c>
      <c r="G62" s="240" t="inlineStr">
        <is>
          <t>All committed and pushed</t>
        </is>
      </c>
      <c r="H62" s="13" t="n"/>
      <c r="I62" s="18" t="n"/>
      <c r="J62" s="13" t="n"/>
      <c r="K62" s="13" t="n"/>
      <c r="L62" s="13" t="n"/>
      <c r="M62" s="13" t="n"/>
      <c r="N62" s="13" t="n"/>
      <c r="O62" s="13" t="n"/>
      <c r="P62" s="13" t="n"/>
      <c r="Q62" s="13" t="n"/>
      <c r="R62">
        <f>IF($A62&lt;&gt;"",$A62,R61)</f>
        <v/>
      </c>
    </row>
    <row r="63">
      <c r="A63" s="4" t="n"/>
      <c r="B63" s="4" t="inlineStr">
        <is>
          <t>Review + merge feat/tennis-atp-integration</t>
        </is>
      </c>
      <c r="C63" s="238" t="inlineStr">
        <is>
          <t>Done</t>
        </is>
      </c>
      <c r="D63" s="6" t="inlineStr">
        <is>
          <t>Platform</t>
        </is>
      </c>
      <c r="E63" s="7" t="n">
        <v>46239</v>
      </c>
      <c r="F63" s="7" t="n">
        <v>46240</v>
      </c>
      <c r="G63" s="239" t="inlineStr">
        <is>
          <t>Merged; branch deleted after verifying content identical to main</t>
        </is>
      </c>
      <c r="H63" s="9" t="n"/>
      <c r="I63" s="18" t="n"/>
      <c r="J63" s="9" t="n"/>
      <c r="K63" s="9" t="n"/>
      <c r="L63" s="9" t="n"/>
      <c r="M63" s="9" t="n"/>
      <c r="N63" s="9" t="n"/>
      <c r="O63" s="9" t="n"/>
      <c r="P63" s="9" t="n"/>
      <c r="Q63" s="9" t="n"/>
      <c r="R63">
        <f>IF($A63&lt;&gt;"",$A63,R62)</f>
        <v/>
      </c>
    </row>
    <row r="64">
      <c r="A64" s="10" t="n"/>
      <c r="B64" s="10" t="inlineStr">
        <is>
          <t>Push main to origin</t>
        </is>
      </c>
      <c r="C64" s="238" t="inlineStr">
        <is>
          <t>Done</t>
        </is>
      </c>
      <c r="D64" s="11" t="inlineStr">
        <is>
          <t>Platform</t>
        </is>
      </c>
      <c r="E64" s="12" t="n">
        <v>46240</v>
      </c>
      <c r="F64" s="12" t="n">
        <v>46240</v>
      </c>
      <c r="G64" s="240" t="inlineStr">
        <is>
          <t>main and origin/main both at 7d0ffd5, 0 ahead / 0 behind</t>
        </is>
      </c>
      <c r="H64" s="13" t="n"/>
      <c r="I64" s="18" t="n"/>
      <c r="J64" s="13" t="n"/>
      <c r="K64" s="13" t="n"/>
      <c r="L64" s="13" t="n"/>
      <c r="M64" s="13" t="n"/>
      <c r="N64" s="13" t="n"/>
      <c r="O64" s="13" t="n"/>
      <c r="P64" s="13" t="n"/>
      <c r="Q64" s="13" t="n"/>
      <c r="R64">
        <f>IF($A64&lt;&gt;"",$A64,R63)</f>
        <v/>
      </c>
    </row>
    <row r="65">
      <c r="A65" s="4" t="n"/>
      <c r="B65" s="4" t="inlineStr">
        <is>
          <t>Tennis provider decision</t>
        </is>
      </c>
      <c r="C65" s="19" t="inlineStr">
        <is>
          <t>Milestone</t>
        </is>
      </c>
      <c r="D65" s="6" t="inlineStr">
        <is>
          <t>Product</t>
        </is>
      </c>
      <c r="E65" s="7" t="n">
        <v>46246</v>
      </c>
      <c r="F65" s="7" t="n">
        <v>46246</v>
      </c>
      <c r="G65" s="239" t="inlineStr">
        <is>
          <t>Only ~2% of matches carry a real kickoff time</t>
        </is>
      </c>
      <c r="H65" s="9" t="n"/>
      <c r="I65" s="9" t="n"/>
      <c r="J65" s="20" t="inlineStr">
        <is>
          <t>◆</t>
        </is>
      </c>
      <c r="K65" s="9" t="n"/>
      <c r="L65" s="9" t="n"/>
      <c r="M65" s="9" t="n"/>
      <c r="N65" s="9" t="n"/>
      <c r="O65" s="9" t="n"/>
      <c r="P65" s="9" t="n"/>
      <c r="Q65" s="9" t="n"/>
      <c r="R65">
        <f>IF($A65&lt;&gt;"",$A65,R64)</f>
        <v/>
      </c>
    </row>
    <row r="66">
      <c r="A66" s="14" t="inlineStr">
        <is>
          <t>E10 Deploy</t>
        </is>
      </c>
      <c r="B66" s="10" t="inlineStr">
        <is>
          <t>Portable artefact paths</t>
        </is>
      </c>
      <c r="C66" s="238" t="inlineStr">
        <is>
          <t>Done</t>
        </is>
      </c>
      <c r="D66" s="11" t="inlineStr">
        <is>
          <t>Platform</t>
        </is>
      </c>
      <c r="E66" s="12" t="n">
        <v>46245</v>
      </c>
      <c r="F66" s="12" t="n">
        <v>46245</v>
      </c>
      <c r="G66" s="240" t="inlineStr">
        <is>
          <t>resolve_artefact_path + scripts/stage_artefacts.py; verified in a real Linux container</t>
        </is>
      </c>
      <c r="H66" s="13" t="n"/>
      <c r="I66" s="13" t="n"/>
      <c r="J66" s="18" t="n"/>
      <c r="K66" s="13" t="n"/>
      <c r="L66" s="13" t="n"/>
      <c r="M66" s="13" t="n"/>
      <c r="N66" s="13" t="n"/>
      <c r="O66" s="13" t="n"/>
      <c r="P66" s="13" t="n"/>
      <c r="Q66" s="13" t="n"/>
      <c r="R66">
        <f>IF($A66&lt;&gt;"",$A66,R65)</f>
        <v/>
      </c>
    </row>
    <row r="67">
      <c r="A67" s="4" t="n"/>
      <c r="B67" s="4" t="inlineStr">
        <is>
          <t>infra/ + Render blueprint</t>
        </is>
      </c>
      <c r="C67" s="238" t="inlineStr">
        <is>
          <t>Done</t>
        </is>
      </c>
      <c r="D67" s="6" t="inlineStr">
        <is>
          <t>Platform</t>
        </is>
      </c>
      <c r="E67" s="7" t="n">
        <v>46245</v>
      </c>
      <c r="F67" s="7" t="n">
        <v>46248</v>
      </c>
      <c r="G67" s="239" t="inlineStr">
        <is>
          <t>infra/render.yaml: web, worker, beat off one image</t>
        </is>
      </c>
      <c r="H67" s="9" t="n"/>
      <c r="I67" s="9" t="n"/>
      <c r="J67" s="18" t="n"/>
      <c r="K67" s="9" t="n"/>
      <c r="L67" s="9" t="n"/>
      <c r="M67" s="9" t="n"/>
      <c r="N67" s="9" t="n"/>
      <c r="O67" s="9" t="n"/>
      <c r="P67" s="9" t="n"/>
      <c r="Q67" s="9" t="n"/>
      <c r="R67">
        <f>IF($A67&lt;&gt;"",$A67,R66)</f>
        <v/>
      </c>
    </row>
    <row r="68">
      <c r="A68" s="10" t="n"/>
      <c r="B68" s="10" t="inlineStr">
        <is>
          <t>Secrets management + env parity</t>
        </is>
      </c>
      <c r="C68" s="17" t="inlineStr">
        <is>
          <t>Planned</t>
        </is>
      </c>
      <c r="D68" s="11" t="inlineStr">
        <is>
          <t>Platform</t>
        </is>
      </c>
      <c r="E68" s="12" t="n">
        <v>46247</v>
      </c>
      <c r="F68" s="12" t="n">
        <v>46249</v>
      </c>
      <c r="G68" s="240" t="inlineStr">
        <is>
          <t>No .env in prod</t>
        </is>
      </c>
      <c r="H68" s="13" t="n"/>
      <c r="I68" s="13" t="n"/>
      <c r="J68" s="18" t="n"/>
      <c r="K68" s="13" t="n"/>
      <c r="L68" s="13" t="n"/>
      <c r="M68" s="13" t="n"/>
      <c r="N68" s="13" t="n"/>
      <c r="O68" s="13" t="n"/>
      <c r="P68" s="13" t="n"/>
      <c r="Q68" s="13" t="n"/>
      <c r="R68">
        <f>IF($A68&lt;&gt;"",$A68,R67)</f>
        <v/>
      </c>
    </row>
    <row r="69">
      <c r="A69" s="4" t="n"/>
      <c r="B69" s="4" t="inlineStr">
        <is>
          <t>Monitoring + alerting (Sentry)</t>
        </is>
      </c>
      <c r="C69" s="17" t="inlineStr">
        <is>
          <t>Planned</t>
        </is>
      </c>
      <c r="D69" s="6" t="inlineStr">
        <is>
          <t>Platform</t>
        </is>
      </c>
      <c r="E69" s="7" t="n">
        <v>46248</v>
      </c>
      <c r="F69" s="7" t="n">
        <v>46252</v>
      </c>
      <c r="G69" s="239" t="inlineStr">
        <is>
          <t>Silent failures found twice</t>
        </is>
      </c>
      <c r="H69" s="9" t="n"/>
      <c r="I69" s="9" t="n"/>
      <c r="J69" s="18" t="n"/>
      <c r="K69" s="18" t="n"/>
      <c r="L69" s="9" t="n"/>
      <c r="M69" s="9" t="n"/>
      <c r="N69" s="9" t="n"/>
      <c r="O69" s="9" t="n"/>
      <c r="P69" s="9" t="n"/>
      <c r="Q69" s="9" t="n"/>
      <c r="R69">
        <f>IF($A69&lt;&gt;"",$A69,R68)</f>
        <v/>
      </c>
    </row>
    <row r="70">
      <c r="A70" s="10" t="n"/>
      <c r="B70" s="10" t="inlineStr">
        <is>
          <t>Staging deploy + soak</t>
        </is>
      </c>
      <c r="C70" s="238" t="inlineStr">
        <is>
          <t>Done</t>
        </is>
      </c>
      <c r="D70" s="11" t="inlineStr">
        <is>
          <t>Platform</t>
        </is>
      </c>
      <c r="E70" s="12" t="n">
        <v>46251</v>
      </c>
      <c r="F70" s="12" t="n">
        <v>46255</v>
      </c>
      <c r="G70" s="240" t="inlineStr">
        <is>
          <t>SOAK PASSED from an empty DB - see the milestone row below</t>
        </is>
      </c>
      <c r="H70" s="13" t="n"/>
      <c r="I70" s="13" t="n"/>
      <c r="J70" s="13" t="n"/>
      <c r="K70" s="18" t="n"/>
      <c r="L70" s="13" t="n"/>
      <c r="M70" s="13" t="n"/>
      <c r="N70" s="13" t="n"/>
      <c r="O70" s="13" t="n"/>
      <c r="P70" s="13" t="n"/>
      <c r="Q70" s="13" t="n"/>
      <c r="R70">
        <f>IF($A70&lt;&gt;"",$A70,R69)</f>
        <v/>
      </c>
    </row>
    <row r="71">
      <c r="A71" s="4" t="n"/>
      <c r="B71" s="4" t="inlineStr">
        <is>
          <t>watchlist table + PICK-07</t>
        </is>
      </c>
      <c r="C71" s="238" t="inlineStr">
        <is>
          <t>Done</t>
        </is>
      </c>
      <c r="D71" s="6" t="inlineStr">
        <is>
          <t>Backend</t>
        </is>
      </c>
      <c r="E71" s="7" t="n">
        <v>46252</v>
      </c>
      <c r="F71" s="7" t="n">
        <v>46255</v>
      </c>
      <c r="G71" s="239" t="inlineStr">
        <is>
          <t>watchlist_items + uq_watchlist_user_fixture; T-60 reminder verified end-to-end, 10/10 checks</t>
        </is>
      </c>
      <c r="H71" s="9" t="n"/>
      <c r="I71" s="9" t="n"/>
      <c r="J71" s="9" t="n"/>
      <c r="K71" s="18" t="n"/>
      <c r="L71" s="9" t="n"/>
      <c r="M71" s="9" t="n"/>
      <c r="N71" s="9" t="n"/>
      <c r="O71" s="9" t="n"/>
      <c r="P71" s="9" t="n"/>
      <c r="Q71" s="9" t="n"/>
      <c r="R71">
        <f>IF($A71&lt;&gt;"",$A71,R70)</f>
        <v/>
      </c>
    </row>
    <row r="72">
      <c r="A72" s="10" t="n"/>
      <c r="B72" s="10" t="inlineStr">
        <is>
          <t>EAS project + first mobile build</t>
        </is>
      </c>
      <c r="C72" s="238" t="inlineStr">
        <is>
          <t>Done</t>
        </is>
      </c>
      <c r="D72" s="11" t="inlineStr">
        <is>
          <t>Mobile</t>
        </is>
      </c>
      <c r="E72" s="12" t="n">
        <v>46253</v>
      </c>
      <c r="F72" s="12" t="n">
        <v>46258</v>
      </c>
      <c r="G72" s="240" t="inlineStr">
        <is>
          <t>EAS project live; dev build installed on a real Android device</t>
        </is>
      </c>
      <c r="H72" s="13" t="n"/>
      <c r="I72" s="13" t="n"/>
      <c r="J72" s="13" t="n"/>
      <c r="K72" s="18" t="n"/>
      <c r="L72" s="18" t="n"/>
      <c r="M72" s="13" t="n"/>
      <c r="N72" s="13" t="n"/>
      <c r="O72" s="13" t="n"/>
      <c r="P72" s="13" t="n"/>
      <c r="Q72" s="13" t="n"/>
      <c r="R72">
        <f>IF($A72&lt;&gt;"",$A72,R71)</f>
        <v/>
      </c>
    </row>
    <row r="73" ht="21" customHeight="1" s="282">
      <c r="A73" s="4" t="n"/>
      <c r="B73" s="4" t="inlineStr">
        <is>
          <t>Push notifications end-to-end</t>
        </is>
      </c>
      <c r="C73" s="238" t="inlineStr">
        <is>
          <t>Done</t>
        </is>
      </c>
      <c r="D73" s="6" t="inlineStr">
        <is>
          <t>Mobile</t>
        </is>
      </c>
      <c r="E73" s="7" t="n">
        <v>46258</v>
      </c>
      <c r="F73" s="7" t="n">
        <v>46261</v>
      </c>
      <c r="G73" s="239" t="inlineStr">
        <is>
          <t>VERIFIED ON A REAL PHONE: token minted, PUT /user/push-token persisted, real push delivered</t>
        </is>
      </c>
      <c r="H73" s="9" t="n"/>
      <c r="I73" s="9" t="n"/>
      <c r="J73" s="9" t="n"/>
      <c r="K73" s="9" t="n"/>
      <c r="L73" s="18" t="n"/>
      <c r="M73" s="9" t="n"/>
      <c r="N73" s="9" t="n"/>
      <c r="O73" s="9" t="n"/>
      <c r="P73" s="9" t="n"/>
      <c r="Q73" s="9" t="n"/>
      <c r="R73">
        <f>IF($A73&lt;&gt;"",$A73,R72)</f>
        <v/>
      </c>
    </row>
    <row r="74">
      <c r="A74" s="10" t="n"/>
      <c r="B74" s="10" t="inlineStr">
        <is>
          <t>Mobile Jest + ESLint</t>
        </is>
      </c>
      <c r="C74" s="17" t="inlineStr">
        <is>
          <t>Planned</t>
        </is>
      </c>
      <c r="D74" s="11" t="inlineStr">
        <is>
          <t>Mobile</t>
        </is>
      </c>
      <c r="E74" s="12" t="n">
        <v>46259</v>
      </c>
      <c r="F74" s="12" t="n">
        <v>46261</v>
      </c>
      <c r="G74" s="240" t="inlineStr">
        <is>
          <t>tsc is the only check</t>
        </is>
      </c>
      <c r="H74" s="13" t="n"/>
      <c r="I74" s="13" t="n"/>
      <c r="J74" s="13" t="n"/>
      <c r="K74" s="13" t="n"/>
      <c r="L74" s="18" t="n"/>
      <c r="M74" s="13" t="n"/>
      <c r="N74" s="13" t="n"/>
      <c r="O74" s="13" t="n"/>
      <c r="P74" s="13" t="n"/>
      <c r="Q74" s="13" t="n"/>
      <c r="R74">
        <f>IF($A74&lt;&gt;"",$A74,R73)</f>
        <v/>
      </c>
    </row>
    <row r="75">
      <c r="A75" s="4" t="n"/>
      <c r="B75" s="4" t="inlineStr">
        <is>
          <t>Production deploy - FOOTBALL</t>
        </is>
      </c>
      <c r="C75" s="19" t="inlineStr">
        <is>
          <t>Milestone</t>
        </is>
      </c>
      <c r="D75" s="6" t="inlineStr">
        <is>
          <t>Platform</t>
        </is>
      </c>
      <c r="E75" s="7" t="n">
        <v>46269</v>
      </c>
      <c r="F75" s="7" t="n">
        <v>46269</v>
      </c>
      <c r="G75" s="239" t="inlineStr">
        <is>
          <t>Target</t>
        </is>
      </c>
      <c r="H75" s="9" t="n"/>
      <c r="I75" s="9" t="n"/>
      <c r="J75" s="9" t="n"/>
      <c r="K75" s="9" t="n"/>
      <c r="L75" s="9" t="n"/>
      <c r="M75" s="20" t="inlineStr">
        <is>
          <t>◆</t>
        </is>
      </c>
      <c r="N75" s="9" t="n"/>
      <c r="O75" s="9" t="n"/>
      <c r="P75" s="9" t="n"/>
      <c r="Q75" s="9" t="n"/>
      <c r="R75">
        <f>IF($A75&lt;&gt;"",$A75,R74)</f>
        <v/>
      </c>
    </row>
    <row r="76">
      <c r="A76" s="10" t="n"/>
      <c r="B76" s="10" t="inlineStr">
        <is>
          <t>Closed beta (football only)</t>
        </is>
      </c>
      <c r="C76" s="17" t="inlineStr">
        <is>
          <t>Planned</t>
        </is>
      </c>
      <c r="D76" s="11" t="inlineStr">
        <is>
          <t>Product</t>
        </is>
      </c>
      <c r="E76" s="12" t="n">
        <v>46272</v>
      </c>
      <c r="F76" s="12" t="n">
        <v>46283</v>
      </c>
      <c r="G76" s="240" t="inlineStr">
        <is>
          <t>Real users, real feedback</t>
        </is>
      </c>
      <c r="H76" s="13" t="n"/>
      <c r="I76" s="13" t="n"/>
      <c r="J76" s="13" t="n"/>
      <c r="K76" s="13" t="n"/>
      <c r="L76" s="13" t="n"/>
      <c r="M76" s="13" t="n"/>
      <c r="N76" s="18" t="n"/>
      <c r="O76" s="18" t="n"/>
      <c r="P76" s="13" t="n"/>
      <c r="Q76" s="13" t="n"/>
      <c r="R76">
        <f>IF($A76&lt;&gt;"",$A76,R75)</f>
        <v/>
      </c>
    </row>
    <row r="77">
      <c r="A77" s="4" t="n"/>
      <c r="B77" s="4" t="inlineStr">
        <is>
          <t>Public launch readiness review</t>
        </is>
      </c>
      <c r="C77" s="19" t="inlineStr">
        <is>
          <t>Milestone</t>
        </is>
      </c>
      <c r="D77" s="6" t="inlineStr">
        <is>
          <t>Product</t>
        </is>
      </c>
      <c r="E77" s="7" t="n">
        <v>46290</v>
      </c>
      <c r="F77" s="7" t="n">
        <v>46290</v>
      </c>
      <c r="G77" s="239" t="inlineStr">
        <is>
          <t>Gated on beta + edge</t>
        </is>
      </c>
      <c r="H77" s="9" t="n"/>
      <c r="I77" s="9" t="n"/>
      <c r="J77" s="9" t="n"/>
      <c r="K77" s="9" t="n"/>
      <c r="L77" s="9" t="n"/>
      <c r="M77" s="9" t="n"/>
      <c r="N77" s="9" t="n"/>
      <c r="O77" s="9" t="n"/>
      <c r="P77" s="20" t="inlineStr">
        <is>
          <t>◆</t>
        </is>
      </c>
      <c r="Q77" s="9" t="n"/>
      <c r="R77">
        <f>IF($A77&lt;&gt;"",$A77,R76)</f>
        <v/>
      </c>
    </row>
    <row r="78">
      <c r="A78" s="10" t="n"/>
      <c r="B78" s="10" t="inlineStr">
        <is>
          <t>Merge feat/base-rate-relative-picks -&gt; main</t>
        </is>
      </c>
      <c r="C78" s="238" t="inlineStr">
        <is>
          <t>Done</t>
        </is>
      </c>
      <c r="D78" s="11" t="inlineStr">
        <is>
          <t>Platform</t>
        </is>
      </c>
      <c r="E78" s="12" t="n">
        <v>46237</v>
      </c>
      <c r="F78" s="12" t="n">
        <v>46237</v>
      </c>
      <c r="G78" s="240" t="inlineStr">
        <is>
          <t>Fast-forward; main +25 unpushed</t>
        </is>
      </c>
      <c r="H78" s="13" t="n"/>
      <c r="I78" s="8" t="n"/>
      <c r="J78" s="13" t="n"/>
      <c r="K78" s="13" t="n"/>
      <c r="L78" s="13" t="n"/>
      <c r="M78" s="13" t="n"/>
      <c r="N78" s="13" t="n"/>
      <c r="O78" s="13" t="n"/>
      <c r="P78" s="13" t="n"/>
      <c r="Q78" s="13" t="n"/>
      <c r="R78">
        <f>IF($A78&lt;&gt;"",$A78,R77)</f>
        <v/>
      </c>
    </row>
    <row r="79">
      <c r="A79" s="4" t="n"/>
      <c r="B79" s="4" t="inlineStr">
        <is>
          <t>Local start-up runbook + delivery board</t>
        </is>
      </c>
      <c r="C79" s="238" t="inlineStr">
        <is>
          <t>Done</t>
        </is>
      </c>
      <c r="D79" s="6" t="inlineStr">
        <is>
          <t>Product</t>
        </is>
      </c>
      <c r="E79" s="7" t="n">
        <v>46237</v>
      </c>
      <c r="F79" s="7" t="n">
        <v>46238</v>
      </c>
      <c r="G79" s="239" t="inlineStr">
        <is>
          <t>SportIQ-Local-Setup.docx</t>
        </is>
      </c>
      <c r="H79" s="9" t="n"/>
      <c r="I79" s="8" t="n"/>
      <c r="J79" s="9" t="n"/>
      <c r="K79" s="9" t="n"/>
      <c r="L79" s="9" t="n"/>
      <c r="M79" s="9" t="n"/>
      <c r="N79" s="9" t="n"/>
      <c r="O79" s="9" t="n"/>
      <c r="P79" s="9" t="n"/>
      <c r="Q79" s="9" t="n"/>
      <c r="R79">
        <f>IF($A79&lt;&gt;"",$A79,R78)</f>
        <v/>
      </c>
    </row>
    <row r="80">
      <c r="A80" s="14" t="inlineStr">
        <is>
          <t>E11 Ops Resilience</t>
        </is>
      </c>
      <c r="B80" s="10" t="inlineStr">
        <is>
          <t>dev_worker.py — worker auto-restart</t>
        </is>
      </c>
      <c r="C80" s="238" t="inlineStr">
        <is>
          <t>Done</t>
        </is>
      </c>
      <c r="D80" s="11" t="inlineStr">
        <is>
          <t>Platform</t>
        </is>
      </c>
      <c r="E80" s="12" t="n">
        <v>46238</v>
      </c>
      <c r="F80" s="12" t="n">
        <v>46238</v>
      </c>
      <c r="G80" s="240" t="inlineStr">
        <is>
          <t>PREVENTION: Celery has no --reload</t>
        </is>
      </c>
      <c r="H80" s="13" t="n"/>
      <c r="I80" s="8" t="n"/>
      <c r="J80" s="13" t="n"/>
      <c r="K80" s="13" t="n"/>
      <c r="L80" s="13" t="n"/>
      <c r="M80" s="13" t="n"/>
      <c r="N80" s="13" t="n"/>
      <c r="O80" s="13" t="n"/>
      <c r="P80" s="13" t="n"/>
      <c r="Q80" s="13" t="n"/>
      <c r="R80">
        <f>IF($A80&lt;&gt;"",$A80,R79)</f>
        <v/>
      </c>
    </row>
    <row r="81">
      <c r="A81" s="4" t="n"/>
      <c r="B81" s="4" t="inlineStr">
        <is>
          <t>code_version + /health + check_stale.py</t>
        </is>
      </c>
      <c r="C81" s="238" t="inlineStr">
        <is>
          <t>Done</t>
        </is>
      </c>
      <c r="D81" s="6" t="inlineStr">
        <is>
          <t>Platform</t>
        </is>
      </c>
      <c r="E81" s="7" t="n">
        <v>46238</v>
      </c>
      <c r="F81" s="7" t="n">
        <v>46238</v>
      </c>
      <c r="G81" s="239" t="inlineStr">
        <is>
          <t>DETECTION: caught a day-old uvicorn</t>
        </is>
      </c>
      <c r="H81" s="9" t="n"/>
      <c r="I81" s="8" t="n"/>
      <c r="J81" s="9" t="n"/>
      <c r="K81" s="9" t="n"/>
      <c r="L81" s="9" t="n"/>
      <c r="M81" s="9" t="n"/>
      <c r="N81" s="9" t="n"/>
      <c r="O81" s="9" t="n"/>
      <c r="P81" s="9" t="n"/>
      <c r="Q81" s="9" t="n"/>
      <c r="R81">
        <f>IF($A81&lt;&gt;"",$A81,R80)</f>
        <v/>
      </c>
    </row>
    <row r="82">
      <c r="A82" s="10" t="n"/>
      <c r="B82" s="10" t="inlineStr">
        <is>
          <t>Verify deploy restarts worker AND beat</t>
        </is>
      </c>
      <c r="C82" s="17" t="inlineStr">
        <is>
          <t>Planned</t>
        </is>
      </c>
      <c r="D82" s="11" t="inlineStr">
        <is>
          <t>Platform</t>
        </is>
      </c>
      <c r="E82" s="12" t="n">
        <v>46246</v>
      </c>
      <c r="F82" s="12" t="n">
        <v>46247</v>
      </c>
      <c r="G82" s="240" t="inlineStr">
        <is>
          <t>Not just the web service — the prod version of today's bug</t>
        </is>
      </c>
      <c r="H82" s="13" t="n"/>
      <c r="I82" s="13" t="n"/>
      <c r="J82" s="18" t="n"/>
      <c r="K82" s="13" t="n"/>
      <c r="L82" s="13" t="n"/>
      <c r="M82" s="13" t="n"/>
      <c r="N82" s="13" t="n"/>
      <c r="O82" s="13" t="n"/>
      <c r="P82" s="13" t="n"/>
      <c r="Q82" s="13" t="n"/>
      <c r="R82">
        <f>IF($A82&lt;&gt;"",$A82,R81)</f>
        <v/>
      </c>
    </row>
    <row r="83">
      <c r="A83" s="4" t="n"/>
      <c r="B83" s="4" t="inlineStr">
        <is>
          <t>GIT_SHA baked into image at build</t>
        </is>
      </c>
      <c r="C83" s="17" t="inlineStr">
        <is>
          <t>Planned</t>
        </is>
      </c>
      <c r="D83" s="6" t="inlineStr">
        <is>
          <t>Platform</t>
        </is>
      </c>
      <c r="E83" s="7" t="n">
        <v>46247</v>
      </c>
      <c r="F83" s="7" t="n">
        <v>46247</v>
      </c>
      <c r="G83" s="239" t="inlineStr">
        <is>
          <t>No working tree in a container</t>
        </is>
      </c>
      <c r="H83" s="9" t="n"/>
      <c r="I83" s="9" t="n"/>
      <c r="J83" s="18" t="n"/>
      <c r="K83" s="9" t="n"/>
      <c r="L83" s="9" t="n"/>
      <c r="M83" s="9" t="n"/>
      <c r="N83" s="9" t="n"/>
      <c r="O83" s="9" t="n"/>
      <c r="P83" s="9" t="n"/>
      <c r="Q83" s="9" t="n"/>
      <c r="R83">
        <f>IF($A83&lt;&gt;"",$A83,R82)</f>
        <v/>
      </c>
    </row>
    <row r="84">
      <c r="A84" s="10" t="n"/>
      <c r="B84" s="10" t="inlineStr">
        <is>
          <t>Sentry + uptime alerting</t>
        </is>
      </c>
      <c r="C84" s="17" t="inlineStr">
        <is>
          <t>Planned</t>
        </is>
      </c>
      <c r="D84" s="11" t="inlineStr">
        <is>
          <t>Platform</t>
        </is>
      </c>
      <c r="E84" s="12" t="n">
        <v>46248</v>
      </c>
      <c r="F84" s="12" t="n">
        <v>46252</v>
      </c>
      <c r="G84" s="240" t="inlineStr">
        <is>
          <t>Injury worker failed unnoticed for weeks</t>
        </is>
      </c>
      <c r="H84" s="13" t="n"/>
      <c r="I84" s="13" t="n"/>
      <c r="J84" s="18" t="n"/>
      <c r="K84" s="18" t="n"/>
      <c r="L84" s="13" t="n"/>
      <c r="M84" s="13" t="n"/>
      <c r="N84" s="13" t="n"/>
      <c r="O84" s="13" t="n"/>
      <c r="P84" s="13" t="n"/>
      <c r="Q84" s="13" t="n"/>
      <c r="R84">
        <f>IF($A84&lt;&gt;"",$A84,R83)</f>
        <v/>
      </c>
    </row>
    <row r="85">
      <c r="A85" s="4" t="n"/>
      <c r="B85" s="4" t="inlineStr">
        <is>
          <t>check_stale in CI / post-deploy smoke</t>
        </is>
      </c>
      <c r="C85" s="17" t="inlineStr">
        <is>
          <t>Planned</t>
        </is>
      </c>
      <c r="D85" s="6" t="inlineStr">
        <is>
          <t>Platform</t>
        </is>
      </c>
      <c r="E85" s="7" t="n">
        <v>46253</v>
      </c>
      <c r="F85" s="7" t="n">
        <v>46254</v>
      </c>
      <c r="G85" s="239" t="inlineStr">
        <is>
          <t>Non-zero exit already gates it</t>
        </is>
      </c>
      <c r="H85" s="9" t="n"/>
      <c r="I85" s="9" t="n"/>
      <c r="J85" s="9" t="n"/>
      <c r="K85" s="18" t="n"/>
      <c r="L85" s="9" t="n"/>
      <c r="M85" s="9" t="n"/>
      <c r="N85" s="9" t="n"/>
      <c r="O85" s="9" t="n"/>
      <c r="P85" s="9" t="n"/>
      <c r="Q85" s="9" t="n"/>
      <c r="R85">
        <f>IF($A85&lt;&gt;"",$A85,R84)</f>
        <v/>
      </c>
    </row>
    <row r="86">
      <c r="A86" s="14" t="inlineStr">
        <is>
          <t>E8 Model Quality</t>
        </is>
      </c>
      <c r="B86" s="10" t="inlineStr">
        <is>
          <t>Review external optimisation consultancy</t>
        </is>
      </c>
      <c r="C86" s="238" t="inlineStr">
        <is>
          <t>Done</t>
        </is>
      </c>
      <c r="D86" s="11" t="inlineStr">
        <is>
          <t>ML</t>
        </is>
      </c>
      <c r="E86" s="12" t="n">
        <v>46238</v>
      </c>
      <c r="F86" s="12" t="n">
        <v>46238</v>
      </c>
      <c r="G86" s="240" t="inlineStr">
        <is>
          <t>Measured their DC claim; benchmark used 2k not 8.7k fixtures</t>
        </is>
      </c>
      <c r="H86" s="10" t="n"/>
      <c r="I86" s="37" t="n"/>
      <c r="J86" s="10" t="n"/>
      <c r="K86" s="10" t="n"/>
      <c r="L86" s="10" t="n"/>
      <c r="M86" s="10" t="n"/>
      <c r="N86" s="10" t="n"/>
      <c r="O86" s="10" t="n"/>
      <c r="P86" s="10" t="n"/>
      <c r="Q86" s="10" t="n"/>
      <c r="R86">
        <f>IF($A86&lt;&gt;"",$A86,R85)</f>
        <v/>
      </c>
    </row>
    <row r="87">
      <c r="A87" s="3" t="inlineStr">
        <is>
          <t>E8 Model Quality</t>
        </is>
      </c>
      <c r="B87" s="4" t="inlineStr">
        <is>
          <t>4-arm experiment: OOF / HFA on full data</t>
        </is>
      </c>
      <c r="C87" s="238" t="inlineStr">
        <is>
          <t>Done</t>
        </is>
      </c>
      <c r="D87" s="6" t="inlineStr">
        <is>
          <t>ML</t>
        </is>
      </c>
      <c r="E87" s="7" t="n">
        <v>46238</v>
      </c>
      <c r="F87" s="7" t="n">
        <v>46238</v>
      </c>
      <c r="G87" s="239" t="inlineStr">
        <is>
          <t>OOF +3.8pts, -20% RPS. HFA HURTS - rejected</t>
        </is>
      </c>
      <c r="H87" s="4" t="n"/>
      <c r="I87" s="37" t="n"/>
      <c r="J87" s="4" t="n"/>
      <c r="K87" s="4" t="n"/>
      <c r="L87" s="4" t="n"/>
      <c r="M87" s="4" t="n"/>
      <c r="N87" s="4" t="n"/>
      <c r="O87" s="4" t="n"/>
      <c r="P87" s="4" t="n"/>
      <c r="Q87" s="4" t="n"/>
      <c r="R87">
        <f>IF($A87&lt;&gt;"",$A87,R86)</f>
        <v/>
      </c>
    </row>
    <row r="88">
      <c r="A88" s="14" t="inlineStr">
        <is>
          <t>E8 Model Quality</t>
        </is>
      </c>
      <c r="B88" s="10" t="inlineStr">
        <is>
          <t>OOF stacking in train_football.py</t>
        </is>
      </c>
      <c r="C88" s="238" t="inlineStr">
        <is>
          <t>Done</t>
        </is>
      </c>
      <c r="D88" s="11" t="inlineStr">
        <is>
          <t>ML</t>
        </is>
      </c>
      <c r="E88" s="12" t="n">
        <v>46238</v>
      </c>
      <c r="F88" s="12" t="n">
        <v>46238</v>
      </c>
      <c r="G88" s="240" t="inlineStr">
        <is>
          <t>Fixes the documented Layer 2 in-sample optimism</t>
        </is>
      </c>
      <c r="H88" s="10" t="n"/>
      <c r="I88" s="37" t="n"/>
      <c r="J88" s="10" t="n"/>
      <c r="K88" s="10" t="n"/>
      <c r="L88" s="10" t="n"/>
      <c r="M88" s="10" t="n"/>
      <c r="N88" s="10" t="n"/>
      <c r="O88" s="10" t="n"/>
      <c r="P88" s="10" t="n"/>
      <c r="Q88" s="10" t="n"/>
      <c r="R88">
        <f>IF($A88&lt;&gt;"",$A88,R87)</f>
        <v/>
      </c>
    </row>
    <row r="89">
      <c r="A89" s="3" t="inlineStr">
        <is>
          <t>E8 Model Quality</t>
        </is>
      </c>
      <c r="B89" s="4" t="inlineStr">
        <is>
          <t>Prune 7 features (25 -&gt; 18)</t>
        </is>
      </c>
      <c r="C89" s="238" t="inlineStr">
        <is>
          <t>Done</t>
        </is>
      </c>
      <c r="D89" s="6" t="inlineStr">
        <is>
          <t>ML</t>
        </is>
      </c>
      <c r="E89" s="7" t="n">
        <v>46238</v>
      </c>
      <c r="F89" s="7" t="n">
        <v>46238</v>
      </c>
      <c r="G89" s="239" t="inlineStr">
        <is>
          <t>moneyline 0.7% populated / importance 0.000; key players x4</t>
        </is>
      </c>
      <c r="H89" s="4" t="n"/>
      <c r="I89" s="37" t="n"/>
      <c r="J89" s="4" t="n"/>
      <c r="K89" s="4" t="n"/>
      <c r="L89" s="4" t="n"/>
      <c r="M89" s="4" t="n"/>
      <c r="N89" s="4" t="n"/>
      <c r="O89" s="4" t="n"/>
      <c r="P89" s="4" t="n"/>
      <c r="Q89" s="4" t="n"/>
      <c r="R89">
        <f>IF($A89&lt;&gt;"",$A89,R88)</f>
        <v/>
      </c>
    </row>
    <row r="90">
      <c r="A90" s="14" t="inlineStr">
        <is>
          <t>E8 Model Quality</t>
        </is>
      </c>
      <c r="B90" s="10" t="inlineStr">
        <is>
          <t>RETRAIN: best model to date</t>
        </is>
      </c>
      <c r="C90" s="238" t="inlineStr">
        <is>
          <t>Done</t>
        </is>
      </c>
      <c r="D90" s="11" t="inlineStr">
        <is>
          <t>ML</t>
        </is>
      </c>
      <c r="E90" s="12" t="n">
        <v>46238</v>
      </c>
      <c r="F90" s="12" t="n">
        <v>46238</v>
      </c>
      <c r="G90" s="240" t="inlineStr">
        <is>
          <t>acc 0.4837, RPS 0.2151, all 4 Brier scores improved</t>
        </is>
      </c>
      <c r="H90" s="10" t="n"/>
      <c r="I90" s="37" t="n"/>
      <c r="J90" s="10" t="n"/>
      <c r="K90" s="10" t="n"/>
      <c r="L90" s="10" t="n"/>
      <c r="M90" s="10" t="n"/>
      <c r="N90" s="10" t="n"/>
      <c r="O90" s="10" t="n"/>
      <c r="P90" s="10" t="n"/>
      <c r="Q90" s="10" t="n"/>
      <c r="R90">
        <f>IF($A90&lt;&gt;"",$A90,R89)</f>
        <v/>
      </c>
    </row>
    <row r="91">
      <c r="A91" s="3" t="inlineStr">
        <is>
          <t>E8 Model Quality</t>
        </is>
      </c>
      <c r="B91" s="4" t="inlineStr">
        <is>
          <t>Over/Under clears significance</t>
        </is>
      </c>
      <c r="C91" s="238" t="inlineStr">
        <is>
          <t>Done</t>
        </is>
      </c>
      <c r="D91" s="6" t="inlineStr">
        <is>
          <t>ML</t>
        </is>
      </c>
      <c r="E91" s="7" t="n">
        <v>46238</v>
      </c>
      <c r="F91" s="7" t="n">
        <v>46238</v>
      </c>
      <c r="G91" s="239" t="inlineStr">
        <is>
          <t>z=+2.96 p=0.0031 (was +1.86 p=0.062) - GATE IS GO</t>
        </is>
      </c>
      <c r="H91" s="4" t="n"/>
      <c r="I91" s="37" t="n"/>
      <c r="J91" s="4" t="n"/>
      <c r="K91" s="4" t="n"/>
      <c r="L91" s="4" t="n"/>
      <c r="M91" s="4" t="n"/>
      <c r="N91" s="4" t="n"/>
      <c r="O91" s="4" t="n"/>
      <c r="P91" s="4" t="n"/>
      <c r="Q91" s="4" t="n"/>
      <c r="R91">
        <f>IF($A91&lt;&gt;"",$A91,R90)</f>
        <v/>
      </c>
    </row>
    <row r="92">
      <c r="A92" s="14" t="inlineStr">
        <is>
          <t>E11 Ops Resilience</t>
        </is>
      </c>
      <c r="B92" s="10" t="inlineStr">
        <is>
          <t>Root-cause DB connection failures</t>
        </is>
      </c>
      <c r="C92" s="238" t="inlineStr">
        <is>
          <t>Done</t>
        </is>
      </c>
      <c r="D92" s="11" t="inlineStr">
        <is>
          <t>Platform</t>
        </is>
      </c>
      <c r="E92" s="12" t="n">
        <v>46238</v>
      </c>
      <c r="F92" s="12" t="n">
        <v>46238</v>
      </c>
      <c r="G92" s="240" t="inlineStr">
        <is>
          <t>localhost -&gt; IPv6 ::1; Docker binds IPv4 only. Pinned 127.0.0.1</t>
        </is>
      </c>
      <c r="H92" s="10" t="n"/>
      <c r="I92" s="37" t="n"/>
      <c r="J92" s="10" t="n"/>
      <c r="K92" s="10" t="n"/>
      <c r="L92" s="10" t="n"/>
      <c r="M92" s="10" t="n"/>
      <c r="N92" s="10" t="n"/>
      <c r="O92" s="10" t="n"/>
      <c r="P92" s="10" t="n"/>
      <c r="Q92" s="10" t="n"/>
      <c r="R92">
        <f>IF($A92&lt;&gt;"",$A92,R91)</f>
        <v/>
      </c>
    </row>
    <row r="93">
      <c r="A93" s="3" t="inlineStr">
        <is>
          <t>E9 Data Ops</t>
        </is>
      </c>
      <c r="B93" s="4" t="inlineStr">
        <is>
          <t>Remove now-unused key-player ingest</t>
        </is>
      </c>
      <c r="C93" s="17" t="inlineStr">
        <is>
          <t>Planned</t>
        </is>
      </c>
      <c r="D93" s="6" t="inlineStr">
        <is>
          <t>Backend</t>
        </is>
      </c>
      <c r="E93" s="7" t="n">
        <v>46239</v>
      </c>
      <c r="F93" s="7" t="n">
        <v>46239</v>
      </c>
      <c r="G93" s="239" t="inlineStr">
        <is>
          <t>Stage 1 + injury calls still run for features nothing consumes</t>
        </is>
      </c>
      <c r="H93" s="4" t="n"/>
      <c r="I93" s="39" t="n"/>
      <c r="J93" s="4" t="n"/>
      <c r="K93" s="4" t="n"/>
      <c r="L93" s="4" t="n"/>
      <c r="M93" s="4" t="n"/>
      <c r="N93" s="4" t="n"/>
      <c r="O93" s="4" t="n"/>
      <c r="P93" s="4" t="n"/>
      <c r="Q93" s="4" t="n"/>
      <c r="R93">
        <f>IF($A93&lt;&gt;"",$A93,R92)</f>
        <v/>
      </c>
    </row>
    <row r="94">
      <c r="A94" s="14" t="inlineStr">
        <is>
          <t>E9 Data Ops</t>
        </is>
      </c>
      <c r="B94" s="10" t="inlineStr">
        <is>
          <t>Pin 127.0.0.1 in compose/.env.example/runbook</t>
        </is>
      </c>
      <c r="C94" s="238" t="inlineStr">
        <is>
          <t>Done</t>
        </is>
      </c>
      <c r="D94" s="11" t="inlineStr">
        <is>
          <t>Platform</t>
        </is>
      </c>
      <c r="E94" s="12" t="n">
        <v>46239</v>
      </c>
      <c r="F94" s="12" t="n">
        <v>46239</v>
      </c>
      <c r="G94" s="240" t="inlineStr">
        <is>
          <t>compose + .env.example + runbook troubleshooting row</t>
        </is>
      </c>
      <c r="H94" s="10" t="n"/>
      <c r="I94" s="37" t="n"/>
      <c r="J94" s="10" t="n"/>
      <c r="K94" s="10" t="n"/>
      <c r="L94" s="10" t="n"/>
      <c r="M94" s="10" t="n"/>
      <c r="N94" s="10" t="n"/>
      <c r="O94" s="10" t="n"/>
      <c r="P94" s="10" t="n"/>
      <c r="Q94" s="10" t="n"/>
      <c r="R94">
        <f>IF($A94&lt;&gt;"",$A94,R93)</f>
        <v/>
      </c>
    </row>
    <row r="95">
      <c r="A95" s="3" t="inlineStr">
        <is>
          <t>E8 Model Quality</t>
        </is>
      </c>
      <c r="B95" s="4" t="inlineStr">
        <is>
          <t>Collect historical closing odds</t>
        </is>
      </c>
      <c r="C95" s="17" t="inlineStr">
        <is>
          <t>Planned</t>
        </is>
      </c>
      <c r="D95" s="6" t="inlineStr">
        <is>
          <t>Data</t>
        </is>
      </c>
      <c r="E95" s="7" t="n">
        <v>46240</v>
      </c>
      <c r="F95" s="7" t="n">
        <v>46240</v>
      </c>
      <c r="G95" s="239" t="inlineStr">
        <is>
          <t>Strongest known predictor, currently 59 of 8,718 rows</t>
        </is>
      </c>
      <c r="H95" s="4" t="n"/>
      <c r="I95" s="39" t="n"/>
      <c r="J95" s="4" t="n"/>
      <c r="K95" s="4" t="n"/>
      <c r="L95" s="4" t="n"/>
      <c r="M95" s="4" t="n"/>
      <c r="N95" s="4" t="n"/>
      <c r="O95" s="4" t="n"/>
      <c r="P95" s="4" t="n"/>
      <c r="Q95" s="4" t="n"/>
      <c r="R95">
        <f>IF($A95&lt;&gt;"",$A95,R94)</f>
        <v/>
      </c>
    </row>
    <row r="96">
      <c r="A96" s="14" t="inlineStr">
        <is>
          <t>E8 Model Quality</t>
        </is>
      </c>
      <c r="B96" s="10" t="inlineStr">
        <is>
          <t>Probe TheStatsAPI for 4 European leagues</t>
        </is>
      </c>
      <c r="C96" s="238" t="inlineStr">
        <is>
          <t>Done</t>
        </is>
      </c>
      <c r="D96" s="11" t="inlineStr">
        <is>
          <t>ML</t>
        </is>
      </c>
      <c r="E96" s="12" t="n">
        <v>46238</v>
      </c>
      <c r="F96" s="12" t="n">
        <v>46238</v>
      </c>
      <c r="G96" s="240" t="inlineStr">
        <is>
          <t>Caught 2 lower-division traps: '2. Bundesliga', 'LaLiga 2'</t>
        </is>
      </c>
      <c r="H96" s="10" t="n"/>
      <c r="I96" s="37" t="n"/>
      <c r="J96" s="10" t="n"/>
      <c r="K96" s="10" t="n"/>
      <c r="L96" s="10" t="n"/>
      <c r="M96" s="10" t="n"/>
      <c r="N96" s="10" t="n"/>
      <c r="O96" s="10" t="n"/>
      <c r="P96" s="10" t="n"/>
      <c r="Q96" s="10" t="n"/>
      <c r="R96">
        <f>IF($A96&lt;&gt;"",$A96,R95)</f>
        <v/>
      </c>
    </row>
    <row r="97">
      <c r="A97" s="3" t="inlineStr">
        <is>
          <t>E8 Model Quality</t>
        </is>
      </c>
      <c r="B97" s="4" t="inlineStr">
        <is>
          <t>Game logs: Bundesliga/Serie A/La Liga/Ligue 1</t>
        </is>
      </c>
      <c r="C97" s="238" t="inlineStr">
        <is>
          <t>Done</t>
        </is>
      </c>
      <c r="D97" s="6" t="inlineStr">
        <is>
          <t>Data</t>
        </is>
      </c>
      <c r="E97" s="7" t="n">
        <v>46238</v>
      </c>
      <c r="F97" s="7" t="n">
        <v>46238</v>
      </c>
      <c r="G97" s="239" t="inlineStr">
        <is>
          <t>7,028 fixtures. Pool 8,718 -&gt; 15,746 (+81%)</t>
        </is>
      </c>
      <c r="H97" s="4" t="n"/>
      <c r="I97" s="37" t="n"/>
      <c r="J97" s="4" t="n"/>
      <c r="K97" s="4" t="n"/>
      <c r="L97" s="4" t="n"/>
      <c r="M97" s="4" t="n"/>
      <c r="N97" s="4" t="n"/>
      <c r="O97" s="4" t="n"/>
      <c r="P97" s="4" t="n"/>
      <c r="Q97" s="4" t="n"/>
      <c r="R97">
        <f>IF($A97&lt;&gt;"",$A97,R96)</f>
        <v/>
      </c>
    </row>
    <row r="98">
      <c r="A98" s="14" t="inlineStr">
        <is>
          <t>E8 Model Quality</t>
        </is>
      </c>
      <c r="B98" s="10" t="inlineStr">
        <is>
          <t>Fix xG resolve team-name tiebreak</t>
        </is>
      </c>
      <c r="C98" s="238" t="inlineStr">
        <is>
          <t>Done</t>
        </is>
      </c>
      <c r="D98" s="11" t="inlineStr">
        <is>
          <t>ML</t>
        </is>
      </c>
      <c r="E98" s="12" t="n">
        <v>46238</v>
      </c>
      <c r="F98" s="12" t="n">
        <v>46238</v>
      </c>
      <c r="G98" s="240" t="inlineStr">
        <is>
          <t>DB empty pre-season; 15-23% of fixtures were being dropped</t>
        </is>
      </c>
      <c r="H98" s="10" t="n"/>
      <c r="I98" s="37" t="n"/>
      <c r="J98" s="10" t="n"/>
      <c r="K98" s="10" t="n"/>
      <c r="L98" s="10" t="n"/>
      <c r="M98" s="10" t="n"/>
      <c r="N98" s="10" t="n"/>
      <c r="O98" s="10" t="n"/>
      <c r="P98" s="10" t="n"/>
      <c r="Q98" s="10" t="n"/>
      <c r="R98">
        <f>IF($A98&lt;&gt;"",$A98,R97)</f>
        <v/>
      </c>
    </row>
    <row r="99">
      <c r="A99" s="3" t="inlineStr">
        <is>
          <t>E8 Model Quality</t>
        </is>
      </c>
      <c r="B99" s="4" t="inlineStr">
        <is>
          <t>xG collection (4 European leagues)</t>
        </is>
      </c>
      <c r="C99" s="238" t="inlineStr">
        <is>
          <t>Done</t>
        </is>
      </c>
      <c r="D99" s="6" t="inlineStr">
        <is>
          <t>Data</t>
        </is>
      </c>
      <c r="E99" s="7" t="n">
        <v>46238</v>
      </c>
      <c r="F99" s="7" t="n">
        <v>46239</v>
      </c>
      <c r="G99" s="239" t="inlineStr">
        <is>
          <t>Complete: all 9 leagues carry xG (21,396 rows)</t>
        </is>
      </c>
      <c r="H99" s="4" t="n"/>
      <c r="I99" s="38" t="n"/>
      <c r="J99" s="4" t="n"/>
      <c r="K99" s="4" t="n"/>
      <c r="L99" s="4" t="n"/>
      <c r="M99" s="4" t="n"/>
      <c r="N99" s="4" t="n"/>
      <c r="O99" s="4" t="n"/>
      <c r="P99" s="4" t="n"/>
      <c r="Q99" s="4" t="n"/>
      <c r="R99">
        <f>IF($A99&lt;&gt;"",$A99,R98)</f>
        <v/>
      </c>
    </row>
    <row r="100">
      <c r="A100" s="14" t="inlineStr">
        <is>
          <t>E8 Model Quality</t>
        </is>
      </c>
      <c r="B100" s="10" t="inlineStr">
        <is>
          <t>Retrain pooled across 9 leagues</t>
        </is>
      </c>
      <c r="C100" s="238" t="inlineStr">
        <is>
          <t>Done</t>
        </is>
      </c>
      <c r="D100" s="11" t="inlineStr">
        <is>
          <t>ML</t>
        </is>
      </c>
      <c r="E100" s="12" t="n">
        <v>46239</v>
      </c>
      <c r="F100" s="12" t="n">
        <v>46239</v>
      </c>
      <c r="G100" s="240" t="inlineStr">
        <is>
          <t>Retrained - see the RETRAIN milestone row. O/U trend strengthened to z=+3.35</t>
        </is>
      </c>
      <c r="H100" s="10" t="n"/>
      <c r="I100" s="39" t="n"/>
      <c r="J100" s="10" t="n"/>
      <c r="K100" s="10" t="n"/>
      <c r="L100" s="10" t="n"/>
      <c r="M100" s="10" t="n"/>
      <c r="N100" s="10" t="n"/>
      <c r="O100" s="10" t="n"/>
      <c r="P100" s="10" t="n"/>
      <c r="Q100" s="10" t="n"/>
      <c r="R100">
        <f>IF($A100&lt;&gt;"",$A100,R99)</f>
        <v/>
      </c>
    </row>
    <row r="101">
      <c r="A101" s="3" t="inlineStr">
        <is>
          <t>E9 Data Ops</t>
        </is>
      </c>
      <c r="B101" s="4" t="inlineStr">
        <is>
          <t>Corners for the 4 new leagues (DEFERRED)</t>
        </is>
      </c>
      <c r="C101" s="17" t="inlineStr">
        <is>
          <t>Planned</t>
        </is>
      </c>
      <c r="D101" s="6" t="inlineStr">
        <is>
          <t>Data</t>
        </is>
      </c>
      <c r="E101" s="7" t="n">
        <v>46246</v>
      </c>
      <c r="F101" s="7" t="n">
        <v>46248</v>
      </c>
      <c r="G101" s="239" t="inlineStr">
        <is>
          <t>~7k calls = 94% of daily budget; measured no gain. Deferred by choice</t>
        </is>
      </c>
      <c r="H101" s="4" t="n"/>
      <c r="I101" s="4" t="n"/>
      <c r="J101" s="39" t="n"/>
      <c r="K101" s="4" t="n"/>
      <c r="L101" s="4" t="n"/>
      <c r="M101" s="4" t="n"/>
      <c r="N101" s="4" t="n"/>
      <c r="O101" s="4" t="n"/>
      <c r="P101" s="4" t="n"/>
      <c r="Q101" s="4" t="n"/>
      <c r="R101">
        <f>IF($A101&lt;&gt;"",$A101,R100)</f>
        <v/>
      </c>
    </row>
    <row r="102">
      <c r="A102" s="14" t="inlineStr">
        <is>
          <t>E9 Data Ops</t>
        </is>
      </c>
      <c r="B102" s="10" t="inlineStr">
        <is>
          <t>Merge feat/european-leagues -&gt; main</t>
        </is>
      </c>
      <c r="C102" s="238" t="inlineStr">
        <is>
          <t>Done</t>
        </is>
      </c>
      <c r="D102" s="11" t="inlineStr">
        <is>
          <t>Platform</t>
        </is>
      </c>
      <c r="E102" s="12" t="n">
        <v>46239</v>
      </c>
      <c r="F102" s="12" t="n">
        <v>46239</v>
      </c>
      <c r="G102" s="240" t="inlineStr">
        <is>
          <t>Merged via PR #1 (rebase); CI green on both jobs</t>
        </is>
      </c>
      <c r="H102" s="10" t="n"/>
      <c r="I102" s="39" t="n"/>
      <c r="J102" s="10" t="n"/>
      <c r="K102" s="10" t="n"/>
      <c r="L102" s="10" t="n"/>
      <c r="M102" s="10" t="n"/>
      <c r="N102" s="10" t="n"/>
      <c r="O102" s="10" t="n"/>
      <c r="P102" s="10" t="n"/>
      <c r="Q102" s="10" t="n"/>
      <c r="R102">
        <f>IF($A102&lt;&gt;"",$A102,R101)</f>
        <v/>
      </c>
    </row>
    <row r="103">
      <c r="A103" s="3" t="inlineStr">
        <is>
          <t>E11 Ops Resilience</t>
        </is>
      </c>
      <c r="B103" s="4" t="inlineStr">
        <is>
          <t>Root-cause stale uvicorn serving 500s</t>
        </is>
      </c>
      <c r="C103" s="238" t="inlineStr">
        <is>
          <t>Done</t>
        </is>
      </c>
      <c r="D103" s="6" t="inlineStr">
        <is>
          <t>Platform</t>
        </is>
      </c>
      <c r="E103" s="7" t="n">
        <v>46238</v>
      </c>
      <c r="F103" s="7" t="n">
        <v>46238</v>
      </c>
      <c r="G103" s="239" t="inlineStr">
        <is>
          <t>7h40m stale, predated the feature prune. 200 in-process vs 500 via server</t>
        </is>
      </c>
      <c r="H103" s="4" t="n"/>
      <c r="I103" s="37" t="n"/>
      <c r="J103" s="4" t="n"/>
      <c r="K103" s="4" t="n"/>
      <c r="L103" s="4" t="n"/>
      <c r="M103" s="4" t="n"/>
      <c r="N103" s="4" t="n"/>
      <c r="O103" s="4" t="n"/>
      <c r="P103" s="4" t="n"/>
      <c r="Q103" s="4" t="n"/>
      <c r="R103">
        <f>IF($A103&lt;&gt;"",$A103,R102)</f>
        <v/>
      </c>
    </row>
    <row r="104">
      <c r="A104" s="14" t="inlineStr">
        <is>
          <t>E5 ML Tennis</t>
        </is>
      </c>
      <c r="B104" s="10" t="inlineStr">
        <is>
          <t>Fix: ingest only the current tournament edition</t>
        </is>
      </c>
      <c r="C104" s="238" t="inlineStr">
        <is>
          <t>Done</t>
        </is>
      </c>
      <c r="D104" s="11" t="inlineStr">
        <is>
          <t>Backend</t>
        </is>
      </c>
      <c r="E104" s="12" t="n">
        <v>46238</v>
      </c>
      <c r="F104" s="12" t="n">
        <v>46238</v>
      </c>
      <c r="G104" s="240" t="inlineStr">
        <is>
          <t>A poll wrote 2,616 fixtures spanning 2007-2026; 119 were current</t>
        </is>
      </c>
      <c r="H104" s="10" t="n"/>
      <c r="I104" s="37" t="n"/>
      <c r="J104" s="10" t="n"/>
      <c r="K104" s="10" t="n"/>
      <c r="L104" s="10" t="n"/>
      <c r="M104" s="10" t="n"/>
      <c r="N104" s="10" t="n"/>
      <c r="O104" s="10" t="n"/>
      <c r="P104" s="10" t="n"/>
      <c r="Q104" s="10" t="n"/>
      <c r="R104">
        <f>IF($A104&lt;&gt;"",$A104,R103)</f>
        <v/>
      </c>
    </row>
    <row r="105">
      <c r="A105" s="3" t="inlineStr">
        <is>
          <t>E5 ML Tennis</t>
        </is>
      </c>
      <c r="B105" s="4" t="inlineStr">
        <is>
          <t>Fix: let a revised kickoff correct a stale date</t>
        </is>
      </c>
      <c r="C105" s="238" t="inlineStr">
        <is>
          <t>Done</t>
        </is>
      </c>
      <c r="D105" s="6" t="inlineStr">
        <is>
          <t>Backend</t>
        </is>
      </c>
      <c r="E105" s="7" t="n">
        <v>46238</v>
      </c>
      <c r="F105" s="7" t="n">
        <v>46238</v>
      </c>
      <c r="G105" s="239" t="inlineStr">
        <is>
          <t>Matches moved to today sat under yesterday, 3 already live</t>
        </is>
      </c>
      <c r="H105" s="4" t="n"/>
      <c r="I105" s="37" t="n"/>
      <c r="J105" s="4" t="n"/>
      <c r="K105" s="4" t="n"/>
      <c r="L105" s="4" t="n"/>
      <c r="M105" s="4" t="n"/>
      <c r="N105" s="4" t="n"/>
      <c r="O105" s="4" t="n"/>
      <c r="P105" s="4" t="n"/>
      <c r="Q105" s="4" t="n"/>
      <c r="R105">
        <f>IF($A105&lt;&gt;"",$A105,R104)</f>
        <v/>
      </c>
    </row>
    <row r="106">
      <c r="A106" s="14" t="inlineStr">
        <is>
          <t>E9 Data Ops</t>
        </is>
      </c>
      <c r="B106" s="10" t="inlineStr">
        <is>
          <t>Purge 3,443 pre-2026 tennis fixtures</t>
        </is>
      </c>
      <c r="C106" s="238" t="inlineStr">
        <is>
          <t>Done</t>
        </is>
      </c>
      <c r="D106" s="11" t="inlineStr">
        <is>
          <t>Data</t>
        </is>
      </c>
      <c r="E106" s="12" t="n">
        <v>46238</v>
      </c>
      <c r="F106" s="12" t="n">
        <v>46238</v>
      </c>
      <c r="G106" s="240" t="inlineStr">
        <is>
          <t>Not a coherent record: 2007 had 134 matches vs a real season of thousands</t>
        </is>
      </c>
      <c r="H106" s="10" t="n"/>
      <c r="I106" s="37" t="n"/>
      <c r="J106" s="10" t="n"/>
      <c r="K106" s="10" t="n"/>
      <c r="L106" s="10" t="n"/>
      <c r="M106" s="10" t="n"/>
      <c r="N106" s="10" t="n"/>
      <c r="O106" s="10" t="n"/>
      <c r="P106" s="10" t="n"/>
      <c r="Q106" s="10" t="n"/>
      <c r="R106">
        <f>IF($A106&lt;&gt;"",$A106,R105)</f>
        <v/>
      </c>
    </row>
    <row r="107">
      <c r="A107" s="3" t="inlineStr">
        <is>
          <t>E11 Ops Resilience</t>
        </is>
      </c>
      <c r="B107" s="4" t="inlineStr">
        <is>
          <t>Fix Celery: 4 duplicate workers, no beat at all</t>
        </is>
      </c>
      <c r="C107" s="238" t="inlineStr">
        <is>
          <t>Done</t>
        </is>
      </c>
      <c r="D107" s="6" t="inlineStr">
        <is>
          <t>Platform</t>
        </is>
      </c>
      <c r="E107" s="7" t="n">
        <v>46238</v>
      </c>
      <c r="F107" s="7" t="n">
        <v>46238</v>
      </c>
      <c r="G107" s="239" t="inlineStr">
        <is>
          <t>Nothing had been running on the 5-min schedule. Now 1 worker + 1 beat</t>
        </is>
      </c>
      <c r="H107" s="4" t="n"/>
      <c r="I107" s="37" t="n"/>
      <c r="J107" s="4" t="n"/>
      <c r="K107" s="4" t="n"/>
      <c r="L107" s="4" t="n"/>
      <c r="M107" s="4" t="n"/>
      <c r="N107" s="4" t="n"/>
      <c r="O107" s="4" t="n"/>
      <c r="P107" s="4" t="n"/>
      <c r="Q107" s="4" t="n"/>
      <c r="R107">
        <f>IF($A107&lt;&gt;"",$A107,R106)</f>
        <v/>
      </c>
    </row>
    <row r="108">
      <c r="A108" s="44" t="inlineStr">
        <is>
          <t>E10 Deploy</t>
        </is>
      </c>
      <c r="B108" s="45" t="inlineStr">
        <is>
          <t>Portable artefact paths (MODELS_DIR + migration)</t>
        </is>
      </c>
      <c r="C108" s="241" t="inlineStr">
        <is>
          <t>Done</t>
        </is>
      </c>
      <c r="D108" s="46" t="inlineStr">
        <is>
          <t>Platform</t>
        </is>
      </c>
      <c r="E108" s="47" t="n">
        <v>46238</v>
      </c>
      <c r="F108" s="47" t="n">
        <v>46238</v>
      </c>
      <c r="G108" s="242" t="inlineStr">
        <is>
          <t>All 3 models stored an absolute Windows path; none could load in a container</t>
        </is>
      </c>
      <c r="H108" s="45" t="n"/>
      <c r="I108" s="48" t="n"/>
      <c r="J108" s="45" t="n"/>
      <c r="K108" s="45" t="n"/>
      <c r="L108" s="45" t="n"/>
      <c r="M108" s="45" t="n"/>
      <c r="N108" s="45" t="n"/>
      <c r="O108" s="45" t="n"/>
      <c r="P108" s="45" t="n"/>
      <c r="Q108" s="45" t="n"/>
      <c r="R108">
        <f>IF($A108&lt;&gt;"",$A108,R107)</f>
        <v/>
      </c>
    </row>
    <row r="109">
      <c r="A109" s="49" t="inlineStr">
        <is>
          <t>E10 Deploy</t>
        </is>
      </c>
      <c r="B109" s="50" t="inlineStr">
        <is>
          <t>Stage active artefacts into the image</t>
        </is>
      </c>
      <c r="C109" s="241" t="inlineStr">
        <is>
          <t>Done</t>
        </is>
      </c>
      <c r="D109" s="51" t="inlineStr">
        <is>
          <t>Platform</t>
        </is>
      </c>
      <c r="E109" s="52" t="n">
        <v>46238</v>
      </c>
      <c r="F109" s="52" t="n">
        <v>46238</v>
      </c>
      <c r="G109" s="243" t="inlineStr">
        <is>
          <t>ml/artifacts was gitignored, so portable paths alone still resolved to nothing</t>
        </is>
      </c>
      <c r="H109" s="50" t="n"/>
      <c r="I109" s="48" t="n"/>
      <c r="J109" s="50" t="n"/>
      <c r="K109" s="50" t="n"/>
      <c r="L109" s="50" t="n"/>
      <c r="M109" s="50" t="n"/>
      <c r="N109" s="50" t="n"/>
      <c r="O109" s="50" t="n"/>
      <c r="P109" s="50" t="n"/>
      <c r="Q109" s="50" t="n"/>
      <c r="R109">
        <f>IF($A109&lt;&gt;"",$A109,R108)</f>
        <v/>
      </c>
    </row>
    <row r="110">
      <c r="A110" s="44" t="inlineStr">
        <is>
          <t>E10 Deploy</t>
        </is>
      </c>
      <c r="B110" s="45" t="inlineStr">
        <is>
          <t>infra/render.yaml: web + worker + BEAT + PG/Redis</t>
        </is>
      </c>
      <c r="C110" s="241" t="inlineStr">
        <is>
          <t>Done</t>
        </is>
      </c>
      <c r="D110" s="46" t="inlineStr">
        <is>
          <t>Platform</t>
        </is>
      </c>
      <c r="E110" s="47" t="n">
        <v>46238</v>
      </c>
      <c r="F110" s="47" t="n">
        <v>46238</v>
      </c>
      <c r="G110" s="242" t="inlineStr">
        <is>
          <t>Image built and run: models load on Linux, alembic head OK, 4 tasks scheduled</t>
        </is>
      </c>
      <c r="H110" s="45" t="n"/>
      <c r="I110" s="48" t="n"/>
      <c r="J110" s="45" t="n"/>
      <c r="K110" s="45" t="n"/>
      <c r="L110" s="45" t="n"/>
      <c r="M110" s="45" t="n"/>
      <c r="N110" s="45" t="n"/>
      <c r="O110" s="45" t="n"/>
      <c r="P110" s="45" t="n"/>
      <c r="Q110" s="45" t="n"/>
      <c r="R110">
        <f>IF($A110&lt;&gt;"",$A110,R109)</f>
        <v/>
      </c>
    </row>
    <row r="111">
      <c r="A111" s="49" t="inlineStr">
        <is>
          <t>E10 Deploy</t>
        </is>
      </c>
      <c r="B111" s="50" t="inlineStr">
        <is>
          <t>watchlist_items + T-60 kickoff reminder</t>
        </is>
      </c>
      <c r="C111" s="241" t="inlineStr">
        <is>
          <t>Done</t>
        </is>
      </c>
      <c r="D111" s="51" t="inlineStr">
        <is>
          <t>Backend</t>
        </is>
      </c>
      <c r="E111" s="52" t="n">
        <v>46238</v>
      </c>
      <c r="F111" s="52" t="n">
        <v>46238</v>
      </c>
      <c r="G111" s="243" t="inlineStr">
        <is>
          <t>PICK-07. Unblocks notify_kickoff_reminder, a stub since it was written</t>
        </is>
      </c>
      <c r="H111" s="50" t="n"/>
      <c r="I111" s="48" t="n"/>
      <c r="J111" s="50" t="n"/>
      <c r="K111" s="50" t="n"/>
      <c r="L111" s="50" t="n"/>
      <c r="M111" s="50" t="n"/>
      <c r="N111" s="50" t="n"/>
      <c r="O111" s="50" t="n"/>
      <c r="P111" s="50" t="n"/>
      <c r="Q111" s="50" t="n"/>
      <c r="R111">
        <f>IF($A111&lt;&gt;"",$A111,R110)</f>
        <v/>
      </c>
    </row>
    <row r="112">
      <c r="A112" s="58" t="inlineStr">
        <is>
          <t>E10 Deploy</t>
        </is>
      </c>
      <c r="B112" s="59" t="inlineStr">
        <is>
          <t>EAS build profiles + bundle identifiers</t>
        </is>
      </c>
      <c r="C112" s="244" t="inlineStr">
        <is>
          <t>Done</t>
        </is>
      </c>
      <c r="D112" s="60" t="inlineStr">
        <is>
          <t>Mobile</t>
        </is>
      </c>
      <c r="E112" s="61" t="n">
        <v>46238</v>
      </c>
      <c r="F112" s="61" t="n">
        <v>46238</v>
      </c>
      <c r="G112" s="245" t="inlineStr">
        <is>
          <t>iOS id was absent entirely; Android was Expo's com.anonymous default</t>
        </is>
      </c>
      <c r="H112" s="59" t="n"/>
      <c r="I112" s="62" t="n"/>
      <c r="J112" s="59" t="n"/>
      <c r="K112" s="59" t="n"/>
      <c r="L112" s="59" t="n"/>
      <c r="M112" s="59" t="n"/>
      <c r="N112" s="59" t="n"/>
      <c r="O112" s="59" t="n"/>
      <c r="P112" s="59" t="n"/>
      <c r="Q112" s="59" t="n"/>
      <c r="R112">
        <f>IF($A112&lt;&gt;"",$A112,R111)</f>
        <v/>
      </c>
    </row>
    <row r="113">
      <c r="A113" s="63" t="inlineStr">
        <is>
          <t>E10 Deploy</t>
        </is>
      </c>
      <c r="B113" s="64" t="inlineStr">
        <is>
          <t>Staging soak harness (infra/soak-compose.yml)</t>
        </is>
      </c>
      <c r="C113" s="244" t="inlineStr">
        <is>
          <t>Done</t>
        </is>
      </c>
      <c r="D113" s="65" t="inlineStr">
        <is>
          <t>Platform</t>
        </is>
      </c>
      <c r="E113" s="66" t="n">
        <v>46238</v>
      </c>
      <c r="F113" s="66" t="n">
        <v>46238</v>
      </c>
      <c r="G113" s="246" t="inlineStr">
        <is>
          <t>Same image, 3 roles, throwaway PG/Redis, isolated from the dev stack</t>
        </is>
      </c>
      <c r="H113" s="64" t="n"/>
      <c r="I113" s="62" t="n"/>
      <c r="J113" s="64" t="n"/>
      <c r="K113" s="64" t="n"/>
      <c r="L113" s="64" t="n"/>
      <c r="M113" s="64" t="n"/>
      <c r="N113" s="64" t="n"/>
      <c r="O113" s="64" t="n"/>
      <c r="P113" s="64" t="n"/>
      <c r="Q113" s="64" t="n"/>
      <c r="R113">
        <f>IF($A113&lt;&gt;"",$A113,R112)</f>
        <v/>
      </c>
    </row>
    <row r="114">
      <c r="A114" s="58" t="inlineStr">
        <is>
          <t>E10 Deploy</t>
        </is>
      </c>
      <c r="B114" s="59" t="inlineStr">
        <is>
          <t>SOAK PASSED: full stack from empty DB</t>
        </is>
      </c>
      <c r="C114" s="67" t="inlineStr">
        <is>
          <t>Milestone</t>
        </is>
      </c>
      <c r="D114" s="60" t="inlineStr">
        <is>
          <t>Platform</t>
        </is>
      </c>
      <c r="E114" s="61" t="n">
        <v>46238</v>
      </c>
      <c r="F114" s="61" t="n">
        <v>46238</v>
      </c>
      <c r="G114" s="245" t="inlineStr">
        <is>
          <t>Migrations, 5 services, API 200s, beat-&gt;worker chain, model loaded from a filename row</t>
        </is>
      </c>
      <c r="H114" s="59" t="n"/>
      <c r="I114" s="68" t="n"/>
      <c r="J114" s="59" t="n"/>
      <c r="K114" s="59" t="n"/>
      <c r="L114" s="59" t="n"/>
      <c r="M114" s="59" t="n"/>
      <c r="N114" s="59" t="n"/>
      <c r="O114" s="59" t="n"/>
      <c r="P114" s="59" t="n"/>
      <c r="Q114" s="59" t="n"/>
      <c r="R114">
        <f>IF($A114&lt;&gt;"",$A114,R113)</f>
        <v/>
      </c>
    </row>
    <row r="115">
      <c r="A115" s="63" t="inlineStr">
        <is>
          <t>E10 Deploy</t>
        </is>
      </c>
      <c r="B115" s="64" t="inlineStr">
        <is>
          <t>Run eas login + eas init (needs Expo account)</t>
        </is>
      </c>
      <c r="C115" s="244" t="inlineStr">
        <is>
          <t>Done</t>
        </is>
      </c>
      <c r="D115" s="65" t="inlineStr">
        <is>
          <t>Mobile</t>
        </is>
      </c>
      <c r="E115" s="66" t="n">
        <v>46239</v>
      </c>
      <c r="F115" s="66" t="n">
        <v>46239</v>
      </c>
      <c r="G115" s="246" t="inlineStr">
        <is>
          <t>Done - projectId set, push token minted successfully</t>
        </is>
      </c>
      <c r="H115" s="64" t="n"/>
      <c r="I115" s="70" t="n"/>
      <c r="J115" s="64" t="n"/>
      <c r="K115" s="64" t="n"/>
      <c r="L115" s="64" t="n"/>
      <c r="M115" s="64" t="n"/>
      <c r="N115" s="64" t="n"/>
      <c r="O115" s="64" t="n"/>
      <c r="P115" s="64" t="n"/>
      <c r="Q115" s="64" t="n"/>
      <c r="R115">
        <f>IF($A115&lt;&gt;"",$A115,R114)</f>
        <v/>
      </c>
    </row>
    <row r="116">
      <c r="A116" s="73" t="inlineStr">
        <is>
          <t>E10 Deploy</t>
        </is>
      </c>
      <c r="B116" s="74" t="inlineStr">
        <is>
          <t>EAS project linked (@usangr01/sportiq)</t>
        </is>
      </c>
      <c r="C116" s="247" t="inlineStr">
        <is>
          <t>Done</t>
        </is>
      </c>
      <c r="D116" s="75" t="inlineStr">
        <is>
          <t>Mobile</t>
        </is>
      </c>
      <c r="E116" s="76" t="n">
        <v>46238</v>
      </c>
      <c r="F116" s="76" t="n">
        <v>46238</v>
      </c>
      <c r="G116" s="248" t="inlineStr">
        <is>
          <t>projectId written; push tokens now mintable. Run eas from mobile/, not the root</t>
        </is>
      </c>
      <c r="H116" s="74" t="n"/>
      <c r="I116" s="77" t="n"/>
      <c r="J116" s="74" t="n"/>
      <c r="K116" s="74" t="n"/>
      <c r="L116" s="74" t="n"/>
      <c r="M116" s="74" t="n"/>
      <c r="N116" s="74" t="n"/>
      <c r="O116" s="74" t="n"/>
      <c r="P116" s="74" t="n"/>
      <c r="Q116" s="74" t="n"/>
      <c r="R116">
        <f>IF($A116&lt;&gt;"",$A116,R115)</f>
        <v/>
      </c>
    </row>
    <row r="117">
      <c r="A117" s="81" t="inlineStr">
        <is>
          <t>E7 Mobile</t>
        </is>
      </c>
      <c r="B117" s="82" t="inlineStr">
        <is>
          <t>Rename SportIQ -&gt; SportPIQ (identifiers + infra)</t>
        </is>
      </c>
      <c r="C117" s="249" t="inlineStr">
        <is>
          <t>Done</t>
        </is>
      </c>
      <c r="D117" s="83" t="inlineStr">
        <is>
          <t>Mobile</t>
        </is>
      </c>
      <c r="E117" s="84" t="n">
        <v>46238</v>
      </c>
      <c r="F117" s="84" t="n">
        <v>46238</v>
      </c>
      <c r="G117" s="250" t="inlineStr">
        <is>
          <t>Bundle ids, scheme (both sides), infra service names. DB/volume left alone</t>
        </is>
      </c>
      <c r="H117" s="82" t="n"/>
      <c r="I117" s="85" t="n"/>
      <c r="J117" s="82" t="n"/>
      <c r="K117" s="82" t="n"/>
      <c r="L117" s="82" t="n"/>
      <c r="M117" s="82" t="n"/>
      <c r="N117" s="82" t="n"/>
      <c r="O117" s="82" t="n"/>
      <c r="P117" s="82" t="n"/>
      <c r="Q117" s="82" t="n"/>
      <c r="R117">
        <f>IF($A117&lt;&gt;"",$A117,R116)</f>
        <v/>
      </c>
    </row>
    <row r="118">
      <c r="A118" s="86" t="inlineStr">
        <is>
          <t>E7 Mobile</t>
        </is>
      </c>
      <c r="B118" s="87" t="inlineStr">
        <is>
          <t>Trademark clearance research (UK IPO)</t>
        </is>
      </c>
      <c r="C118" s="249" t="inlineStr">
        <is>
          <t>Done</t>
        </is>
      </c>
      <c r="D118" s="88" t="inlineStr">
        <is>
          <t>Product</t>
        </is>
      </c>
      <c r="E118" s="89" t="n">
        <v>46238</v>
      </c>
      <c r="F118" s="89" t="n">
        <v>46238</v>
      </c>
      <c r="G118" s="251" t="inlineStr">
        <is>
          <t>108 marks reviewed; 2 candidate conflicts examined in detail, both weakened</t>
        </is>
      </c>
      <c r="H118" s="87" t="n"/>
      <c r="I118" s="85" t="n"/>
      <c r="J118" s="87" t="n"/>
      <c r="K118" s="87" t="n"/>
      <c r="L118" s="87" t="n"/>
      <c r="M118" s="87" t="n"/>
      <c r="N118" s="87" t="n"/>
      <c r="O118" s="87" t="n"/>
      <c r="P118" s="87" t="n"/>
      <c r="Q118" s="87" t="n"/>
      <c r="R118">
        <f>IF($A118&lt;&gt;"",$A118,R117)</f>
        <v/>
      </c>
    </row>
    <row r="119">
      <c r="A119" s="81" t="inlineStr">
        <is>
          <t>E10 Deploy</t>
        </is>
      </c>
      <c r="B119" s="82" t="inlineStr">
        <is>
          <t>Rename Expo project sportiq -&gt; sportpiq</t>
        </is>
      </c>
      <c r="C119" s="90" t="inlineStr">
        <is>
          <t>Planned</t>
        </is>
      </c>
      <c r="D119" s="83" t="inlineStr">
        <is>
          <t>Mobile</t>
        </is>
      </c>
      <c r="E119" s="84" t="n">
        <v>46239</v>
      </c>
      <c r="F119" s="84" t="n">
        <v>46239</v>
      </c>
      <c r="G119" s="250" t="inlineStr">
        <is>
          <t>Dashboard rename; projectId stays valid so not a re-init</t>
        </is>
      </c>
      <c r="H119" s="82" t="n"/>
      <c r="I119" s="91" t="n"/>
      <c r="J119" s="82" t="n"/>
      <c r="K119" s="82" t="n"/>
      <c r="L119" s="82" t="n"/>
      <c r="M119" s="82" t="n"/>
      <c r="N119" s="82" t="n"/>
      <c r="O119" s="82" t="n"/>
      <c r="P119" s="82" t="n"/>
      <c r="Q119" s="82" t="n"/>
      <c r="R119">
        <f>IF($A119&lt;&gt;"",$A119,R118)</f>
        <v/>
      </c>
    </row>
    <row r="120">
      <c r="A120" s="86" t="inlineStr">
        <is>
          <t>E7 Mobile</t>
        </is>
      </c>
      <c r="B120" s="87" t="inlineStr">
        <is>
          <t>Professional trademark clearance (UK + EU)</t>
        </is>
      </c>
      <c r="C120" s="90" t="inlineStr">
        <is>
          <t>Planned</t>
        </is>
      </c>
      <c r="D120" s="88" t="inlineStr">
        <is>
          <t>Product</t>
        </is>
      </c>
      <c r="E120" s="89" t="n">
        <v>46244</v>
      </c>
      <c r="F120" s="89" t="n">
        <v>46248</v>
      </c>
      <c r="G120" s="251" t="inlineStr">
        <is>
          <t>Before brand spend. Few hundred GBP vs rebranding after launch</t>
        </is>
      </c>
      <c r="H120" s="87" t="n"/>
      <c r="I120" s="87" t="n"/>
      <c r="J120" s="91" t="n"/>
      <c r="K120" s="87" t="n"/>
      <c r="L120" s="87" t="n"/>
      <c r="M120" s="87" t="n"/>
      <c r="N120" s="87" t="n"/>
      <c r="O120" s="87" t="n"/>
      <c r="P120" s="87" t="n"/>
      <c r="Q120" s="87" t="n"/>
      <c r="R120">
        <f>IF($A120&lt;&gt;"",$A120,R119)</f>
        <v/>
      </c>
    </row>
    <row r="121">
      <c r="A121" s="95" t="inlineStr">
        <is>
          <t>E10 Deploy</t>
        </is>
      </c>
      <c r="B121" s="96" t="inlineStr">
        <is>
          <t>Firebase project + FCM V1 key uploaded to EAS</t>
        </is>
      </c>
      <c r="C121" s="252" t="inlineStr">
        <is>
          <t>Done</t>
        </is>
      </c>
      <c r="D121" s="97" t="inlineStr">
        <is>
          <t>Mobile</t>
        </is>
      </c>
      <c r="E121" s="98" t="n">
        <v>46238</v>
      </c>
      <c r="F121" s="98" t="n">
        <v>46238</v>
      </c>
      <c r="G121" s="253" t="inlineStr">
        <is>
          <t>sportpiq-10b64. Expo's side of the Android push chain is complete</t>
        </is>
      </c>
      <c r="H121" s="96" t="n"/>
      <c r="I121" s="99" t="n"/>
      <c r="J121" s="96" t="n"/>
      <c r="K121" s="96" t="n"/>
      <c r="L121" s="96" t="n"/>
      <c r="M121" s="96" t="n"/>
      <c r="N121" s="96" t="n"/>
      <c r="O121" s="96" t="n"/>
      <c r="P121" s="96" t="n"/>
      <c r="Q121" s="96" t="n"/>
      <c r="R121">
        <f>IF($A121&lt;&gt;"",$A121,R120)</f>
        <v/>
      </c>
    </row>
    <row r="122">
      <c r="A122" s="100" t="inlineStr">
        <is>
          <t>E10 Deploy</t>
        </is>
      </c>
      <c r="B122" s="101" t="inlineStr">
        <is>
          <t>Relink EAS project after rename (sportiq -&gt; sportpiq)</t>
        </is>
      </c>
      <c r="C122" s="252" t="inlineStr">
        <is>
          <t>Done</t>
        </is>
      </c>
      <c r="D122" s="102" t="inlineStr">
        <is>
          <t>Mobile</t>
        </is>
      </c>
      <c r="E122" s="103" t="n">
        <v>46238</v>
      </c>
      <c r="F122" s="103" t="n">
        <v>46238</v>
      </c>
      <c r="G122" s="254" t="inlineStr">
        <is>
          <t>eas has no rename cmd; safe only because the old project had no builds</t>
        </is>
      </c>
      <c r="H122" s="101" t="n"/>
      <c r="I122" s="99" t="n"/>
      <c r="J122" s="101" t="n"/>
      <c r="K122" s="101" t="n"/>
      <c r="L122" s="101" t="n"/>
      <c r="M122" s="101" t="n"/>
      <c r="N122" s="101" t="n"/>
      <c r="O122" s="101" t="n"/>
      <c r="P122" s="101" t="n"/>
      <c r="Q122" s="101" t="n"/>
      <c r="R122">
        <f>IF($A122&lt;&gt;"",$A122,R121)</f>
        <v/>
      </c>
    </row>
    <row r="123">
      <c r="A123" s="95" t="inlineStr">
        <is>
          <t>E10 Deploy</t>
        </is>
      </c>
      <c r="B123" s="96" t="inlineStr">
        <is>
          <t>Register Android app in Firebase for google-services.json</t>
        </is>
      </c>
      <c r="C123" s="252" t="inlineStr">
        <is>
          <t>Done</t>
        </is>
      </c>
      <c r="D123" s="97" t="inlineStr">
        <is>
          <t>Mobile</t>
        </is>
      </c>
      <c r="E123" s="98" t="n">
        <v>46239</v>
      </c>
      <c r="F123" s="98" t="n">
        <v>46239</v>
      </c>
      <c r="G123" s="253" t="inlineStr">
        <is>
          <t>google-services.json in place; real token minted proves the chain resolves</t>
        </is>
      </c>
      <c r="H123" s="96" t="n"/>
      <c r="I123" s="105" t="n"/>
      <c r="J123" s="96" t="n"/>
      <c r="K123" s="96" t="n"/>
      <c r="L123" s="96" t="n"/>
      <c r="M123" s="96" t="n"/>
      <c r="N123" s="96" t="n"/>
      <c r="O123" s="96" t="n"/>
      <c r="P123" s="96" t="n"/>
      <c r="Q123" s="96" t="n"/>
      <c r="R123">
        <f>IF($A123&lt;&gt;"",$A123,R122)</f>
        <v/>
      </c>
    </row>
    <row r="124">
      <c r="A124" s="100" t="inlineStr">
        <is>
          <t>E10 Deploy</t>
        </is>
      </c>
      <c r="B124" s="101" t="inlineStr">
        <is>
          <t>Development build + verify push on a real device</t>
        </is>
      </c>
      <c r="C124" s="252" t="inlineStr">
        <is>
          <t>Done</t>
        </is>
      </c>
      <c r="D124" s="102" t="inlineStr">
        <is>
          <t>Mobile</t>
        </is>
      </c>
      <c r="E124" s="103" t="n">
        <v>46239</v>
      </c>
      <c r="F124" s="103" t="n">
        <v>46240</v>
      </c>
      <c r="G124" s="254" t="inlineStr">
        <is>
          <t>Dev build on a real device; push delivered and confirmed by the user</t>
        </is>
      </c>
      <c r="H124" s="101" t="n"/>
      <c r="I124" s="105" t="n"/>
      <c r="J124" s="101" t="n"/>
      <c r="K124" s="101" t="n"/>
      <c r="L124" s="101" t="n"/>
      <c r="M124" s="101" t="n"/>
      <c r="N124" s="101" t="n"/>
      <c r="O124" s="101" t="n"/>
      <c r="P124" s="101" t="n"/>
      <c r="Q124" s="101" t="n"/>
      <c r="R124">
        <f>IF($A124&lt;&gt;"",$A124,R123)</f>
        <v/>
      </c>
    </row>
    <row r="125">
      <c r="A125" s="110" t="inlineStr">
        <is>
          <t>E10 Deploy</t>
        </is>
      </c>
      <c r="B125" s="111" t="inlineStr">
        <is>
          <t>google-services.json wired into the Android build</t>
        </is>
      </c>
      <c r="C125" s="255" t="inlineStr">
        <is>
          <t>Done</t>
        </is>
      </c>
      <c r="D125" s="112" t="inlineStr">
        <is>
          <t>Mobile</t>
        </is>
      </c>
      <c r="E125" s="113" t="n">
        <v>46238</v>
      </c>
      <c r="F125" s="113" t="n">
        <v>46238</v>
      </c>
      <c r="G125" s="256" t="inlineStr">
        <is>
          <t>package_name verified as an exact match before wiring; same project as the FCM key</t>
        </is>
      </c>
      <c r="H125" s="111" t="n"/>
      <c r="I125" s="114" t="n"/>
      <c r="J125" s="111" t="n"/>
      <c r="K125" s="111" t="n"/>
      <c r="L125" s="111" t="n"/>
      <c r="M125" s="111" t="n"/>
      <c r="N125" s="111" t="n"/>
      <c r="O125" s="111" t="n"/>
      <c r="P125" s="111" t="n"/>
      <c r="Q125" s="111" t="n"/>
      <c r="R125">
        <f>IF($A125&lt;&gt;"",$A125,R124)</f>
        <v/>
      </c>
    </row>
    <row r="126">
      <c r="A126" s="115" t="inlineStr">
        <is>
          <t>E10 Deploy</t>
        </is>
      </c>
      <c r="B126" s="116" t="inlineStr">
        <is>
          <t>Restrict Android API key to package + SHA-1 (GCP)</t>
        </is>
      </c>
      <c r="C126" s="117" t="inlineStr">
        <is>
          <t>Planned</t>
        </is>
      </c>
      <c r="D126" s="118" t="inlineStr">
        <is>
          <t>Mobile</t>
        </is>
      </c>
      <c r="E126" s="119" t="n">
        <v>46239</v>
      </c>
      <c r="F126" s="119" t="n">
        <v>46239</v>
      </c>
      <c r="G126" s="257" t="inlineStr">
        <is>
          <t>Repo is public; 2 min in Cloud Console makes the shipped key useless to others</t>
        </is>
      </c>
      <c r="H126" s="116" t="n"/>
      <c r="I126" s="120" t="n"/>
      <c r="J126" s="116" t="n"/>
      <c r="K126" s="116" t="n"/>
      <c r="L126" s="116" t="n"/>
      <c r="M126" s="116" t="n"/>
      <c r="N126" s="116" t="n"/>
      <c r="O126" s="116" t="n"/>
      <c r="P126" s="116" t="n"/>
      <c r="Q126" s="116" t="n"/>
      <c r="R126">
        <f>IF($A126&lt;&gt;"",$A126,R125)</f>
        <v/>
      </c>
    </row>
    <row r="127">
      <c r="A127" s="121" t="inlineStr">
        <is>
          <t>E7 Mobile</t>
        </is>
      </c>
      <c r="B127" s="122" t="inlineStr">
        <is>
          <t>First real-device test session (dev build on Android)</t>
        </is>
      </c>
      <c r="C127" s="123" t="inlineStr">
        <is>
          <t>Milestone</t>
        </is>
      </c>
      <c r="D127" s="124" t="inlineStr">
        <is>
          <t>Mobile</t>
        </is>
      </c>
      <c r="E127" s="125" t="n">
        <v>46239</v>
      </c>
      <c r="F127" s="125" t="n">
        <v>46239</v>
      </c>
      <c r="G127" s="258" t="inlineStr">
        <is>
          <t>App installed and loading real data over the LAN. Found 3 bugs web never showed</t>
        </is>
      </c>
      <c r="H127" s="122" t="n"/>
      <c r="I127" s="126" t="n"/>
      <c r="J127" s="122" t="n"/>
      <c r="K127" s="122" t="n"/>
      <c r="L127" s="122" t="n"/>
      <c r="M127" s="122" t="n"/>
      <c r="N127" s="122" t="n"/>
      <c r="O127" s="122" t="n"/>
      <c r="P127" s="122" t="n"/>
      <c r="Q127" s="122" t="n"/>
      <c r="R127">
        <f>IF($A127&lt;&gt;"",$A127,R126)</f>
        <v/>
      </c>
    </row>
    <row r="128">
      <c r="A128" s="127" t="inlineStr">
        <is>
          <t>E7 Mobile</t>
        </is>
      </c>
      <c r="B128" s="128" t="inlineStr">
        <is>
          <t>Fix: fixture card sizing on device (2 iterations)</t>
        </is>
      </c>
      <c r="C128" s="259" t="inlineStr">
        <is>
          <t>Done</t>
        </is>
      </c>
      <c r="D128" s="129" t="inlineStr">
        <is>
          <t>Mobile</t>
        </is>
      </c>
      <c r="E128" s="130" t="n">
        <v>46239</v>
      </c>
      <c r="F128" s="130" t="n">
        <v>46239</v>
      </c>
      <c r="G128" s="260" t="inlineStr">
        <is>
          <t>h-full -&gt; unbounded, then flex-1 -&gt; zero. Now content-sized with a 52px floor</t>
        </is>
      </c>
      <c r="H128" s="128" t="n"/>
      <c r="I128" s="131" t="n"/>
      <c r="J128" s="128" t="n"/>
      <c r="K128" s="128" t="n"/>
      <c r="L128" s="128" t="n"/>
      <c r="M128" s="128" t="n"/>
      <c r="N128" s="128" t="n"/>
      <c r="O128" s="128" t="n"/>
      <c r="P128" s="128" t="n"/>
      <c r="Q128" s="128" t="n"/>
      <c r="R128">
        <f>IF($A128&lt;&gt;"",$A128,R127)</f>
        <v/>
      </c>
    </row>
    <row r="129">
      <c r="A129" s="121" t="inlineStr">
        <is>
          <t>E7 Mobile</t>
        </is>
      </c>
      <c r="B129" s="122" t="inlineStr">
        <is>
          <t>Fix: theme switch crashed with a navigation error</t>
        </is>
      </c>
      <c r="C129" s="259" t="inlineStr">
        <is>
          <t>Done</t>
        </is>
      </c>
      <c r="D129" s="124" t="inlineStr">
        <is>
          <t>Mobile</t>
        </is>
      </c>
      <c r="E129" s="125" t="n">
        <v>46239</v>
      </c>
      <c r="F129" s="125" t="n">
        <v>46239</v>
      </c>
      <c r="G129" s="258" t="inlineStr">
        <is>
          <t>NativeWind's dev warning printer hit a throwing getter. patch-package. DEV ONLY</t>
        </is>
      </c>
      <c r="H129" s="122" t="n"/>
      <c r="I129" s="131" t="n"/>
      <c r="J129" s="122" t="n"/>
      <c r="K129" s="122" t="n"/>
      <c r="L129" s="122" t="n"/>
      <c r="M129" s="122" t="n"/>
      <c r="N129" s="122" t="n"/>
      <c r="O129" s="122" t="n"/>
      <c r="P129" s="122" t="n"/>
      <c r="Q129" s="122" t="n"/>
      <c r="R129">
        <f>IF($A129&lt;&gt;"",$A129,R128)</f>
        <v/>
      </c>
    </row>
    <row r="130">
      <c r="A130" s="127" t="inlineStr">
        <is>
          <t>E11 Ops Resilience</t>
        </is>
      </c>
      <c r="B130" s="128" t="inlineStr">
        <is>
          <t>Fix: test suite polluted the dev database</t>
        </is>
      </c>
      <c r="C130" s="259" t="inlineStr">
        <is>
          <t>Done</t>
        </is>
      </c>
      <c r="D130" s="129" t="inlineStr">
        <is>
          <t>Backend</t>
        </is>
      </c>
      <c r="E130" s="130" t="n">
        <v>46239</v>
      </c>
      <c r="F130" s="130" t="n">
        <v>46239</v>
      </c>
      <c r="G130" s="260" t="inlineStr">
        <is>
          <t>24 fake sports reached the app's own dropdown. Purged + autouse cleanup fixture</t>
        </is>
      </c>
      <c r="H130" s="128" t="n"/>
      <c r="I130" s="131" t="n"/>
      <c r="J130" s="128" t="n"/>
      <c r="K130" s="128" t="n"/>
      <c r="L130" s="128" t="n"/>
      <c r="M130" s="128" t="n"/>
      <c r="N130" s="128" t="n"/>
      <c r="O130" s="128" t="n"/>
      <c r="P130" s="128" t="n"/>
      <c r="Q130" s="128" t="n"/>
      <c r="R130">
        <f>IF($A130&lt;&gt;"",$A130,R129)</f>
        <v/>
      </c>
    </row>
    <row r="131">
      <c r="A131" s="121" t="inlineStr">
        <is>
          <t>E7 Mobile</t>
        </is>
      </c>
      <c r="B131" s="122" t="inlineStr">
        <is>
          <t>Verify push token minting + delivery on device</t>
        </is>
      </c>
      <c r="C131" s="259" t="inlineStr">
        <is>
          <t>Done</t>
        </is>
      </c>
      <c r="D131" s="124" t="inlineStr">
        <is>
          <t>Mobile</t>
        </is>
      </c>
      <c r="E131" s="125" t="n">
        <v>46239</v>
      </c>
      <c r="F131" s="125" t="n">
        <v>46239</v>
      </c>
      <c r="G131" s="258" t="inlineStr">
        <is>
          <t>CONFIRMED: notification received on the phone; T-60 reminder also verified</t>
        </is>
      </c>
      <c r="H131" s="122" t="n"/>
      <c r="I131" s="133" t="n"/>
      <c r="J131" s="122" t="n"/>
      <c r="K131" s="122" t="n"/>
      <c r="L131" s="122" t="n"/>
      <c r="M131" s="122" t="n"/>
      <c r="N131" s="122" t="n"/>
      <c r="O131" s="122" t="n"/>
      <c r="P131" s="122" t="n"/>
      <c r="Q131" s="122" t="n"/>
      <c r="R131">
        <f>IF($A131&lt;&gt;"",$A131,R130)</f>
        <v/>
      </c>
    </row>
    <row r="132">
      <c r="A132" s="127" t="inlineStr">
        <is>
          <t>E7 Mobile</t>
        </is>
      </c>
      <c r="B132" s="128" t="inlineStr">
        <is>
          <t>Decide whether badge should height-match the team rows</t>
        </is>
      </c>
      <c r="C132" s="132" t="inlineStr">
        <is>
          <t>Planned</t>
        </is>
      </c>
      <c r="D132" s="129" t="inlineStr">
        <is>
          <t>Mobile</t>
        </is>
      </c>
      <c r="E132" s="130" t="n">
        <v>46240</v>
      </c>
      <c r="F132" s="130" t="n">
        <v>46240</v>
      </c>
      <c r="G132" s="260" t="inlineStr">
        <is>
          <t>Traded exact alignment for a badge that cannot collapse or run away</t>
        </is>
      </c>
      <c r="H132" s="128" t="n"/>
      <c r="I132" s="133" t="n"/>
      <c r="J132" s="128" t="n"/>
      <c r="K132" s="128" t="n"/>
      <c r="L132" s="128" t="n"/>
      <c r="M132" s="128" t="n"/>
      <c r="N132" s="128" t="n"/>
      <c r="O132" s="128" t="n"/>
      <c r="P132" s="128" t="n"/>
      <c r="Q132" s="128" t="n"/>
      <c r="R132">
        <f>IF($A132&lt;&gt;"",$A132,R131)</f>
        <v/>
      </c>
    </row>
    <row r="133">
      <c r="A133" s="138" t="inlineStr">
        <is>
          <t>E9 Data Ops</t>
        </is>
      </c>
      <c r="B133" s="139" t="inlineStr">
        <is>
          <t>TheRundown Pro live and verified</t>
        </is>
      </c>
      <c r="C133" s="261" t="inlineStr">
        <is>
          <t>Done</t>
        </is>
      </c>
      <c r="D133" s="140" t="inlineStr">
        <is>
          <t>Data</t>
        </is>
      </c>
      <c r="E133" s="141" t="n">
        <v>46239</v>
      </c>
      <c r="F133" s="141" t="n">
        <v>46239</v>
      </c>
      <c r="G133" s="262" t="inlineStr">
        <is>
          <t>5,000/MONTH (not per day). GET /sports 200, 36 sports, quota fresh</t>
        </is>
      </c>
      <c r="H133" s="139" t="n"/>
      <c r="I133" s="142" t="n"/>
      <c r="J133" s="139" t="n"/>
      <c r="K133" s="139" t="n"/>
      <c r="L133" s="139" t="n"/>
      <c r="M133" s="139" t="n"/>
      <c r="N133" s="139" t="n"/>
      <c r="O133" s="139" t="n"/>
      <c r="P133" s="139" t="n"/>
      <c r="Q133" s="139" t="n"/>
      <c r="R133">
        <f>IF($A133&lt;&gt;"",$A133,R132)</f>
        <v/>
      </c>
    </row>
    <row r="134">
      <c r="A134" s="143" t="inlineStr">
        <is>
          <t>E9 Data Ops</t>
        </is>
      </c>
      <c r="B134" s="144" t="inlineStr">
        <is>
          <t>Measure real odds-cycle quota cost</t>
        </is>
      </c>
      <c r="C134" s="261" t="inlineStr">
        <is>
          <t>Done</t>
        </is>
      </c>
      <c r="D134" s="145" t="inlineStr">
        <is>
          <t>Data</t>
        </is>
      </c>
      <c r="E134" s="146" t="n">
        <v>46239</v>
      </c>
      <c r="F134" s="146" t="n">
        <v>46239</v>
      </c>
      <c r="G134" s="263" t="inlineStr">
        <is>
          <t>A full cycle cost 0 requests: cost scales with fixtures played, not leagues</t>
        </is>
      </c>
      <c r="H134" s="144" t="n"/>
      <c r="I134" s="142" t="n"/>
      <c r="J134" s="144" t="n"/>
      <c r="K134" s="144" t="n"/>
      <c r="L134" s="144" t="n"/>
      <c r="M134" s="144" t="n"/>
      <c r="N134" s="144" t="n"/>
      <c r="O134" s="144" t="n"/>
      <c r="P134" s="144" t="n"/>
      <c r="Q134" s="144" t="n"/>
      <c r="R134">
        <f>IF($A134&lt;&gt;"",$A134,R133)</f>
        <v/>
      </c>
    </row>
    <row r="135">
      <c r="A135" s="154" t="inlineStr">
        <is>
          <t>E9 Data Ops</t>
        </is>
      </c>
      <c r="B135" s="155" t="inlineStr">
        <is>
          <t>ACTION 21 Aug: recheck API-Football EPL odds</t>
        </is>
      </c>
      <c r="C135" s="156" t="inlineStr">
        <is>
          <t>Planned</t>
        </is>
      </c>
      <c r="D135" s="157" t="inlineStr">
        <is>
          <t>Data</t>
        </is>
      </c>
      <c r="E135" s="158" t="n">
        <v>46255</v>
      </c>
      <c r="F135" s="158" t="n">
        <v>46255</v>
      </c>
      <c r="G135" s="264" t="inlineStr">
        <is>
          <t>If it flips to True, TheRundown Pro is redundant and can be dropped</t>
        </is>
      </c>
      <c r="H135" s="155" t="n"/>
      <c r="I135" s="155" t="n"/>
      <c r="J135" s="155" t="n"/>
      <c r="K135" s="159" t="n"/>
      <c r="L135" s="155" t="n"/>
      <c r="M135" s="155" t="n"/>
      <c r="N135" s="155" t="n"/>
      <c r="O135" s="155" t="n"/>
      <c r="P135" s="155" t="n"/>
      <c r="Q135" s="155" t="n"/>
      <c r="R135">
        <f>IF($A135&lt;&gt;"",$A135,R134)</f>
        <v/>
      </c>
    </row>
    <row r="136">
      <c r="A136" s="163" t="inlineStr">
        <is>
          <t>E9 Data Ops</t>
        </is>
      </c>
      <c r="B136" s="164" t="inlineStr">
        <is>
          <t>Trace where the 1,000/month basic quota went</t>
        </is>
      </c>
      <c r="C136" s="265" t="inlineStr">
        <is>
          <t>Done</t>
        </is>
      </c>
      <c r="D136" s="165" t="inlineStr">
        <is>
          <t>Data</t>
        </is>
      </c>
      <c r="E136" s="166" t="n">
        <v>46239</v>
      </c>
      <c r="F136" s="166" t="n">
        <v>46239</v>
      </c>
      <c r="G136" s="266" t="inlineStr">
        <is>
          <t>A 5-min polling loop against out-of-season leagues. Yield: 2 rows, one NBA game</t>
        </is>
      </c>
      <c r="H136" s="164" t="n"/>
      <c r="I136" s="167" t="n"/>
      <c r="J136" s="164" t="n"/>
      <c r="K136" s="164" t="n"/>
      <c r="L136" s="164" t="n"/>
      <c r="M136" s="164" t="n"/>
      <c r="N136" s="164" t="n"/>
      <c r="O136" s="164" t="n"/>
      <c r="P136" s="164" t="n"/>
      <c r="Q136" s="164" t="n"/>
      <c r="R136">
        <f>IF($A136&lt;&gt;"",$A136,R135)</f>
        <v/>
      </c>
    </row>
    <row r="137">
      <c r="A137" s="175" t="inlineStr">
        <is>
          <t>E5 ML Tennis</t>
        </is>
      </c>
      <c r="B137" s="176" t="inlineStr">
        <is>
          <t>TENNIS ODDS LIVE: ATP/WTA via TheRundown</t>
        </is>
      </c>
      <c r="C137" s="177" t="inlineStr">
        <is>
          <t>Milestone</t>
        </is>
      </c>
      <c r="D137" s="178" t="inlineStr">
        <is>
          <t>Data</t>
        </is>
      </c>
      <c r="E137" s="179" t="n">
        <v>46239</v>
      </c>
      <c r="F137" s="179" t="n">
        <v>46239</v>
      </c>
      <c r="G137" s="267" t="inlineStr">
        <is>
          <t>First odds tennis has ever had. 22 of 24 ATP fixtures priced; EV ranking now possible</t>
        </is>
      </c>
      <c r="H137" s="176" t="n"/>
      <c r="I137" s="180" t="n"/>
      <c r="J137" s="176" t="n"/>
      <c r="K137" s="176" t="n"/>
      <c r="L137" s="176" t="n"/>
      <c r="M137" s="176" t="n"/>
      <c r="N137" s="176" t="n"/>
      <c r="O137" s="176" t="n"/>
      <c r="P137" s="176" t="n"/>
      <c r="Q137" s="176" t="n"/>
      <c r="R137">
        <f>IF($A137&lt;&gt;"",$A137,R136)</f>
        <v/>
      </c>
    </row>
    <row r="138">
      <c r="A138" s="181" t="inlineStr">
        <is>
          <t>E5 ML Tennis</t>
        </is>
      </c>
      <c r="B138" s="182" t="inlineStr">
        <is>
          <t>Fix: tennis home/away orientation for odds matching</t>
        </is>
      </c>
      <c r="C138" s="268" t="inlineStr">
        <is>
          <t>Done</t>
        </is>
      </c>
      <c r="D138" s="183" t="inlineStr">
        <is>
          <t>Backend</t>
        </is>
      </c>
      <c r="E138" s="184" t="n">
        <v>46239</v>
      </c>
      <c r="F138" s="184" t="n">
        <v>46239</v>
      </c>
      <c r="G138" s="269" t="inlineStr">
        <is>
          <t>Sides disagreed on 8 of 22 matches; those silently got no price at all</t>
        </is>
      </c>
      <c r="H138" s="182" t="n"/>
      <c r="I138" s="185" t="n"/>
      <c r="J138" s="182" t="n"/>
      <c r="K138" s="182" t="n"/>
      <c r="L138" s="182" t="n"/>
      <c r="M138" s="182" t="n"/>
      <c r="N138" s="182" t="n"/>
      <c r="O138" s="182" t="n"/>
      <c r="P138" s="182" t="n"/>
      <c r="Q138" s="182" t="n"/>
      <c r="R138">
        <f>IF($A138&lt;&gt;"",$A138,R137)</f>
        <v/>
      </c>
    </row>
    <row r="139">
      <c r="A139" s="175" t="inlineStr">
        <is>
          <t>E5 ML Tennis</t>
        </is>
      </c>
      <c r="B139" s="176" t="inlineStr">
        <is>
          <t>Fix: inverted bookmaker was being selected by max()</t>
        </is>
      </c>
      <c r="C139" s="268" t="inlineStr">
        <is>
          <t>Done</t>
        </is>
      </c>
      <c r="D139" s="178" t="inlineStr">
        <is>
          <t>Backend</t>
        </is>
      </c>
      <c r="E139" s="179" t="n">
        <v>46239</v>
      </c>
      <c r="F139" s="179" t="n">
        <v>46239</v>
      </c>
      <c r="G139" s="267" t="inlineStr">
        <is>
          <t>Two passes. Distance test missed near-even matches; structural test does not</t>
        </is>
      </c>
      <c r="H139" s="176" t="n"/>
      <c r="I139" s="185" t="n"/>
      <c r="J139" s="176" t="n"/>
      <c r="K139" s="176" t="n"/>
      <c r="L139" s="176" t="n"/>
      <c r="M139" s="176" t="n"/>
      <c r="N139" s="176" t="n"/>
      <c r="O139" s="176" t="n"/>
      <c r="P139" s="176" t="n"/>
      <c r="Q139" s="176" t="n"/>
      <c r="R139">
        <f>IF($A139&lt;&gt;"",$A139,R138)</f>
        <v/>
      </c>
    </row>
    <row r="140">
      <c r="A140" s="181" t="inlineStr">
        <is>
          <t>E9 Data Ops</t>
        </is>
      </c>
      <c r="B140" s="182" t="inlineStr">
        <is>
          <t>Decide whether to exclude Polymarket at ingest</t>
        </is>
      </c>
      <c r="C140" s="186" t="inlineStr">
        <is>
          <t>Planned</t>
        </is>
      </c>
      <c r="D140" s="183" t="inlineStr">
        <is>
          <t>Data</t>
        </is>
      </c>
      <c r="E140" s="184" t="n">
        <v>46242</v>
      </c>
      <c r="F140" s="184" t="n">
        <v>46242</v>
      </c>
      <c r="G140" s="269" t="inlineStr">
        <is>
          <t>3 of 3 ATP matches inverted - looks systematic. Needs more days before concluding</t>
        </is>
      </c>
      <c r="H140" s="182" t="n"/>
      <c r="I140" s="187" t="n"/>
      <c r="J140" s="182" t="n"/>
      <c r="K140" s="182" t="n"/>
      <c r="L140" s="182" t="n"/>
      <c r="M140" s="182" t="n"/>
      <c r="N140" s="182" t="n"/>
      <c r="O140" s="182" t="n"/>
      <c r="P140" s="182" t="n"/>
      <c r="Q140" s="182" t="n"/>
      <c r="R140">
        <f>IF($A140&lt;&gt;"",$A140,R139)</f>
        <v/>
      </c>
    </row>
    <row r="141">
      <c r="A141" s="175" t="inlineStr">
        <is>
          <t>E9 Data Ops</t>
        </is>
      </c>
      <c r="B141" s="176" t="inlineStr">
        <is>
          <t>Merge duplicate API-Football odds re-test rows (54 and 135)</t>
        </is>
      </c>
      <c r="C141" s="268" t="inlineStr">
        <is>
          <t>Done</t>
        </is>
      </c>
      <c r="D141" s="178" t="inlineStr">
        <is>
          <t>Platform</t>
        </is>
      </c>
      <c r="E141" s="179" t="n">
        <v>46240</v>
      </c>
      <c r="F141" s="179" t="n">
        <v>46240</v>
      </c>
      <c r="G141" s="267" t="inlineStr">
        <is>
          <t>Done - row 54 folded into row 135; 135 is the single 21 Aug re-check</t>
        </is>
      </c>
      <c r="H141" s="176" t="n"/>
      <c r="I141" s="187" t="n"/>
      <c r="J141" s="176" t="n"/>
      <c r="K141" s="176" t="n"/>
      <c r="L141" s="176" t="n"/>
      <c r="M141" s="176" t="n"/>
      <c r="N141" s="176" t="n"/>
      <c r="O141" s="176" t="n"/>
      <c r="P141" s="176" t="n"/>
      <c r="Q141" s="176" t="n"/>
      <c r="R141">
        <f>IF($A141&lt;&gt;"",$A141,R140)</f>
        <v/>
      </c>
    </row>
    <row r="142">
      <c r="A142" s="181" t="inlineStr">
        <is>
          <t>E7 Mobile</t>
        </is>
      </c>
      <c r="B142" s="182" t="inlineStr">
        <is>
          <t>PostHog analytics (mobile only) - DEFERRED</t>
        </is>
      </c>
      <c r="C142" s="186" t="inlineStr">
        <is>
          <t>Planned</t>
        </is>
      </c>
      <c r="D142" s="183" t="inlineStr">
        <is>
          <t>Mobile</t>
        </is>
      </c>
      <c r="E142" s="184" t="n">
        <v>46273</v>
      </c>
      <c r="F142" s="184" t="n">
        <v>46277</v>
      </c>
      <c r="G142" s="269" t="inlineStr">
        <is>
          <t>Deliberately after launch: on a dev build it mostly measures us</t>
        </is>
      </c>
      <c r="H142" s="182" t="n"/>
      <c r="I142" s="182" t="n"/>
      <c r="J142" s="182" t="n"/>
      <c r="K142" s="182" t="n"/>
      <c r="L142" s="182" t="n"/>
      <c r="M142" s="182" t="n"/>
      <c r="N142" s="187" t="n"/>
      <c r="O142" s="182" t="n"/>
      <c r="P142" s="182" t="n"/>
      <c r="Q142" s="182" t="n"/>
      <c r="R142">
        <f>IF($A142&lt;&gt;"",$A142,R141)</f>
        <v/>
      </c>
    </row>
    <row r="143">
      <c r="A143" s="175" t="inlineStr">
        <is>
          <t>E7 Mobile</t>
        </is>
      </c>
      <c r="B143" s="176" t="inlineStr">
        <is>
          <t>Firebase config complete for BOTH platforms</t>
        </is>
      </c>
      <c r="C143" s="268" t="inlineStr">
        <is>
          <t>Done</t>
        </is>
      </c>
      <c r="D143" s="178" t="inlineStr">
        <is>
          <t>Mobile</t>
        </is>
      </c>
      <c r="E143" s="179" t="n">
        <v>46239</v>
      </c>
      <c r="F143" s="179" t="n">
        <v>46239</v>
      </c>
      <c r="G143" s="267" t="inlineStr">
        <is>
          <t>GoogleService-Info.plist added; BUNDLE_ID + project verified against Android</t>
        </is>
      </c>
      <c r="H143" s="176" t="n"/>
      <c r="I143" s="185" t="n"/>
      <c r="J143" s="176" t="n"/>
      <c r="K143" s="176" t="n"/>
      <c r="L143" s="176" t="n"/>
      <c r="M143" s="176" t="n"/>
      <c r="N143" s="176" t="n"/>
      <c r="O143" s="176" t="n"/>
      <c r="P143" s="176" t="n"/>
      <c r="Q143" s="176" t="n"/>
      <c r="R143">
        <f>IF($A143&lt;&gt;"",$A143,R142)</f>
        <v/>
      </c>
    </row>
    <row r="144">
      <c r="A144" s="192" t="inlineStr">
        <is>
          <t>E8 Model Quality</t>
        </is>
      </c>
      <c r="B144" s="193" t="inlineStr">
        <is>
          <t>xG collection COMPLETE across all 9 leagues</t>
        </is>
      </c>
      <c r="C144" s="270" t="inlineStr">
        <is>
          <t>Done</t>
        </is>
      </c>
      <c r="D144" s="194" t="inlineStr">
        <is>
          <t>Data</t>
        </is>
      </c>
      <c r="E144" s="195" t="n">
        <v>46240</v>
      </c>
      <c r="F144" s="195" t="n">
        <v>46240</v>
      </c>
      <c r="G144" s="271" t="inlineStr">
        <is>
          <t>10,698 of 15,746 fixtures (67.9%). Ligue 1 + Serie A resolved at 100%</t>
        </is>
      </c>
      <c r="H144" s="193" t="n"/>
      <c r="I144" s="196" t="n"/>
      <c r="J144" s="193" t="n"/>
      <c r="K144" s="193" t="n"/>
      <c r="L144" s="193" t="n"/>
      <c r="M144" s="193" t="n"/>
      <c r="N144" s="193" t="n"/>
      <c r="O144" s="193" t="n"/>
      <c r="P144" s="193" t="n"/>
      <c r="Q144" s="193" t="n"/>
      <c r="R144">
        <f>IF($A144&lt;&gt;"",$A144,R143)</f>
        <v/>
      </c>
    </row>
    <row r="145">
      <c r="A145" s="197" t="inlineStr">
        <is>
          <t>E8 Model Quality</t>
        </is>
      </c>
      <c r="B145" s="198" t="inlineStr">
        <is>
          <t>RETRAIN 9 leagues: best model to date</t>
        </is>
      </c>
      <c r="C145" s="199" t="inlineStr">
        <is>
          <t>Milestone</t>
        </is>
      </c>
      <c r="D145" s="200" t="inlineStr">
        <is>
          <t>ML</t>
        </is>
      </c>
      <c r="E145" s="201" t="n">
        <v>46240</v>
      </c>
      <c r="F145" s="201" t="n">
        <v>46240</v>
      </c>
      <c r="G145" s="272" t="inlineStr">
        <is>
          <t>acc 0.4916 (was .4837), RPS 0.2123 (was .2151), O/U z=+3.35 (was +2.96)</t>
        </is>
      </c>
      <c r="H145" s="198" t="n"/>
      <c r="I145" s="202" t="n"/>
      <c r="J145" s="198" t="n"/>
      <c r="K145" s="198" t="n"/>
      <c r="L145" s="198" t="n"/>
      <c r="M145" s="198" t="n"/>
      <c r="N145" s="198" t="n"/>
      <c r="O145" s="198" t="n"/>
      <c r="P145" s="198" t="n"/>
      <c r="Q145" s="198" t="n"/>
      <c r="R145">
        <f>IF($A145&lt;&gt;"",$A145,R144)</f>
        <v/>
      </c>
    </row>
    <row r="146">
      <c r="A146" s="192" t="inlineStr">
        <is>
          <t>E5 ML Tennis</t>
        </is>
      </c>
      <c r="B146" s="193" t="inlineStr">
        <is>
          <t>Fix: surface whitespace split Grass into two</t>
        </is>
      </c>
      <c r="C146" s="270" t="inlineStr">
        <is>
          <t>Done</t>
        </is>
      </c>
      <c r="D146" s="194" t="inlineStr">
        <is>
          <t>Backend</t>
        </is>
      </c>
      <c r="E146" s="195" t="n">
        <v>46240</v>
      </c>
      <c r="F146" s="195" t="n">
        <v>46240</v>
      </c>
      <c r="G146" s="271" t="inlineStr">
        <is>
          <t>190 of 2,295 grass matches excluded from live surface features. Silent</t>
        </is>
      </c>
      <c r="H146" s="193" t="n"/>
      <c r="I146" s="196" t="n"/>
      <c r="J146" s="193" t="n"/>
      <c r="K146" s="193" t="n"/>
      <c r="L146" s="193" t="n"/>
      <c r="M146" s="193" t="n"/>
      <c r="N146" s="193" t="n"/>
      <c r="O146" s="193" t="n"/>
      <c r="P146" s="193" t="n"/>
      <c r="Q146" s="193" t="n"/>
      <c r="R146">
        <f>IF($A146&lt;&gt;"",$A146,R145)</f>
        <v/>
      </c>
    </row>
    <row r="147">
      <c r="A147" s="197" t="inlineStr">
        <is>
          <t>E5 ML Tennis</t>
        </is>
      </c>
      <c r="B147" s="198" t="inlineStr">
        <is>
          <t>MEASURE viability of a total-games market</t>
        </is>
      </c>
      <c r="C147" s="270" t="inlineStr">
        <is>
          <t>Done</t>
        </is>
      </c>
      <c r="D147" s="200" t="inlineStr">
        <is>
          <t>ML</t>
        </is>
      </c>
      <c r="E147" s="201" t="n">
        <v>46240</v>
      </c>
      <c r="F147" s="201" t="n">
        <v>46240</v>
      </c>
      <c r="G147" s="272" t="inlineStr">
        <is>
          <t>Answer: NOT predictable from current features (r=+0.05). Ran BEFORE building</t>
        </is>
      </c>
      <c r="H147" s="198" t="n"/>
      <c r="I147" s="196" t="n"/>
      <c r="J147" s="198" t="n"/>
      <c r="K147" s="198" t="n"/>
      <c r="L147" s="198" t="n"/>
      <c r="M147" s="198" t="n"/>
      <c r="N147" s="198" t="n"/>
      <c r="O147" s="198" t="n"/>
      <c r="P147" s="198" t="n"/>
      <c r="Q147" s="198" t="n"/>
      <c r="R147">
        <f>IF($A147&lt;&gt;"",$A147,R146)</f>
        <v/>
      </c>
    </row>
    <row r="148">
      <c r="A148" s="192" t="inlineStr">
        <is>
          <t>E5 ML Tennis</t>
        </is>
      </c>
      <c r="B148" s="193" t="inlineStr">
        <is>
          <t>Viability notebook + dataset for team review</t>
        </is>
      </c>
      <c r="C148" s="270" t="inlineStr">
        <is>
          <t>Done</t>
        </is>
      </c>
      <c r="D148" s="194" t="inlineStr">
        <is>
          <t>ML</t>
        </is>
      </c>
      <c r="E148" s="195" t="n">
        <v>46240</v>
      </c>
      <c r="F148" s="195" t="n">
        <v>46240</v>
      </c>
      <c r="G148" s="271" t="inlineStr">
        <is>
          <t>ml/export/SportIQ_Tennis_Games_Viability.ipynb, executed, 17,273 matches</t>
        </is>
      </c>
      <c r="H148" s="193" t="n"/>
      <c r="I148" s="196" t="n"/>
      <c r="J148" s="193" t="n"/>
      <c r="K148" s="193" t="n"/>
      <c r="L148" s="193" t="n"/>
      <c r="M148" s="193" t="n"/>
      <c r="N148" s="193" t="n"/>
      <c r="O148" s="193" t="n"/>
      <c r="P148" s="193" t="n"/>
      <c r="Q148" s="193" t="n"/>
      <c r="R148">
        <f>IF($A148&lt;&gt;"",$A148,R147)</f>
        <v/>
      </c>
    </row>
    <row r="149" ht="21" customHeight="1" s="282">
      <c r="A149" s="197" t="inlineStr">
        <is>
          <t>E5 ML Tennis</t>
        </is>
      </c>
      <c r="B149" s="198" t="inlineStr">
        <is>
          <t>Total games v1: player rolling avg games features</t>
        </is>
      </c>
      <c r="C149" s="270" t="inlineStr">
        <is>
          <t>Done</t>
        </is>
      </c>
      <c r="D149" s="200" t="inlineStr">
        <is>
          <t>ML</t>
        </is>
      </c>
      <c r="E149" s="201" t="n">
        <v>46244</v>
      </c>
      <c r="F149" s="201" t="n">
        <v>46247</v>
      </c>
      <c r="G149" s="272" t="inlineStr">
        <is>
          <t>WON'T BUILD: superseded - GOAT arrived early so the gate ran with serve stats (a stronger feature set than this) and FAILED</t>
        </is>
      </c>
      <c r="H149" s="198" t="n"/>
      <c r="I149" s="198" t="n"/>
      <c r="J149" s="204" t="n"/>
      <c r="K149" s="198" t="n"/>
      <c r="L149" s="198" t="n"/>
      <c r="M149" s="198" t="n"/>
      <c r="N149" s="198" t="n"/>
      <c r="O149" s="198" t="n"/>
      <c r="P149" s="198" t="n"/>
      <c r="Q149" s="198" t="n"/>
      <c r="R149">
        <f>IF($A149&lt;&gt;"",$A149,R148)</f>
        <v/>
      </c>
    </row>
    <row r="150">
      <c r="A150" s="192" t="inlineStr">
        <is>
          <t>E5 ML Tennis</t>
        </is>
      </c>
      <c r="B150" s="193" t="inlineStr">
        <is>
          <t>Total games v1: surface + opponent-adjusted tendency</t>
        </is>
      </c>
      <c r="C150" s="270" t="inlineStr">
        <is>
          <t>Done</t>
        </is>
      </c>
      <c r="D150" s="194" t="inlineStr">
        <is>
          <t>ML</t>
        </is>
      </c>
      <c r="E150" s="195" t="n">
        <v>46247</v>
      </c>
      <c r="F150" s="195" t="n">
        <v>46249</v>
      </c>
      <c r="G150" s="271" t="inlineStr">
        <is>
          <t>WON'T BUILD: superseded by the failed gate</t>
        </is>
      </c>
      <c r="H150" s="193" t="n"/>
      <c r="I150" s="193" t="n"/>
      <c r="J150" s="204" t="n"/>
      <c r="K150" s="193" t="n"/>
      <c r="L150" s="193" t="n"/>
      <c r="M150" s="193" t="n"/>
      <c r="N150" s="193" t="n"/>
      <c r="O150" s="193" t="n"/>
      <c r="P150" s="193" t="n"/>
      <c r="Q150" s="193" t="n"/>
      <c r="R150">
        <f>IF($A150&lt;&gt;"",$A150,R149)</f>
        <v/>
      </c>
    </row>
    <row r="151">
      <c r="A151" s="197" t="inlineStr">
        <is>
          <t>E5 ML Tennis</t>
        </is>
      </c>
      <c r="B151" s="198" t="inlineStr">
        <is>
          <t>Total games v1: count model + validate vs base rate</t>
        </is>
      </c>
      <c r="C151" s="270" t="inlineStr">
        <is>
          <t>Done</t>
        </is>
      </c>
      <c r="D151" s="200" t="inlineStr">
        <is>
          <t>ML</t>
        </is>
      </c>
      <c r="E151" s="201" t="n">
        <v>46249</v>
      </c>
      <c r="F151" s="201" t="n">
        <v>46252</v>
      </c>
      <c r="G151" s="272" t="inlineStr">
        <is>
          <t>GATE RUN AND FAILED - see the decision row below. Market NOT built</t>
        </is>
      </c>
      <c r="H151" s="198" t="n"/>
      <c r="I151" s="198" t="n"/>
      <c r="J151" s="204" t="n"/>
      <c r="K151" s="204" t="n"/>
      <c r="L151" s="198" t="n"/>
      <c r="M151" s="198" t="n"/>
      <c r="N151" s="198" t="n"/>
      <c r="O151" s="198" t="n"/>
      <c r="P151" s="198" t="n"/>
      <c r="Q151" s="198" t="n"/>
      <c r="R151">
        <f>IF($A151&lt;&gt;"",$A151,R150)</f>
        <v/>
      </c>
    </row>
    <row r="152">
      <c r="A152" s="192" t="inlineStr">
        <is>
          <t>E5 ML Tennis</t>
        </is>
      </c>
      <c r="B152" s="193" t="inlineStr">
        <is>
          <t>Total games: wire market + odds (only if the gate passes)</t>
        </is>
      </c>
      <c r="C152" s="270" t="inlineStr">
        <is>
          <t>Done</t>
        </is>
      </c>
      <c r="D152" s="194" t="inlineStr">
        <is>
          <t>Backend</t>
        </is>
      </c>
      <c r="E152" s="195" t="n">
        <v>46252</v>
      </c>
      <c r="F152" s="195" t="n">
        <v>46254</v>
      </c>
      <c r="G152" s="271" t="inlineStr">
        <is>
          <t>WON'T BUILD: gate did not pass, so the market is not wired</t>
        </is>
      </c>
      <c r="H152" s="193" t="n"/>
      <c r="I152" s="193" t="n"/>
      <c r="J152" s="193" t="n"/>
      <c r="K152" s="204" t="n"/>
      <c r="L152" s="193" t="n"/>
      <c r="M152" s="193" t="n"/>
      <c r="N152" s="193" t="n"/>
      <c r="O152" s="193" t="n"/>
      <c r="P152" s="193" t="n"/>
      <c r="Q152" s="193" t="n"/>
      <c r="R152">
        <f>IF($A152&lt;&gt;"",$A152,R151)</f>
        <v/>
      </c>
    </row>
    <row r="153">
      <c r="A153" s="197" t="inlineStr">
        <is>
          <t>E5 ML Tennis</t>
        </is>
      </c>
      <c r="B153" s="198" t="inlineStr">
        <is>
          <t>Serve-stat features - BLOCKED on GOAT tier</t>
        </is>
      </c>
      <c r="C153" s="270" t="inlineStr">
        <is>
          <t>Done</t>
        </is>
      </c>
      <c r="D153" s="200" t="inlineStr">
        <is>
          <t>Data</t>
        </is>
      </c>
      <c r="E153" s="201" t="n">
        <v>46254</v>
      </c>
      <c r="F153" s="201" t="n">
        <v>46254</v>
      </c>
      <c r="G153" s="272" t="inlineStr">
        <is>
          <t>UNBLOCKED - GOAT active. /match_stats collected: 138,219 rows, 64,266 matches, 0% nulls</t>
        </is>
      </c>
      <c r="H153" s="198" t="n"/>
      <c r="I153" s="198" t="n"/>
      <c r="J153" s="198" t="n"/>
      <c r="K153" s="205" t="n"/>
      <c r="L153" s="198" t="n"/>
      <c r="M153" s="198" t="n"/>
      <c r="N153" s="198" t="n"/>
      <c r="O153" s="198" t="n"/>
      <c r="P153" s="198" t="n"/>
      <c r="Q153" s="198" t="n"/>
      <c r="R153">
        <f>IF($A153&lt;&gt;"",$A153,R152)</f>
        <v/>
      </c>
    </row>
    <row r="154" ht="28.8" customHeight="1" s="282">
      <c r="A154" t="inlineStr">
        <is>
          <t>E5 ML Tennis</t>
        </is>
      </c>
      <c r="B154" t="inlineStr">
        <is>
          <t>BallDontLie GOAT tier active (ATP)</t>
        </is>
      </c>
      <c r="C154" t="inlineStr">
        <is>
          <t>Milestone</t>
        </is>
      </c>
      <c r="D154" t="inlineStr">
        <is>
          <t>Data</t>
        </is>
      </c>
      <c r="E154" s="210" t="n">
        <v>46243</v>
      </c>
      <c r="F154" s="210" t="n">
        <v>46243</v>
      </c>
      <c r="G154" s="215" t="inlineStr">
        <is>
          <t>Unlocks /match_stats, /odds, /head_to_head, /player_career_stats. Rate limit 60 -&gt; 600 req/min. WTA still 401 - separate subscription</t>
        </is>
      </c>
      <c r="I154" t="inlineStr">
        <is>
          <t>X</t>
        </is>
      </c>
      <c r="R154">
        <f>IF($A154&lt;&gt;"",$A154,R153)</f>
        <v/>
      </c>
    </row>
    <row r="155" ht="28.8" customHeight="1" s="282">
      <c r="A155" t="inlineStr">
        <is>
          <t>E5 ML Tennis</t>
        </is>
      </c>
      <c r="B155" t="inlineStr">
        <is>
          <t>ATP serve-stat collection</t>
        </is>
      </c>
      <c r="C155" s="273" t="inlineStr">
        <is>
          <t>Done</t>
        </is>
      </c>
      <c r="D155" t="inlineStr">
        <is>
          <t>Data</t>
        </is>
      </c>
      <c r="E155" s="210" t="n">
        <v>46243</v>
      </c>
      <c r="F155" s="210" t="n">
        <v>46243</v>
      </c>
      <c r="G155" s="215" t="inlineStr">
        <is>
          <t>138,219 rows / 64,266 matches / 2007-2026; 17,434 in the 2021-25 window at 0% nulls. Two independent passes agree exactly</t>
        </is>
      </c>
      <c r="I155" t="inlineStr">
        <is>
          <t>X</t>
        </is>
      </c>
      <c r="R155">
        <f>IF($A155&lt;&gt;"",$A155,R154)</f>
        <v/>
      </c>
    </row>
    <row r="156" ht="57.6" customHeight="1" s="282">
      <c r="A156" t="inlineStr">
        <is>
          <t>E5 ML Tennis</t>
        </is>
      </c>
      <c r="B156" t="inlineStr">
        <is>
          <t>DECISION: total games NOT built (gate failed)</t>
        </is>
      </c>
      <c r="C156" s="273" t="inlineStr">
        <is>
          <t>Done</t>
        </is>
      </c>
      <c r="D156" t="inlineStr">
        <is>
          <t>ML</t>
        </is>
      </c>
      <c r="E156" s="210" t="n">
        <v>46243</v>
      </c>
      <c r="F156" s="210" t="n">
        <v>46243</v>
      </c>
      <c r="G156" s="215" t="inlineStr">
        <is>
          <t>Serve features are 2.5x stronger than anything prior and still no edge: at real lines 21.5 -0.0004, 22.5 +0.0040, 23.5 -0.0274. Predictions compress to the mean (sd 2.12 vs reality 7.87). ~1 week of build avoided</t>
        </is>
      </c>
      <c r="I156" t="inlineStr">
        <is>
          <t>X</t>
        </is>
      </c>
      <c r="R156">
        <f>IF($A156&lt;&gt;"",$A156,R155)</f>
        <v/>
      </c>
    </row>
    <row r="157" ht="43.2" customHeight="1" s="282">
      <c r="A157" t="inlineStr">
        <is>
          <t>E5 ML Tennis</t>
        </is>
      </c>
      <c r="B157" t="inlineStr">
        <is>
          <t>Tennis odds: BallDontLie moneyline</t>
        </is>
      </c>
      <c r="C157" s="273" t="inlineStr">
        <is>
          <t>Done</t>
        </is>
      </c>
      <c r="D157" t="inlineStr">
        <is>
          <t>Data</t>
        </is>
      </c>
      <c r="E157" s="210" t="n">
        <v>46243</v>
      </c>
      <c r="F157" s="210" t="n">
        <v>46243</v>
      </c>
      <c r="G157" s="215" t="inlineStr">
        <is>
          <t>DraftKings + FanDuel. Direct match_id join. Caught a real bug: /odds returns FINISHED matches (70 of 94), whose last in-play price encodes the result</t>
        </is>
      </c>
      <c r="I157" t="inlineStr">
        <is>
          <t>X</t>
        </is>
      </c>
      <c r="R157">
        <f>IF($A157&lt;&gt;"",$A157,R156)</f>
        <v/>
      </c>
    </row>
    <row r="158" ht="43.2" customHeight="1" s="282">
      <c r="A158" t="inlineStr">
        <is>
          <t>E9 Data Ops</t>
        </is>
      </c>
      <c r="B158" t="inlineStr">
        <is>
          <t>Hourly tennis odds refresh (quota-free)</t>
        </is>
      </c>
      <c r="C158" s="273" t="inlineStr">
        <is>
          <t>Done</t>
        </is>
      </c>
      <c r="D158" t="inlineStr">
        <is>
          <t>Data</t>
        </is>
      </c>
      <c r="E158" s="210" t="n">
        <v>46243</v>
      </c>
      <c r="F158" s="210" t="n">
        <v>46243</v>
      </c>
      <c r="G158" s="215" t="inlineStr">
        <is>
          <t>Separate job on BallDontLie only - GOAT is 600/min so it costs nothing against TheRundown's monthly cap. Fixes prices missing on tennis cards</t>
        </is>
      </c>
      <c r="I158" t="inlineStr">
        <is>
          <t>X</t>
        </is>
      </c>
      <c r="R158">
        <f>IF($A158&lt;&gt;"",$A158,R157)</f>
        <v/>
      </c>
    </row>
    <row r="159" ht="28.8" customHeight="1" s="282">
      <c r="A159" t="inlineStr">
        <is>
          <t>E8 Model Quality</t>
        </is>
      </c>
      <c r="B159" t="inlineStr">
        <is>
          <t>Per-sport base rates for the pick gate</t>
        </is>
      </c>
      <c r="C159" s="273" t="inlineStr">
        <is>
          <t>Done</t>
        </is>
      </c>
      <c r="D159" t="inlineStr">
        <is>
          <t>ML</t>
        </is>
      </c>
      <c r="E159" s="210" t="n">
        <v>46243</v>
      </c>
      <c r="F159" s="210" t="n">
        <v>46243</v>
      </c>
      <c r="G159" s="215" t="inlineStr">
        <is>
          <t>Tennis h2h measured 0.6217 over 17,434 matches vs football's 0.4582. Wrong table admitted picks saying less than nothing</t>
        </is>
      </c>
      <c r="I159" t="inlineStr">
        <is>
          <t>X</t>
        </is>
      </c>
      <c r="R159">
        <f>IF($A159&lt;&gt;"",$A159,R158)</f>
        <v/>
      </c>
    </row>
    <row r="160" ht="28.8" customHeight="1" s="282">
      <c r="A160" t="inlineStr">
        <is>
          <t>E10 Deploy</t>
        </is>
      </c>
      <c r="B160" t="inlineStr">
        <is>
          <t>T-60 reminder armed on watchlist save</t>
        </is>
      </c>
      <c r="C160" s="273" t="inlineStr">
        <is>
          <t>Done</t>
        </is>
      </c>
      <c r="D160" t="inlineStr">
        <is>
          <t>Backend</t>
        </is>
      </c>
      <c r="E160" s="210" t="n">
        <v>46243</v>
      </c>
      <c r="F160" s="210" t="n">
        <v>46243</v>
      </c>
      <c r="G160" s="215" t="inlineStr">
        <is>
          <t>Daily 02:00 sweep alone missed anything saved same-day. Shared scheduler keeps the estimated-kickoff and status guards</t>
        </is>
      </c>
      <c r="I160" t="inlineStr">
        <is>
          <t>X</t>
        </is>
      </c>
      <c r="R160">
        <f>IF($A160&lt;&gt;"",$A160,R159)</f>
        <v/>
      </c>
    </row>
    <row r="161" ht="43.2" customHeight="1" s="282">
      <c r="A161" t="inlineStr">
        <is>
          <t>E8 Model Quality</t>
        </is>
      </c>
      <c r="B161" t="inlineStr">
        <is>
          <t>Corners: blend model toward rolling history (0.75)</t>
        </is>
      </c>
      <c r="C161" s="273" t="inlineStr">
        <is>
          <t>Done</t>
        </is>
      </c>
      <c r="D161" t="inlineStr">
        <is>
          <t>ML</t>
        </is>
      </c>
      <c r="E161" s="210" t="n">
        <v>46243</v>
      </c>
      <c r="F161" s="210" t="n">
        <v>46243</v>
      </c>
      <c r="G161" s="215" t="inlineStr">
        <is>
          <t>Gated picks 52.1% -&gt; 61.7% at 10.5 on 1,277 held-out fixtures. Attack-vs-defence over 20 matches; H2H excluded (measured worst). LIMIT: only ~27% of live fixtures have enough history yet</t>
        </is>
      </c>
      <c r="I161" t="inlineStr">
        <is>
          <t>X</t>
        </is>
      </c>
      <c r="R161">
        <f>IF($A161&lt;&gt;"",$A161,R160)</f>
        <v/>
      </c>
    </row>
    <row r="162" ht="43.2" customHeight="1" s="282">
      <c r="A162" t="inlineStr">
        <is>
          <t>E8 Model Quality</t>
        </is>
      </c>
      <c r="B162" t="inlineStr">
        <is>
          <t>DECISION: H2H penalty rejected</t>
        </is>
      </c>
      <c r="C162" s="273" t="inlineStr">
        <is>
          <t>Done</t>
        </is>
      </c>
      <c r="D162" t="inlineStr">
        <is>
          <t>ML</t>
        </is>
      </c>
      <c r="E162" s="210" t="n">
        <v>46243</v>
      </c>
      <c r="F162" s="210" t="n">
        <v>46243</v>
      </c>
      <c r="G162" s="215" t="inlineStr">
        <is>
          <t>WON'T BUILD. H2H is worse than the league mean in every market - corners MAE 3.26 vs 2.75, goals 1.52 vs 1.33, 1X2 Brier 0.36 vs 0.2476 (corr -0.048). Every window tested, shorter is worse</t>
        </is>
      </c>
      <c r="I162" t="inlineStr">
        <is>
          <t>X</t>
        </is>
      </c>
      <c r="R162">
        <f>IF($A162&lt;&gt;"",$A162,R161)</f>
        <v/>
      </c>
    </row>
    <row r="163" ht="43.2" customHeight="1" s="282">
      <c r="A163" t="inlineStr">
        <is>
          <t>E8 Model Quality</t>
        </is>
      </c>
      <c r="B163" t="inlineStr">
        <is>
          <t>DECISION: completeness gate rejected</t>
        </is>
      </c>
      <c r="C163" s="273" t="inlineStr">
        <is>
          <t>Done</t>
        </is>
      </c>
      <c r="D163" t="inlineStr">
        <is>
          <t>ML</t>
        </is>
      </c>
      <c r="E163" s="210" t="n">
        <v>46243</v>
      </c>
      <c r="F163" s="210" t="n">
        <v>46243</v>
      </c>
      <c r="G163" s="215" t="inlineStr">
        <is>
          <t>WON'T BUILD. corr(completeness, correct) = +0.072 on n=84, SE 0.111 - not distinguishable from zero, and buckets non-monotonic. A 0.50 threshold would drop 85% of the feed for no measured gain</t>
        </is>
      </c>
      <c r="I163" t="inlineStr">
        <is>
          <t>X</t>
        </is>
      </c>
      <c r="R163">
        <f>IF($A163&lt;&gt;"",$A163,R162)</f>
        <v/>
      </c>
    </row>
    <row r="164" ht="28.8" customHeight="1" s="282">
      <c r="A164" t="inlineStr">
        <is>
          <t>E11 Ops Resilience</t>
        </is>
      </c>
      <c r="B164" t="inlineStr">
        <is>
          <t>Stale loopback server resolved (reboot)</t>
        </is>
      </c>
      <c r="C164" s="273" t="inlineStr">
        <is>
          <t>Done</t>
        </is>
      </c>
      <c r="D164" t="inlineStr">
        <is>
          <t>Ops</t>
        </is>
      </c>
      <c r="E164" s="210" t="n">
        <v>46243</v>
      </c>
      <c r="F164" s="210" t="n">
        <v>46243</v>
      </c>
      <c r="G164" s="215" t="inlineStr">
        <is>
          <t>127.0.0.1:8000 and the LAN IP served DIFFERENT data for days - an ownerless socket. Made a working fix look broken. Both now agree</t>
        </is>
      </c>
      <c r="I164" t="inlineStr">
        <is>
          <t>X</t>
        </is>
      </c>
      <c r="R164">
        <f>IF($A164&lt;&gt;"",$A164,R163)</f>
        <v/>
      </c>
    </row>
    <row r="165" ht="43.2" customHeight="1" s="282">
      <c r="A165" t="inlineStr">
        <is>
          <t>E9 Data Ops</t>
        </is>
      </c>
      <c r="B165" t="inlineStr">
        <is>
          <t>Collect lineups: MLS + 4 European leagues</t>
        </is>
      </c>
      <c r="C165" t="inlineStr">
        <is>
          <t>Planned</t>
        </is>
      </c>
      <c r="D165" t="inlineStr">
        <is>
          <t>Data</t>
        </is>
      </c>
      <c r="E165" s="210" t="n">
        <v>46243</v>
      </c>
      <c r="F165" s="210" t="n">
        <v>46243</v>
      </c>
      <c r="G165" s="215" t="inlineStr">
        <is>
          <t>MLS has 5,088 game-log rows but ZERO lineups; bundesliga/laliga/ligue1/seriea likewise. ~1 call per fixture, ~9.5k total - needs staging across days</t>
        </is>
      </c>
      <c r="I165" t="inlineStr">
        <is>
          <t>X</t>
        </is>
      </c>
      <c r="R165">
        <f>IF($A165&lt;&gt;"",$A165,R164)</f>
        <v/>
      </c>
    </row>
    <row r="166" ht="28.8" customHeight="1" s="282">
      <c r="A166" t="inlineStr">
        <is>
          <t>E9 Data Ops</t>
        </is>
      </c>
      <c r="B166" t="inlineStr">
        <is>
          <t>Collect corners: 4 European leagues</t>
        </is>
      </c>
      <c r="C166" t="inlineStr">
        <is>
          <t>Planned</t>
        </is>
      </c>
      <c r="D166" t="inlineStr">
        <is>
          <t>Data</t>
        </is>
      </c>
      <c r="E166" s="210" t="n">
        <v>46243</v>
      </c>
      <c r="F166" s="210" t="n">
        <v>46243</v>
      </c>
      <c r="G166" s="215" t="inlineStr">
        <is>
          <t>bundesliga/laliga/ligue1/seriea have no corners. ~7k calls. Was deferred as no-gain; the 0.75 blend now makes corners load-bearing</t>
        </is>
      </c>
      <c r="I166" t="inlineStr">
        <is>
          <t>X</t>
        </is>
      </c>
      <c r="R166">
        <f>IF($A166&lt;&gt;"",$A166,R165)</f>
        <v/>
      </c>
    </row>
    <row r="167" ht="28.8" customHeight="1" s="282">
      <c r="A167" t="inlineStr">
        <is>
          <t>E9 Data Ops</t>
        </is>
      </c>
      <c r="B167" t="inlineStr">
        <is>
          <t>NEXT: lineups for bundesliga/laliga/ligue1/seriea</t>
        </is>
      </c>
      <c r="C167" t="inlineStr">
        <is>
          <t>Planned</t>
        </is>
      </c>
      <c r="D167" t="inlineStr">
        <is>
          <t>Data</t>
        </is>
      </c>
      <c r="E167" s="210" t="n">
        <v>46243</v>
      </c>
      <c r="G167" s="215" t="inlineStr">
        <is>
          <t>~7,028 calls, needs a full day's quota. Last gap in the 9-league pool. MUST land before the 29 Aug expiry</t>
        </is>
      </c>
      <c r="R167">
        <f>IF($A167&lt;&gt;"",$A167,R166)</f>
        <v/>
      </c>
    </row>
    <row r="168" ht="28.8" customHeight="1" s="282">
      <c r="A168" t="inlineStr">
        <is>
          <t>E8 Model Quality</t>
        </is>
      </c>
      <c r="B168" t="inlineStr">
        <is>
          <t>NEXT: retrain on the complete 9-league pool</t>
        </is>
      </c>
      <c r="C168" t="inlineStr">
        <is>
          <t>Planned</t>
        </is>
      </c>
      <c r="D168" t="inlineStr">
        <is>
          <t>ML</t>
        </is>
      </c>
      <c r="E168" s="210" t="n">
        <v>46243</v>
      </c>
      <c r="G168" s="215" t="inlineStr">
        <is>
          <t>First time all 9 have game log + xG + corners + lineups. Report 1X2, O/U trend z, corners MAE straight</t>
        </is>
      </c>
      <c r="R168">
        <f>IF($A168&lt;&gt;"",$A168,R167)</f>
        <v/>
      </c>
    </row>
    <row r="169" ht="43.2" customHeight="1" s="282">
      <c r="A169" t="inlineStr">
        <is>
          <t>E8 Model Quality</t>
        </is>
      </c>
      <c r="B169" t="inlineStr">
        <is>
          <t>NEXT: re-fit the corners blend lambda after retrain</t>
        </is>
      </c>
      <c r="C169" t="inlineStr">
        <is>
          <t>Planned</t>
        </is>
      </c>
      <c r="D169" t="inlineStr">
        <is>
          <t>ML</t>
        </is>
      </c>
      <c r="E169" s="210" t="n">
        <v>46243</v>
      </c>
      <c r="G169" s="215" t="inlineStr">
        <is>
          <t>0.75 was fitted against the CURRENT corners model. A better model deserves different weight - easy to forget and would leave a stale constant in production</t>
        </is>
      </c>
      <c r="R169">
        <f>IF($A169&lt;&gt;"",$A169,R168)</f>
        <v/>
      </c>
    </row>
    <row r="170" ht="28.8" customHeight="1" s="282">
      <c r="A170" t="inlineStr">
        <is>
          <t>E8 Model Quality</t>
        </is>
      </c>
      <c r="B170" t="inlineStr">
        <is>
          <t>Closing odds capture + CLV metric</t>
        </is>
      </c>
      <c r="C170" t="inlineStr">
        <is>
          <t>Planned</t>
        </is>
      </c>
      <c r="D170" t="inlineStr">
        <is>
          <t>ML</t>
        </is>
      </c>
      <c r="E170" s="210" t="n">
        <v>46243</v>
      </c>
      <c r="G170" s="215" t="inlineStr">
        <is>
          <t>HIGHEST VALUE. 59 of 8,718 rows populated. Without CLV we cannot tell whether picks beat the market or just backed short favourites</t>
        </is>
      </c>
      <c r="R170">
        <f>IF($A170&lt;&gt;"",$A170,R169)</f>
        <v/>
      </c>
    </row>
    <row r="171" ht="28.8" customHeight="1" s="282">
      <c r="A171" t="inlineStr">
        <is>
          <t>E8 Model Quality</t>
        </is>
      </c>
      <c r="B171" t="inlineStr">
        <is>
          <t>Multiple form windows (3 / 5 / 10 / season)</t>
        </is>
      </c>
      <c r="C171" t="inlineStr">
        <is>
          <t>Planned</t>
        </is>
      </c>
      <c r="D171" t="inlineStr">
        <is>
          <t>ML</t>
        </is>
      </c>
      <c r="E171" s="210" t="n">
        <v>46243</v>
      </c>
      <c r="G171" s="215" t="inlineStr">
        <is>
          <t>Currently last-5 only. The corners measurement showed longer windows improve monotonically (3&lt;5&lt;10&lt;20). No new data needed</t>
        </is>
      </c>
      <c r="R171">
        <f>IF($A171&lt;&gt;"",$A171,R170)</f>
        <v/>
      </c>
    </row>
    <row r="172" ht="28.8" customHeight="1" s="282">
      <c r="A172" t="inlineStr">
        <is>
          <t>E8 Model Quality</t>
        </is>
      </c>
      <c r="B172" t="inlineStr">
        <is>
          <t>Wire shots / shots-on-target / possession as features</t>
        </is>
      </c>
      <c r="C172" t="inlineStr">
        <is>
          <t>Planned</t>
        </is>
      </c>
      <c r="D172" t="inlineStr">
        <is>
          <t>ML</t>
        </is>
      </c>
      <c r="E172" s="210" t="n">
        <v>46243</v>
      </c>
      <c r="G172" s="215" t="inlineStr">
        <is>
          <t>ALREADY FETCHED for the H2H panel, just not model inputs. Shots predict goals better than goals do at small samples</t>
        </is>
      </c>
      <c r="R172">
        <f>IF($A172&lt;&gt;"",$A172,R171)</f>
        <v/>
      </c>
    </row>
    <row r="173" ht="28.8" customHeight="1" s="282">
      <c r="A173" t="inlineStr">
        <is>
          <t>E6 Picks</t>
        </is>
      </c>
      <c r="B173" t="inlineStr">
        <is>
          <t>BTTS market</t>
        </is>
      </c>
      <c r="C173" t="inlineStr">
        <is>
          <t>Planned</t>
        </is>
      </c>
      <c r="D173" t="inlineStr">
        <is>
          <t>Backend</t>
        </is>
      </c>
      <c r="E173" s="210" t="n">
        <v>46243</v>
      </c>
      <c r="G173" s="215" t="inlineStr">
        <is>
          <t>Only named market from the top-30 doc we lack. (1-e^-xg_home)(1-e^-xg_away) on the existing Poisson assumption - no new data</t>
        </is>
      </c>
      <c r="R173">
        <f>IF($A173&lt;&gt;"",$A173,R172)</f>
        <v/>
      </c>
    </row>
    <row r="174" ht="57.6" customHeight="1" s="282">
      <c r="A174" t="inlineStr">
        <is>
          <t>E9 Data Ops</t>
        </is>
      </c>
      <c r="B174" t="inlineStr">
        <is>
          <t>Probe coverage.odds for the top-30 doc's Tier-1 ten</t>
        </is>
      </c>
      <c r="C174" s="273" t="inlineStr">
        <is>
          <t>Done</t>
        </is>
      </c>
      <c r="D174" t="inlineStr">
        <is>
          <t>Data</t>
        </is>
      </c>
      <c r="E174" s="210" t="n">
        <v>46243</v>
      </c>
      <c r="G174" s="215" t="inlineStr">
        <is>
          <t>RESULT: 9 of 10 have odds. Allsvenskan 113, Eliteserien 103, Veikkausliiga 244, Ekstraklasa 106, Denmark Superliga 119, Liga I 283, J1 League 98, Czech 345, Austrian Bundesliga 218. REJECTED: A-League (188) odds=False in all 6 seasons. Cost ~15 calls</t>
        </is>
      </c>
      <c r="R174">
        <f>IF($A174&lt;&gt;"",$A174,R173)</f>
        <v/>
      </c>
    </row>
    <row r="175" ht="28.8" customHeight="1" s="282">
      <c r="A175" t="inlineStr">
        <is>
          <t>E9 Data Ops</t>
        </is>
      </c>
      <c r="B175" t="inlineStr">
        <is>
          <t>Game logs for whichever Tier-1 leagues have odds</t>
        </is>
      </c>
      <c r="C175" t="inlineStr">
        <is>
          <t>Planned</t>
        </is>
      </c>
      <c r="D175" t="inlineStr">
        <is>
          <t>Data</t>
        </is>
      </c>
      <c r="E175" s="210" t="n">
        <v>46243</v>
      </c>
      <c r="G175" s="215" t="inlineStr">
        <is>
          <t>~5 calls per league. 1X2 + goals + BTTS need ONLY the game log; corners/lineups are the expensive per-fixture extras</t>
        </is>
      </c>
      <c r="R175">
        <f>IF($A175&lt;&gt;"",$A175,R174)</f>
        <v/>
      </c>
    </row>
    <row r="176" ht="100.8" customHeight="1" s="282">
      <c r="A176" t="inlineStr">
        <is>
          <t>E10 Deploy</t>
        </is>
      </c>
      <c r="B176" t="inlineStr">
        <is>
          <t>Check Expo push RECEIPTS, not just tickets</t>
        </is>
      </c>
      <c r="C176" s="273" t="inlineStr">
        <is>
          <t>Done</t>
        </is>
      </c>
      <c r="D176" t="inlineStr">
        <is>
          <t>Backend</t>
        </is>
      </c>
      <c r="E176" s="210" t="n">
        <v>46243</v>
      </c>
      <c r="F176" s="210" t="n">
        <v>46244</v>
      </c>
      <c r="G176" s="215" t="inlineStr">
        <is>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is>
      </c>
      <c r="R176">
        <f>IF($A176&lt;&gt;"",$A176,R175)</f>
        <v/>
      </c>
    </row>
    <row r="177" ht="28.8" customHeight="1" s="282">
      <c r="A177" t="inlineStr">
        <is>
          <t>E11 Ops Resilience</t>
        </is>
      </c>
      <c r="B177" t="inlineStr">
        <is>
          <t>Purge 141 fake push tokens from the dev DB</t>
        </is>
      </c>
      <c r="C177" t="inlineStr">
        <is>
          <t>Planned</t>
        </is>
      </c>
      <c r="D177" t="inlineStr">
        <is>
          <t>Ops</t>
        </is>
      </c>
      <c r="E177" s="210" t="n">
        <v>46243</v>
      </c>
      <c r="G177" s="215" t="inlineStr">
        <is>
          <t>140 share ExponentPushToken[abcDEF123] from the test suite. A broad notify run would fire 140 doomed sends</t>
        </is>
      </c>
      <c r="R177">
        <f>IF($A177&lt;&gt;"",$A177,R176)</f>
        <v/>
      </c>
    </row>
    <row r="178" ht="28.8" customHeight="1" s="282">
      <c r="A178" t="inlineStr">
        <is>
          <t>E11 Ops Resilience</t>
        </is>
      </c>
      <c r="B178" t="inlineStr">
        <is>
          <t>Dedicated test database</t>
        </is>
      </c>
      <c r="C178" t="inlineStr">
        <is>
          <t>Planned</t>
        </is>
      </c>
      <c r="D178" t="inlineStr">
        <is>
          <t>Ops</t>
        </is>
      </c>
      <c r="E178" s="210" t="n">
        <v>46243</v>
      </c>
      <c r="G178" s="215" t="inlineStr">
        <is>
          <t>Suite writes to dev; fake sports reached the app's own dropdown once already</t>
        </is>
      </c>
      <c r="R178">
        <f>IF($A178&lt;&gt;"",$A178,R177)</f>
        <v/>
      </c>
    </row>
    <row r="179" ht="86.40000000000001" customHeight="1" s="282">
      <c r="A179" t="inlineStr">
        <is>
          <t>E11 Ops Resilience</t>
        </is>
      </c>
      <c r="B179" t="inlineStr">
        <is>
          <t>Extend ruff/black to ml/</t>
        </is>
      </c>
      <c r="C179" s="273" t="inlineStr">
        <is>
          <t>Done</t>
        </is>
      </c>
      <c r="D179" t="inlineStr">
        <is>
          <t>Ops</t>
        </is>
      </c>
      <c r="E179" s="210" t="n">
        <v>46243</v>
      </c>
      <c r="F179" s="210" t="n">
        <v>46244</v>
      </c>
      <c r="G179" s="215" t="inlineStr">
        <is>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is>
      </c>
      <c r="R179">
        <f>IF($A179&lt;&gt;"",$A179,R178)</f>
        <v/>
      </c>
    </row>
    <row r="180" ht="43.2" customHeight="1" s="282">
      <c r="A180" t="inlineStr">
        <is>
          <t>E9 Data Ops</t>
        </is>
      </c>
      <c r="B180" t="inlineStr">
        <is>
          <t>DECIDE by 22 Sep: renew API-Football Ultra?</t>
        </is>
      </c>
      <c r="C180" t="inlineStr">
        <is>
          <t>Milestone</t>
        </is>
      </c>
      <c r="D180" t="inlineStr">
        <is>
          <t>Data</t>
        </is>
      </c>
      <c r="E180" s="210" t="n">
        <v>46243</v>
      </c>
      <c r="G180" s="215" t="inlineStr">
        <is>
          <t>Ends 2026-09-29, NOT 08-29 as previously recorded - confirmed live via GET /status. Ultra is 75,000/day; current burn is ~24k on a heavy collection day, so the allowance is not the constraint, the end date is</t>
        </is>
      </c>
      <c r="R180">
        <f>IF($A180&lt;&gt;"",$A180,R179)</f>
        <v/>
      </c>
    </row>
    <row r="181" ht="28.8" customHeight="1" s="282">
      <c r="A181" t="inlineStr">
        <is>
          <t>E9 Data Ops</t>
        </is>
      </c>
      <c r="B181" t="inlineStr">
        <is>
          <t>Game logs for the 9 odds-covered Tier-1 leagues</t>
        </is>
      </c>
      <c r="C181" s="273" t="inlineStr">
        <is>
          <t>Done</t>
        </is>
      </c>
      <c r="D181" t="inlineStr">
        <is>
          <t>Data</t>
        </is>
      </c>
      <c r="E181" s="210" t="n">
        <v>46244</v>
      </c>
      <c r="F181" s="210" t="n">
        <v>46243</v>
      </c>
      <c r="G181" s="215" t="inlineStr">
        <is>
          <t>DONE: 22,972 game-log rows / 11,486 fixtures, 9 leagues x 2021-2025, plus real xG at 99-100% resolution per league</t>
        </is>
      </c>
      <c r="R181">
        <f>IF($A181&lt;&gt;"",$A181,R180)</f>
        <v/>
      </c>
    </row>
    <row r="182" ht="72" customHeight="1" s="282">
      <c r="A182" t="inlineStr">
        <is>
          <t>E4 ML Football</t>
        </is>
      </c>
      <c r="B182" t="inlineStr">
        <is>
          <t>Pooled retrain across 18 leagues</t>
        </is>
      </c>
      <c r="C182" s="273" t="inlineStr">
        <is>
          <t>Done</t>
        </is>
      </c>
      <c r="D182" t="inlineStr">
        <is>
          <t>ML</t>
        </is>
      </c>
      <c r="E182" s="210" t="n">
        <v>46243</v>
      </c>
      <c r="F182" s="210" t="n">
        <v>46243</v>
      </c>
      <c r="G182" s="215" t="inlineStr">
        <is>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is>
      </c>
      <c r="I182" t="inlineStr">
        <is>
          <t>|</t>
        </is>
      </c>
      <c r="R182">
        <f>IF($A182&lt;&gt;"",$A182,R181)</f>
        <v/>
      </c>
    </row>
    <row r="183" ht="57.6" customHeight="1" s="282">
      <c r="B183" t="inlineStr">
        <is>
          <t>Corners history for the 9 Tier-1 leagues</t>
        </is>
      </c>
      <c r="C183" s="273" t="inlineStr">
        <is>
          <t>Done</t>
        </is>
      </c>
      <c r="D183" t="inlineStr">
        <is>
          <t>Data</t>
        </is>
      </c>
      <c r="E183" s="210" t="n">
        <v>46244</v>
      </c>
      <c r="F183" s="210" t="n">
        <v>46244</v>
      </c>
      <c r="G183" s="215" t="inlineStr">
        <is>
          <t>DONE: 14,390 rows / 7,195 fixtures, 35-71% coverage per league. Sampled 6 fixtures/league first to confirm coverage before spending ~11,486 calls</t>
        </is>
      </c>
      <c r="J183" t="inlineStr">
        <is>
          <t>|</t>
        </is>
      </c>
      <c r="R183">
        <f>IF($A183&lt;&gt;"",$A183,R182)</f>
        <v/>
      </c>
    </row>
    <row r="184" ht="72" customHeight="1" s="282">
      <c r="A184" t="inlineStr">
        <is>
          <t>E8 Model Quality</t>
        </is>
      </c>
      <c r="B184" t="inlineStr">
        <is>
          <t>Completeness floor on best_pick</t>
        </is>
      </c>
      <c r="C184" s="273" t="inlineStr">
        <is>
          <t>Done</t>
        </is>
      </c>
      <c r="D184" t="inlineStr">
        <is>
          <t>Backend</t>
        </is>
      </c>
      <c r="E184" s="210" t="n">
        <v>46244</v>
      </c>
      <c r="F184" s="210" t="n">
        <v>46244</v>
      </c>
      <c r="G184" s="215" t="inlineStr">
        <is>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is>
      </c>
      <c r="J184" t="inlineStr">
        <is>
          <t>|</t>
        </is>
      </c>
      <c r="R184">
        <f>IF($A184&lt;&gt;"",$A184,R183)</f>
        <v/>
      </c>
    </row>
    <row r="185" ht="43.2" customHeight="1" s="282">
      <c r="A185" t="inlineStr">
        <is>
          <t>E11 Ops Resilience</t>
        </is>
      </c>
      <c r="B185" t="inlineStr">
        <is>
          <t>Duplicate uvicorn/celery processes cleared</t>
        </is>
      </c>
      <c r="C185" s="273" t="inlineStr">
        <is>
          <t>Done</t>
        </is>
      </c>
      <c r="D185" t="inlineStr">
        <is>
          <t>Ops</t>
        </is>
      </c>
      <c r="E185" s="210" t="n">
        <v>46244</v>
      </c>
      <c r="F185" s="210" t="n">
        <v>46244</v>
      </c>
      <c r="G185" s="215" t="inlineStr">
        <is>
          <t>Found 2 uvicorn, 2 celery workers AND 2 celery beats running. Duplicate beat means every scheduled task fires twice - double API spend, invisible. Restarted one of each</t>
        </is>
      </c>
      <c r="J185" t="inlineStr">
        <is>
          <t>|</t>
        </is>
      </c>
      <c r="R185">
        <f>IF($A185&lt;&gt;"",$A185,R184)</f>
        <v/>
      </c>
    </row>
    <row r="186" ht="72" customHeight="1" s="282">
      <c r="A186" t="inlineStr">
        <is>
          <t>E2 Ingestion</t>
        </is>
      </c>
      <c r="B186" t="inlineStr">
        <is>
          <t>Wire the 9 Tier-1 leagues into live serving</t>
        </is>
      </c>
      <c r="C186" s="273" t="inlineStr">
        <is>
          <t>Done</t>
        </is>
      </c>
      <c r="D186" t="inlineStr">
        <is>
          <t>Backend</t>
        </is>
      </c>
      <c r="E186" s="210" t="n">
        <v>46244</v>
      </c>
      <c r="F186" s="210" t="n">
        <v>46244</v>
      </c>
      <c r="G186" s="215" t="inlineStr">
        <is>
          <t>Done (2b365e6). LEAGUE_IDS + seeded League rows + a train/serve parity guard so it cannot drift again. Verified live: J1 20 fixtures/17 predictions, Allsvenskan 20, Ekstraklasa 22 (incl. 3 real postponements), Liga I 18</t>
        </is>
      </c>
      <c r="J186" t="inlineStr">
        <is>
          <t>|</t>
        </is>
      </c>
      <c r="R186">
        <f>IF($A186&lt;&gt;"",$A186,R185)</f>
        <v/>
      </c>
    </row>
    <row r="187" ht="100.8" customHeight="1" s="282">
      <c r="B187" t="inlineStr">
        <is>
          <t>Fix: J1 League season labelled by its END year</t>
        </is>
      </c>
      <c r="C187" s="273" t="inlineStr">
        <is>
          <t>Done</t>
        </is>
      </c>
      <c r="D187" t="inlineStr">
        <is>
          <t>Backend</t>
        </is>
      </c>
      <c r="E187" s="210" t="n">
        <v>46244</v>
      </c>
      <c r="F187" s="210" t="n">
        <v>46244</v>
      </c>
      <c r="G187" s="215" t="inlineStr">
        <is>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is>
      </c>
      <c r="J187" t="inlineStr">
        <is>
          <t>|</t>
        </is>
      </c>
      <c r="R187">
        <f>IF($A187&lt;&gt;"",$A187,R186)</f>
        <v/>
      </c>
    </row>
    <row r="188" ht="72" customHeight="1" s="282">
      <c r="A188" t="inlineStr">
        <is>
          <t>E9 Data Ops</t>
        </is>
      </c>
      <c r="B188" t="inlineStr">
        <is>
          <t>APIs &amp; Quotas sheet refreshed from live /status</t>
        </is>
      </c>
      <c r="C188" s="273" t="inlineStr">
        <is>
          <t>Done</t>
        </is>
      </c>
      <c r="D188" t="inlineStr">
        <is>
          <t>Data</t>
        </is>
      </c>
      <c r="E188" s="210" t="n">
        <v>46244</v>
      </c>
      <c r="F188" s="210" t="n">
        <v>46244</v>
      </c>
      <c r="G188" s="215" t="inlineStr">
        <is>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is>
      </c>
      <c r="J188" t="inlineStr">
        <is>
          <t>|</t>
        </is>
      </c>
      <c r="R188">
        <f>IF($A188&lt;&gt;"",$A188,R187)</f>
        <v/>
      </c>
    </row>
    <row r="189" ht="129.6" customHeight="1" s="282">
      <c r="A189" t="inlineStr">
        <is>
          <t>E4 ML Football</t>
        </is>
      </c>
      <c r="B189" t="inlineStr">
        <is>
          <t>Retrain: corners regressors finally see all 18 leagues</t>
        </is>
      </c>
      <c r="C189" s="273" t="inlineStr">
        <is>
          <t>Done</t>
        </is>
      </c>
      <c r="D189" t="inlineStr">
        <is>
          <t>ML</t>
        </is>
      </c>
      <c r="E189" s="210" t="n">
        <v>46244</v>
      </c>
      <c r="F189" s="210" t="n">
        <v>46244</v>
      </c>
      <c r="G189" s="215" t="inlineStr">
        <is>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is>
      </c>
      <c r="J189" t="inlineStr">
        <is>
          <t>|</t>
        </is>
      </c>
      <c r="R189">
        <f>IF($A189&lt;&gt;"",$A189,R188)</f>
        <v/>
      </c>
    </row>
    <row r="190" ht="187.2" customHeight="1" s="282">
      <c r="A190" t="inlineStr">
        <is>
          <t>E8 Model Quality</t>
        </is>
      </c>
      <c r="B190" t="inlineStr">
        <is>
          <t>MEASURED: new-league picks are genuinely overconfident</t>
        </is>
      </c>
      <c r="C190" s="273" t="inlineStr">
        <is>
          <t>Done</t>
        </is>
      </c>
      <c r="D190" t="inlineStr">
        <is>
          <t>ML</t>
        </is>
      </c>
      <c r="E190" s="210" t="n">
        <v>46244</v>
      </c>
      <c r="F190" s="210" t="n">
        <v>46244</v>
      </c>
      <c r="G190" s="215" t="inlineStr">
        <is>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is>
      </c>
      <c r="J190" t="inlineStr">
        <is>
          <t>|</t>
        </is>
      </c>
      <c r="R190">
        <f>IF($A190&lt;&gt;"",$A190,R189)</f>
        <v/>
      </c>
    </row>
    <row r="191" ht="72" customHeight="1" s="282">
      <c r="A191" t="inlineStr">
        <is>
          <t>E9 Data Ops</t>
        </is>
      </c>
      <c r="B191" t="inlineStr">
        <is>
          <t>Current-season history for the 9 new leagues</t>
        </is>
      </c>
      <c r="C191" s="273" t="inlineStr">
        <is>
          <t>Done</t>
        </is>
      </c>
      <c r="D191" t="inlineStr">
        <is>
          <t>Data</t>
        </is>
      </c>
      <c r="E191" s="210" t="n">
        <v>46244</v>
      </c>
      <c r="F191" s="210" t="n">
        <v>46244</v>
      </c>
      <c r="G191" s="215" t="inlineStr">
        <is>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is>
      </c>
      <c r="J191" t="inlineStr">
        <is>
          <t>|</t>
        </is>
      </c>
      <c r="R191">
        <f>IF($A191&lt;&gt;"",$A191,R190)</f>
        <v/>
      </c>
    </row>
    <row r="192" ht="100.8" customHeight="1" s="282">
      <c r="A192" t="inlineStr">
        <is>
          <t>E8 Model Quality</t>
        </is>
      </c>
      <c r="B192" t="inlineStr">
        <is>
          <t>Elo silently absent for parquet-sourced retrodictions</t>
        </is>
      </c>
      <c r="C192" s="273" t="inlineStr">
        <is>
          <t>Done</t>
        </is>
      </c>
      <c r="D192" t="inlineStr">
        <is>
          <t>Backend</t>
        </is>
      </c>
      <c r="E192" s="210" t="n">
        <v>46244</v>
      </c>
      <c r="F192" s="210" t="n">
        <v>46244</v>
      </c>
      <c r="G192" s="215" t="inlineStr">
        <is>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is>
      </c>
      <c r="J192" t="inlineStr">
        <is>
          <t>|</t>
        </is>
      </c>
      <c r="R192">
        <f>IF($A192&lt;&gt;"",$A192,R191)</f>
        <v/>
      </c>
    </row>
    <row r="193" ht="115.2" customHeight="1" s="282">
      <c r="A193" t="inlineStr">
        <is>
          <t>E2 Ingestion</t>
        </is>
      </c>
      <c r="B193" t="inlineStr">
        <is>
          <t>Season resolved from the provider, not a hardcoded guess</t>
        </is>
      </c>
      <c r="C193" s="273" t="inlineStr">
        <is>
          <t>Done</t>
        </is>
      </c>
      <c r="D193" t="inlineStr">
        <is>
          <t>Backend</t>
        </is>
      </c>
      <c r="E193" s="210" t="n">
        <v>46244</v>
      </c>
      <c r="F193" s="210" t="n">
        <v>46244</v>
      </c>
      <c r="G193" s="215" t="inlineStr">
        <is>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is>
      </c>
      <c r="J193" t="inlineStr">
        <is>
          <t>|</t>
        </is>
      </c>
      <c r="R193">
        <f>IF($A193&lt;&gt;"",$A193,R192)</f>
        <v/>
      </c>
    </row>
    <row r="194" ht="86.40000000000001" customHeight="1" s="282">
      <c r="A194" t="inlineStr">
        <is>
          <t>E9 Data Ops</t>
        </is>
      </c>
      <c r="B194" t="inlineStr">
        <is>
          <t>AUDIT: no other silent int/str join splits</t>
        </is>
      </c>
      <c r="C194" s="273" t="inlineStr">
        <is>
          <t>Done</t>
        </is>
      </c>
      <c r="D194" t="inlineStr">
        <is>
          <t>Data</t>
        </is>
      </c>
      <c r="E194" s="210" t="n">
        <v>46244</v>
      </c>
      <c r="F194" s="210" t="n">
        <v>46244</v>
      </c>
      <c r="G194" s="215" t="inlineStr">
        <is>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is>
      </c>
      <c r="J194" t="inlineStr">
        <is>
          <t>|</t>
        </is>
      </c>
      <c r="R194">
        <f>IF($A194&lt;&gt;"",$A194,R193)</f>
        <v/>
      </c>
    </row>
    <row r="195" ht="86.40000000000001" customHeight="1" s="282">
      <c r="B195" t="inlineStr">
        <is>
          <t>Corners for the new leagues' 2026 seasons</t>
        </is>
      </c>
      <c r="C195" s="273" t="inlineStr">
        <is>
          <t>Done</t>
        </is>
      </c>
      <c r="D195" t="inlineStr">
        <is>
          <t>Data</t>
        </is>
      </c>
      <c r="E195" s="210" t="n">
        <v>46244</v>
      </c>
      <c r="F195" s="210" t="n">
        <v>46244</v>
      </c>
      <c r="G195" s="215" t="inlineStr">
        <is>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is>
      </c>
      <c r="J195" t="inlineStr">
        <is>
          <t>|</t>
        </is>
      </c>
      <c r="R195">
        <f>IF($A195&lt;&gt;"",$A195,R194)</f>
        <v/>
      </c>
    </row>
    <row r="196" ht="115.2" customHeight="1" s="282">
      <c r="A196" t="inlineStr">
        <is>
          <t>E4 ML Football</t>
        </is>
      </c>
      <c r="B196" t="inlineStr">
        <is>
          <t>Retrain was a NO-OP: seasons outside the split are dropped</t>
        </is>
      </c>
      <c r="C196" s="273" t="inlineStr">
        <is>
          <t>Done</t>
        </is>
      </c>
      <c r="D196" t="inlineStr">
        <is>
          <t>ML</t>
        </is>
      </c>
      <c r="E196" s="210" t="n">
        <v>46244</v>
      </c>
      <c r="F196" s="210" t="n">
        <v>46244</v>
      </c>
      <c r="G196" s="215" t="inlineStr">
        <is>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is>
      </c>
      <c r="J196" t="inlineStr">
        <is>
          <t>|</t>
        </is>
      </c>
      <c r="R196">
        <f>IF($A196&lt;&gt;"",$A196,R195)</f>
        <v/>
      </c>
    </row>
    <row r="197" ht="86.40000000000001" customHeight="1" s="282">
      <c r="A197" t="inlineStr">
        <is>
          <t>E11 Ops Resilience</t>
        </is>
      </c>
      <c r="B197" t="inlineStr">
        <is>
          <t>Cleared 165 test push tokens from the dev DB</t>
        </is>
      </c>
      <c r="C197" s="273" t="inlineStr">
        <is>
          <t>Done</t>
        </is>
      </c>
      <c r="D197" t="inlineStr">
        <is>
          <t>Ops</t>
        </is>
      </c>
      <c r="E197" s="210" t="n">
        <v>46244</v>
      </c>
      <c r="F197" s="210" t="n">
        <v>46244</v>
      </c>
      <c r="G197" s="215" t="inlineStr">
        <is>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is>
      </c>
      <c r="J197" t="inlineStr">
        <is>
          <t>|</t>
        </is>
      </c>
      <c r="R197">
        <f>IF($A197&lt;&gt;"",$A197,R196)</f>
        <v/>
      </c>
    </row>
    <row r="198" ht="86.40000000000001" customHeight="1" s="282">
      <c r="A198" t="inlineStr">
        <is>
          <t>E4 ML Football</t>
        </is>
      </c>
      <c r="B198" t="inlineStr">
        <is>
          <t>DECIDE: advance the split windows once 2026 is complete</t>
        </is>
      </c>
      <c r="C198" t="inlineStr">
        <is>
          <t>Milestone</t>
        </is>
      </c>
      <c r="D198" t="inlineStr">
        <is>
          <t>ML</t>
        </is>
      </c>
      <c r="E198" s="210" t="n">
        <v>46327</v>
      </c>
      <c r="G198" s="215" t="inlineStr">
        <is>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is>
      </c>
      <c r="R198">
        <f>IF($A198&lt;&gt;"",$A198,R197)</f>
        <v/>
      </c>
    </row>
    <row r="199" ht="129.6" customHeight="1" s="282">
      <c r="A199" t="inlineStr">
        <is>
          <t>E5 ML Tennis</t>
        </is>
      </c>
      <c r="B199" t="inlineStr">
        <is>
          <t>Impossible drawn outcomes: guarded and removed</t>
        </is>
      </c>
      <c r="C199" s="273" t="inlineStr">
        <is>
          <t>Done</t>
        </is>
      </c>
      <c r="D199" t="inlineStr">
        <is>
          <t>Backend</t>
        </is>
      </c>
      <c r="E199" s="210" t="n">
        <v>46244</v>
      </c>
      <c r="F199" s="210" t="n">
        <v>46244</v>
      </c>
      <c r="G199" s="215" t="inlineStr">
        <is>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is>
      </c>
      <c r="J199" t="inlineStr">
        <is>
          <t>|</t>
        </is>
      </c>
      <c r="R199">
        <f>IF($A199&lt;&gt;"",$A199,R198)</f>
        <v/>
      </c>
    </row>
    <row r="200" ht="100.8" customHeight="1" s="282">
      <c r="A200" t="inlineStr">
        <is>
          <t>E9 Data Ops</t>
        </is>
      </c>
      <c r="B200" t="inlineStr">
        <is>
          <t>CORRECTED: 'player1 is always the winner' is too strong</t>
        </is>
      </c>
      <c r="C200" s="273" t="inlineStr">
        <is>
          <t>Done</t>
        </is>
      </c>
      <c r="D200" t="inlineStr">
        <is>
          <t>Data</t>
        </is>
      </c>
      <c r="E200" s="210" t="n">
        <v>46244</v>
      </c>
      <c r="F200" s="210" t="n">
        <v>46244</v>
      </c>
      <c r="G200" s="215" t="inlineStr">
        <is>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is>
      </c>
      <c r="J200" t="inlineStr">
        <is>
          <t>|</t>
        </is>
      </c>
      <c r="R200">
        <f>IF($A200&lt;&gt;"",$A200,R199)</f>
        <v/>
      </c>
    </row>
    <row r="201" ht="72" customHeight="1" s="282">
      <c r="A201" t="inlineStr">
        <is>
          <t>E11 Ops Resilience</t>
        </is>
      </c>
      <c r="B201" t="inlineStr">
        <is>
          <t>Stale Celery worker hit AGAIN (2nd time in one day)</t>
        </is>
      </c>
      <c r="C201" s="273" t="inlineStr">
        <is>
          <t>Done</t>
        </is>
      </c>
      <c r="D201" t="inlineStr">
        <is>
          <t>Ops</t>
        </is>
      </c>
      <c r="E201" s="210" t="n">
        <v>46244</v>
      </c>
      <c r="F201" s="210" t="n">
        <v>46244</v>
      </c>
      <c r="G201" s="215" t="inlineStr">
        <is>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is>
      </c>
      <c r="J201" t="inlineStr">
        <is>
          <t>|</t>
        </is>
      </c>
      <c r="R201">
        <f>IF($A201&lt;&gt;"",$A201,R200)</f>
        <v/>
      </c>
    </row>
    <row r="202" ht="100.8" customHeight="1" s="282">
      <c r="B202" t="inlineStr">
        <is>
          <t>Test DB truncated per session; teardown kept</t>
        </is>
      </c>
      <c r="C202" s="273" t="inlineStr">
        <is>
          <t>Done</t>
        </is>
      </c>
      <c r="D202" t="inlineStr">
        <is>
          <t>Ops</t>
        </is>
      </c>
      <c r="E202" s="210" t="n">
        <v>46244</v>
      </c>
      <c r="F202" s="210" t="n">
        <v>46244</v>
      </c>
      <c r="G202" s="215" t="inlineStr">
        <is>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is>
      </c>
      <c r="J202" t="inlineStr">
        <is>
          <t>|</t>
        </is>
      </c>
      <c r="R202">
        <f>IF($A202&lt;&gt;"",$A202,R201)</f>
        <v/>
      </c>
    </row>
    <row r="203" ht="144" customHeight="1" s="282">
      <c r="A203" t="inlineStr">
        <is>
          <t>E8 Model Quality</t>
        </is>
      </c>
      <c r="B203" t="inlineStr">
        <is>
          <t>Key-player features re-measured, then deleted</t>
        </is>
      </c>
      <c r="C203" s="273" t="inlineStr">
        <is>
          <t>Done</t>
        </is>
      </c>
      <c r="D203" t="inlineStr">
        <is>
          <t>ML</t>
        </is>
      </c>
      <c r="E203" s="210" t="n">
        <v>46244</v>
      </c>
      <c r="F203" s="210" t="n">
        <v>46244</v>
      </c>
      <c r="G203" s="215" t="inlineStr">
        <is>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is>
      </c>
      <c r="J203" t="inlineStr">
        <is>
          <t>|</t>
        </is>
      </c>
      <c r="R203">
        <f>IF($A203&lt;&gt;"",$A203,R202)</f>
        <v/>
      </c>
    </row>
    <row r="204" ht="57.6" customHeight="1" s="282">
      <c r="A204" t="inlineStr">
        <is>
          <t>E6 Picks</t>
        </is>
      </c>
      <c r="B204" t="inlineStr">
        <is>
          <t>DECIDED: do not exclude Polymarket at ingest</t>
        </is>
      </c>
      <c r="C204" s="273" t="inlineStr">
        <is>
          <t>Done</t>
        </is>
      </c>
      <c r="D204" t="inlineStr">
        <is>
          <t>Backend</t>
        </is>
      </c>
      <c r="E204" s="210" t="n">
        <v>46244</v>
      </c>
      <c r="F204" s="210" t="n">
        <v>46244</v>
      </c>
      <c r="G204" s="215" t="inlineStr">
        <is>
          <t>The existing consensus test already catches 204 of Polymarket's 228 real tennis rows (89%) and is bookmaker-agnostic. A name-based blocklist would be strictly worse: HardRock inverts 20% of its own rows (42 of 209) and a Polymarket blocklist misses those entirely</t>
        </is>
      </c>
      <c r="J204" t="inlineStr">
        <is>
          <t>|</t>
        </is>
      </c>
      <c r="R204">
        <f>IF($A204&lt;&gt;"",$A204,R203)</f>
        <v/>
      </c>
    </row>
    <row r="205" ht="115.2" customHeight="1" s="282">
      <c r="B205" t="inlineStr">
        <is>
          <t>Implausible prices no longer win best-odds selection</t>
        </is>
      </c>
      <c r="C205" s="273" t="inlineStr">
        <is>
          <t>Done</t>
        </is>
      </c>
      <c r="D205" t="inlineStr">
        <is>
          <t>Backend</t>
        </is>
      </c>
      <c r="E205" s="210" t="n">
        <v>46244</v>
      </c>
      <c r="F205" s="210" t="n">
        <v>46244</v>
      </c>
      <c r="G205" s="215" t="inlineStr">
        <is>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is>
      </c>
      <c r="J205" t="inlineStr">
        <is>
          <t>|</t>
        </is>
      </c>
      <c r="R205">
        <f>IF($A205&lt;&gt;"",$A205,R204)</f>
        <v/>
      </c>
    </row>
    <row r="206" ht="144" customHeight="1" s="282">
      <c r="A206" t="inlineStr">
        <is>
          <t>E8 Model Quality</t>
        </is>
      </c>
      <c r="B206" t="inlineStr">
        <is>
          <t>Availability: Stage 1 run, id-first join, injuries deduped</t>
        </is>
      </c>
      <c r="C206" s="273" t="inlineStr">
        <is>
          <t>Done</t>
        </is>
      </c>
      <c r="D206" t="inlineStr">
        <is>
          <t>Backend</t>
        </is>
      </c>
      <c r="E206" s="210" t="n">
        <v>46244</v>
      </c>
      <c r="F206" s="210" t="n">
        <v>46245</v>
      </c>
      <c r="G206" s="215" t="inlineStr">
        <is>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is>
      </c>
      <c r="J206" t="inlineStr">
        <is>
          <t>|</t>
        </is>
      </c>
      <c r="R206">
        <f>IF($A206&lt;&gt;"",$A206,R205)</f>
        <v/>
      </c>
    </row>
    <row r="207" ht="129.6" customHeight="1" s="282">
      <c r="A207" t="inlineStr">
        <is>
          <t>E9 Data Ops</t>
        </is>
      </c>
      <c r="B207" t="inlineStr">
        <is>
          <t>Stage 1 rosters are thin for the live season</t>
        </is>
      </c>
      <c r="C207" s="273" t="inlineStr">
        <is>
          <t>Done</t>
        </is>
      </c>
      <c r="D207" t="inlineStr">
        <is>
          <t>Data</t>
        </is>
      </c>
      <c r="E207" s="210" t="n">
        <v>46244</v>
      </c>
      <c r="F207" s="210" t="n">
        <v>46245</v>
      </c>
      <c r="G207" s="215" t="inlineStr">
        <is>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is>
      </c>
      <c r="J207" t="inlineStr">
        <is>
          <t>|</t>
        </is>
      </c>
      <c r="R207">
        <f>IF($A207&lt;&gt;"",$A207,R206)</f>
        <v/>
      </c>
    </row>
    <row r="208" ht="144" customHeight="1" s="282">
      <c r="A208" t="inlineStr">
        <is>
          <t>E6 Picks</t>
        </is>
      </c>
      <c r="B208" t="inlineStr">
        <is>
          <t>Best odds quoted a price no longer on offer</t>
        </is>
      </c>
      <c r="C208" s="273" t="inlineStr">
        <is>
          <t>Done</t>
        </is>
      </c>
      <c r="D208" t="inlineStr">
        <is>
          <t>Backend</t>
        </is>
      </c>
      <c r="E208" s="210" t="n">
        <v>46245</v>
      </c>
      <c r="F208" s="210" t="n">
        <v>46245</v>
      </c>
      <c r="G208" s="215" t="inlineStr">
        <is>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is>
      </c>
      <c r="J208" t="inlineStr">
        <is>
          <t>|</t>
        </is>
      </c>
      <c r="R208">
        <f>IF($A208&lt;&gt;"",$A208,R207)</f>
        <v/>
      </c>
    </row>
    <row r="209" ht="57.6" customHeight="1" s="282">
      <c r="A209" t="inlineStr">
        <is>
          <t>E11 Ops Resilience</t>
        </is>
      </c>
      <c r="B209" t="inlineStr">
        <is>
          <t>watchlist_items.created_at NOT NULL</t>
        </is>
      </c>
      <c r="C209" s="273" t="inlineStr">
        <is>
          <t>Done</t>
        </is>
      </c>
      <c r="D209" t="inlineStr">
        <is>
          <t>Ops</t>
        </is>
      </c>
      <c r="E209" s="210" t="n">
        <v>46245</v>
      </c>
      <c r="F209" s="210" t="n">
        <v>46245</v>
      </c>
      <c r="G209" s="215" t="inlineStr">
        <is>
          <t>Stripped from three consecutive unrelated migrations, correctly each time, but never actually done — its own failure mode. Now has its own migration. Zero NULL rows verified first, and autogenerate detects no model/database drift at all afterwards. 11a7495</t>
        </is>
      </c>
      <c r="J209" t="inlineStr">
        <is>
          <t>|</t>
        </is>
      </c>
      <c r="R209">
        <f>IF($A209&lt;&gt;"",$A209,R208)</f>
        <v/>
      </c>
    </row>
    <row r="210" ht="86.40000000000001" customHeight="1" s="282">
      <c r="A210" t="inlineStr">
        <is>
          <t>E8 Model Quality</t>
        </is>
      </c>
      <c r="B210" t="inlineStr">
        <is>
          <t>confidence_tier marked unvalidated in every schema</t>
        </is>
      </c>
      <c r="C210" s="273" t="inlineStr">
        <is>
          <t>Done</t>
        </is>
      </c>
      <c r="D210" t="inlineStr">
        <is>
          <t>Backend</t>
        </is>
      </c>
      <c r="E210" s="210" t="n">
        <v>46245</v>
      </c>
      <c r="F210" s="210" t="n">
        <v>46245</v>
      </c>
      <c r="G210" s="215" t="inlineStr">
        <is>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is>
      </c>
      <c r="J210" t="inlineStr">
        <is>
          <t>|</t>
        </is>
      </c>
      <c r="R210">
        <f>IF($A210&lt;&gt;"",$A210,R209)</f>
        <v/>
      </c>
    </row>
    <row r="212">
      <c r="A212" s="23" t="inlineStr">
        <is>
          <t>Legend</t>
        </is>
      </c>
      <c r="B212" s="5" t="inlineStr">
        <is>
          <t>Done</t>
        </is>
      </c>
      <c r="C212" s="15" t="inlineStr">
        <is>
          <t>In progress</t>
        </is>
      </c>
      <c r="D212" s="17" t="inlineStr">
        <is>
          <t>Planned</t>
        </is>
      </c>
      <c r="E212" s="21" t="inlineStr">
        <is>
          <t>Blocked</t>
        </is>
      </c>
      <c r="F212" s="19" t="inlineStr">
        <is>
          <t>Milestone</t>
        </is>
      </c>
    </row>
  </sheetData>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9"/>
  <sheetViews>
    <sheetView showGridLines="0" zoomScale="110" zoomScaleNormal="110" workbookViewId="0">
      <pane ySplit="3" topLeftCell="A4" activePane="bottomLeft" state="frozen"/>
      <selection pane="bottomLeft" activeCell="A1" sqref="A1:S1"/>
    </sheetView>
  </sheetViews>
  <sheetFormatPr baseColWidth="8" defaultRowHeight="14.4"/>
  <cols>
    <col width="20" customWidth="1" style="282" min="1" max="1"/>
    <col width="11.47265625" customWidth="1" style="282" min="2" max="19"/>
    <col width="2" customWidth="1" style="282" min="20" max="20"/>
  </cols>
  <sheetData>
    <row r="1" ht="30" customHeight="1" s="282">
      <c r="A1" s="293" t="inlineStr">
        <is>
          <t>SportIQ — End-to-End Architecture</t>
        </is>
      </c>
    </row>
    <row r="2" ht="18" customHeight="1" s="282">
      <c r="A2" s="300" t="inlineStr">
        <is>
          <t>Data flows top to bottom.  Green = live and working   Amber = works with a real gap   Red = stubbed or blocked.  Offline training track shown separately at the foot.</t>
        </is>
      </c>
    </row>
    <row r="4" ht="20.05" customHeight="1" s="282">
      <c r="A4" s="288" t="inlineStr">
        <is>
          <t>1 · EXTERNAL DATA PROVIDERS</t>
        </is>
      </c>
    </row>
    <row r="5" ht="52" customHeight="1" s="282">
      <c r="A5" s="35" t="inlineStr">
        <is>
          <t>Vendors</t>
        </is>
      </c>
      <c r="B5" s="278" t="inlineStr">
        <is>
          <t>API-Football (Pro)
fixtures · team stats · injuries
H2H · lineups · corners</t>
        </is>
      </c>
      <c r="C5" s="279" t="n"/>
      <c r="D5" s="280" t="n"/>
      <c r="E5" s="283" t="inlineStr">
        <is>
          <t>TheRundown
odds: NBA + 5 EU + MLS
QUOTA EXHAUSTED</t>
        </is>
      </c>
      <c r="F5" s="279" t="n"/>
      <c r="G5" s="280" t="n"/>
      <c r="H5" s="283" t="inlineStr">
        <is>
          <t>BallDontLie
NBA stats · ATP tennis
WTA 401 — unsubscribed</t>
        </is>
      </c>
      <c r="I5" s="279" t="n"/>
      <c r="J5" s="280" t="n"/>
      <c r="K5" s="278" t="inlineStr">
        <is>
          <t>TheStatsAPI
xG · shotmaps · shots
collection in progress</t>
        </is>
      </c>
      <c r="L5" s="279" t="n"/>
      <c r="M5" s="280" t="n"/>
      <c r="N5" s="285" t="inlineStr">
        <is>
          <t>RotoWire
NBA injuries
NO KEY PROVISIONED</t>
        </is>
      </c>
      <c r="O5" s="279" t="n"/>
      <c r="P5" s="280" t="n"/>
      <c r="Q5" s="285" t="inlineStr">
        <is>
          <t>SportsDataIO / Highlightly
Phase 2 US sports · video
NOT INTEGRATED</t>
        </is>
      </c>
      <c r="R5" s="279" t="n"/>
      <c r="S5" s="280" t="n"/>
    </row>
    <row r="6" ht="15" customHeight="1" s="282">
      <c r="B6" s="281" t="inlineStr">
        <is>
          <t>▼</t>
        </is>
      </c>
    </row>
    <row r="7" ht="20.05" customHeight="1" s="282">
      <c r="A7" s="288" t="inlineStr">
        <is>
          <t>2 · ADAPTER LAYER  —  every provider call goes through here, never direct from a worker</t>
        </is>
      </c>
    </row>
    <row r="8" ht="46" customHeight="1" s="282">
      <c r="A8" s="35" t="inlineStr">
        <is>
          <t>Abstraction</t>
        </is>
      </c>
      <c r="B8" s="291" t="inlineStr">
        <is>
          <t>DataSourceAdapter (ABC)
fetch_fixtures · fetch_odds
fetch_team_stats · fetch_injuries</t>
        </is>
      </c>
      <c r="C8" s="279" t="n"/>
      <c r="D8" s="279" t="n"/>
      <c r="E8" s="279" t="n"/>
      <c r="F8" s="279" t="n"/>
      <c r="G8" s="279" t="n"/>
      <c r="H8" s="279" t="n"/>
      <c r="I8" s="279" t="n"/>
      <c r="J8" s="280" t="n"/>
      <c r="K8" s="291" t="inlineStr">
        <is>
          <t>AdapterFactory
routes by sport slug
per-adapter error isolation</t>
        </is>
      </c>
      <c r="L8" s="279" t="n"/>
      <c r="M8" s="279" t="n"/>
      <c r="N8" s="279" t="n"/>
      <c r="O8" s="279" t="n"/>
      <c r="P8" s="279" t="n"/>
      <c r="Q8" s="279" t="n"/>
      <c r="R8" s="279" t="n"/>
      <c r="S8" s="280" t="n"/>
    </row>
    <row r="9" ht="15" customHeight="1" s="282">
      <c r="B9" s="281" t="inlineStr">
        <is>
          <t>▼</t>
        </is>
      </c>
    </row>
    <row r="10" ht="20.05" customHeight="1" s="282">
      <c r="A10" s="288" t="inlineStr">
        <is>
          <t>3 · INGESTION &amp; INFERENCE WORKERS  (Celery + beat, Redis broker)</t>
        </is>
      </c>
    </row>
    <row r="11" ht="54" customHeight="1" s="282">
      <c r="A11" s="35" t="inlineStr">
        <is>
          <t>Scheduled jobs</t>
        </is>
      </c>
      <c r="B11" s="278" t="inlineStr">
        <is>
          <t>ingest_fixtures
daily 02:00 UTC
±7 days · features · Elo</t>
        </is>
      </c>
      <c r="C11" s="279" t="n"/>
      <c r="D11" s="280" t="n"/>
      <c r="E11" s="278" t="inlineStr">
        <is>
          <t>ingest_odds
every 6h · 3-day window
only dates with fixtures</t>
        </is>
      </c>
      <c r="F11" s="279" t="n"/>
      <c r="G11" s="280" t="n"/>
      <c r="H11" s="278" t="inlineStr">
        <is>
          <t>ingest_live_scores
every 5 min
scores · status · settlement</t>
        </is>
      </c>
      <c r="I11" s="279" t="n"/>
      <c r="J11" s="280" t="n"/>
      <c r="K11" s="283" t="inlineStr">
        <is>
          <t>ingest_injuries
every 30 min
per-sport isolation (fixed)</t>
        </is>
      </c>
      <c r="L11" s="279" t="n"/>
      <c r="M11" s="280" t="n"/>
      <c r="N11" s="278" t="inlineStr">
        <is>
          <t>run_predictions
on new fixture
+ injury re-inference</t>
        </is>
      </c>
      <c r="O11" s="279" t="n"/>
      <c r="P11" s="280" t="n"/>
      <c r="Q11" s="278" t="inlineStr">
        <is>
          <t>backfill_predictions
retrodiction
leakage-safe game log</t>
        </is>
      </c>
      <c r="R11" s="279" t="n"/>
      <c r="S11" s="280" t="n"/>
    </row>
    <row r="12" ht="15" customHeight="1" s="282">
      <c r="B12" s="281" t="inlineStr">
        <is>
          <t>▼</t>
        </is>
      </c>
    </row>
    <row r="13" ht="20.05" customHeight="1" s="282">
      <c r="A13" s="288" t="inlineStr">
        <is>
          <t>4 · STORAGE</t>
        </is>
      </c>
    </row>
    <row r="14" ht="52" customHeight="1" s="282">
      <c r="A14" s="35" t="inlineStr">
        <is>
          <t>Persistence</t>
        </is>
      </c>
      <c r="B14" s="286" t="inlineStr">
        <is>
          <t>PostgreSQL 16
fixtures · teams · odds · predictions
outcomes · users · team_features</t>
        </is>
      </c>
      <c r="C14" s="279" t="n"/>
      <c r="D14" s="279" t="n"/>
      <c r="E14" s="279" t="n"/>
      <c r="F14" s="279" t="n"/>
      <c r="G14" s="280" t="n"/>
      <c r="H14" s="286" t="inlineStr">
        <is>
          <t>Redis 7
pick cache · guest sessions (24h)
Celery broker</t>
        </is>
      </c>
      <c r="I14" s="279" t="n"/>
      <c r="J14" s="279" t="n"/>
      <c r="K14" s="279" t="n"/>
      <c r="L14" s="279" t="n"/>
      <c r="M14" s="280" t="n"/>
      <c r="N14" s="286" t="inlineStr">
        <is>
          <t>models_registry
active model per sport
promotion = DB update</t>
        </is>
      </c>
      <c r="O14" s="279" t="n"/>
      <c r="P14" s="280" t="n"/>
      <c r="Q14" s="283" t="inlineStr">
        <is>
          <t>ml/artifacts
joblib model files
(absolute path — deploy risk)</t>
        </is>
      </c>
      <c r="R14" s="279" t="n"/>
      <c r="S14" s="280" t="n"/>
    </row>
    <row r="15" ht="15" customHeight="1" s="282">
      <c r="B15" s="281" t="inlineStr">
        <is>
          <t>▲  features read   ▼  predictions written</t>
        </is>
      </c>
    </row>
    <row r="16" ht="20.05" customHeight="1" s="282">
      <c r="A16" s="288" t="inlineStr">
        <is>
          <t>5 · ML / INFERENCE</t>
        </is>
      </c>
    </row>
    <row r="17" ht="54" customHeight="1" s="282">
      <c r="A17" s="35" t="inlineStr">
        <is>
          <t>Serving</t>
        </is>
      </c>
      <c r="B17" s="287" t="inlineStr">
        <is>
          <t>Feature assembly
football (25) · nba (16) · tennis (14)
train/serve parity enforced</t>
        </is>
      </c>
      <c r="C17" s="279" t="n"/>
      <c r="D17" s="279" t="n"/>
      <c r="E17" s="279" t="n"/>
      <c r="F17" s="279" t="n"/>
      <c r="G17" s="280" t="n"/>
      <c r="H17" s="287" t="inlineStr">
        <is>
          <t>FootballModel
Poisson xG ×2 → XGB 1X2
+ corners regressors</t>
        </is>
      </c>
      <c r="I17" s="279" t="n"/>
      <c r="J17" s="280" t="n"/>
      <c r="K17" s="287" t="inlineStr">
        <is>
          <t>NBAModel / TennisModel
XGB binary + isotonic
2-outcome, no draw</t>
        </is>
      </c>
      <c r="L17" s="279" t="n"/>
      <c r="M17" s="280" t="n"/>
      <c r="N17" s="287" t="inlineStr">
        <is>
          <t>markets.py
double chance · O/U goals
O/U corners (Poisson)</t>
        </is>
      </c>
      <c r="O17" s="279" t="n"/>
      <c r="P17" s="280" t="n"/>
      <c r="Q17" s="287" t="inlineStr">
        <is>
          <t>Calibration
isotonic per class
+ xG rate calibrators</t>
        </is>
      </c>
      <c r="R17" s="279" t="n"/>
      <c r="S17" s="280" t="n"/>
    </row>
    <row r="18" ht="15" customHeight="1" s="282">
      <c r="B18" s="281" t="inlineStr">
        <is>
          <t>▼</t>
        </is>
      </c>
    </row>
    <row r="19" ht="20.05" customHeight="1" s="282">
      <c r="A19" s="288" t="inlineStr">
        <is>
          <t>6 · API  —  FastAPI + Uvicorn</t>
        </is>
      </c>
    </row>
    <row r="20" ht="46" customHeight="1" s="282">
      <c r="A20" s="35" t="inlineStr">
        <is>
          <t>REST</t>
        </is>
      </c>
      <c r="B20" s="289" t="inlineStr">
        <is>
          <t>/fixtures · /picks
best pick across 4 markets
min_probability · min_odds</t>
        </is>
      </c>
      <c r="C20" s="279" t="n"/>
      <c r="D20" s="279" t="n"/>
      <c r="E20" s="279" t="n"/>
      <c r="F20" s="279" t="n"/>
      <c r="G20" s="280" t="n"/>
      <c r="H20" s="289" t="inlineStr">
        <is>
          <t>/history · /stats/model
settled performance
vs training metrics</t>
        </is>
      </c>
      <c r="I20" s="279" t="n"/>
      <c r="J20" s="279" t="n"/>
      <c r="K20" s="279" t="n"/>
      <c r="L20" s="279" t="n"/>
      <c r="M20" s="280" t="n"/>
      <c r="N20" s="289" t="inlineStr">
        <is>
          <t>/auth · /guest · /user
Argon2id · JWT + refresh
guest → account migration</t>
        </is>
      </c>
      <c r="O20" s="279" t="n"/>
      <c r="P20" s="279" t="n"/>
      <c r="Q20" s="279" t="n"/>
      <c r="R20" s="279" t="n"/>
      <c r="S20" s="280" t="n"/>
    </row>
    <row r="21" ht="15" customHeight="1" s="282">
      <c r="B21" s="281" t="inlineStr">
        <is>
          <t>▼</t>
        </is>
      </c>
    </row>
    <row r="22" ht="20.05" customHeight="1" s="282">
      <c r="A22" s="288" t="inlineStr">
        <is>
          <t>7 · MOBILE CLIENT  —  Expo / React Native (the only client)</t>
        </is>
      </c>
    </row>
    <row r="23" ht="52" customHeight="1" s="282">
      <c r="A23" s="35" t="inlineStr">
        <is>
          <t>App</t>
        </is>
      </c>
      <c r="B23" s="289" t="inlineStr">
        <is>
          <t>Picks tab
day navigator · sport / status
filters · league grouping</t>
        </is>
      </c>
      <c r="C23" s="279" t="n"/>
      <c r="D23" s="279" t="n"/>
      <c r="E23" s="279" t="n"/>
      <c r="F23" s="279" t="n"/>
      <c r="G23" s="280" t="n"/>
      <c r="H23" s="289" t="inlineStr">
        <is>
          <t>Live tab
in-play fixtures</t>
        </is>
      </c>
      <c r="I23" s="279" t="n"/>
      <c r="J23" s="280" t="n"/>
      <c r="K23" s="289" t="inlineStr">
        <is>
          <t>Profile
prefs · theme · push · biometrics</t>
        </is>
      </c>
      <c r="L23" s="279" t="n"/>
      <c r="M23" s="280" t="n"/>
      <c r="N23" s="289" t="inlineStr">
        <is>
          <t>Fixture detail
probability bar · H2H panel
other markets</t>
        </is>
      </c>
      <c r="O23" s="279" t="n"/>
      <c r="P23" s="280" t="n"/>
      <c r="Q23" s="285" t="inlineStr">
        <is>
          <t>Push notifications
code real — NO EAS PROJECT
cannot mint tokens</t>
        </is>
      </c>
      <c r="R23" s="279" t="n"/>
      <c r="S23" s="280" t="n"/>
    </row>
    <row r="26" ht="20.05" customHeight="1" s="282">
      <c r="A26" s="294" t="inlineStr">
        <is>
          <t>OFFLINE TRAINING TRACK  —  run locally, never from a production worker</t>
        </is>
      </c>
    </row>
    <row r="27" ht="52" customHeight="1" s="282">
      <c r="A27" s="35" t="inlineStr">
        <is>
          <t>Pipeline</t>
        </is>
      </c>
      <c r="B27" s="278" t="inlineStr">
        <is>
          <t>collect_*_data.py
API-Football · BallDontLie
nba_api (local only)</t>
        </is>
      </c>
      <c r="C27" s="279" t="n"/>
      <c r="D27" s="280" t="n"/>
      <c r="E27" s="278" t="inlineStr">
        <is>
          <t>collect_thestatsapi_xg.py
xG + cross-provider join
date+score, name tiebreak</t>
        </is>
      </c>
      <c r="F27" s="279" t="n"/>
      <c r="G27" s="280" t="n"/>
      <c r="H27" s="286" t="inlineStr">
        <is>
          <t>ml/data/*.parquet
game logs · lineups
corners · xG</t>
        </is>
      </c>
      <c r="I27" s="279" t="n"/>
      <c r="J27" s="280" t="n"/>
      <c r="K27" s="287" t="inlineStr">
        <is>
          <t>train_*.py
Optuna → calibration
→ joblib artefact</t>
        </is>
      </c>
      <c r="L27" s="279" t="n"/>
      <c r="M27" s="280" t="n"/>
      <c r="N27" s="287" t="inlineStr">
        <is>
          <t>MLflow
runs · metrics
local store</t>
        </is>
      </c>
      <c r="O27" s="279" t="n"/>
      <c r="P27" s="280" t="n"/>
      <c r="Q27" s="286" t="inlineStr">
        <is>
          <t>models_registry row
is_active flip promotes
no redeploy needed</t>
        </is>
      </c>
      <c r="R27" s="279" t="n"/>
      <c r="S27" s="280" t="n"/>
    </row>
    <row r="30" ht="20.05" customHeight="1" s="282">
      <c r="A30" s="288" t="inlineStr">
        <is>
          <t>ARCHITECTURAL NOTES</t>
        </is>
      </c>
    </row>
    <row r="31" ht="16" customHeight="1" s="282">
      <c r="A31" s="284" t="inlineStr">
        <is>
          <t>•  Sport-agnostic by design — every core table is keyed by sport_id; adding a sport is a config/data insert, not a schema change.</t>
        </is>
      </c>
    </row>
    <row r="32" ht="16" customHeight="1" s="282">
      <c r="A32" s="284" t="inlineStr">
        <is>
          <t>•  Model promotion is a DB update (models_registry.is_active), never a redeploy — TDD §3.1.</t>
        </is>
      </c>
    </row>
    <row r="33" ht="16" customHeight="1" s="282">
      <c r="A33" s="284" t="inlineStr">
        <is>
          <t>•  Train/serve parity is enforced in one module per sport: assemble_from_game_log and assemble_from_live_db must stay in lock-step.</t>
        </is>
      </c>
    </row>
    <row r="34" ht="16" customHeight="1" s="282">
      <c r="A34" s="284" t="inlineStr">
        <is>
          <t>•  Historical (box-score) key-player logic is kept OUT of app/models_ml/ so it can never be imported into the live path — target-leakage guard.</t>
        </is>
      </c>
    </row>
    <row r="35" ht="16" customHeight="1" s="282">
      <c r="A35" s="284" t="inlineStr">
        <is>
          <t>•  Per-item error isolation is now the default in every provider loop: one league or sport failing must not abort the rest.</t>
        </is>
      </c>
    </row>
    <row r="36" ht="16" customHeight="1" s="282">
      <c r="A36" s="284" t="inlineStr">
        <is>
          <t>•  nba_api is offline-only — stats.nba.com blocks all cloud IPs, so it must never run from a production worker.</t>
        </is>
      </c>
    </row>
    <row r="37" ht="16" customHeight="1" s="282">
      <c r="A37" s="295" t="inlineStr">
        <is>
          <t>⚠  DEPLOYMENT GAP: nothing is deployed. No infra/, artefact paths are absolute Windows paths, no monitoring, no EAS build.</t>
        </is>
      </c>
    </row>
    <row r="39" ht="18" customHeight="1" s="282">
      <c r="A39" s="36" t="inlineStr">
        <is>
          <t>Legend</t>
        </is>
      </c>
      <c r="B39" s="298" t="inlineStr">
        <is>
          <t>Live &amp; working</t>
        </is>
      </c>
      <c r="E39" s="296" t="inlineStr">
        <is>
          <t>Real gap</t>
        </is>
      </c>
      <c r="H39" s="299" t="inlineStr">
        <is>
          <t>Stubbed / blocked</t>
        </is>
      </c>
      <c r="K39" s="292" t="inlineStr">
        <is>
          <t>Datastore</t>
        </is>
      </c>
      <c r="N39" s="290" t="inlineStr">
        <is>
          <t>ML</t>
        </is>
      </c>
      <c r="Q39" s="297" t="inlineStr">
        <is>
          <t>API / App</t>
        </is>
      </c>
    </row>
  </sheetData>
  <mergeCells count="6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K23:M23"/>
    <mergeCell ref="A31:S31"/>
    <mergeCell ref="K39:M39"/>
    <mergeCell ref="A34:S34"/>
    <mergeCell ref="B9:S9"/>
    <mergeCell ref="K17:M17"/>
    <mergeCell ref="Q17:S17"/>
    <mergeCell ref="A30:S30"/>
    <mergeCell ref="B6:S6"/>
    <mergeCell ref="Q11:S11"/>
    <mergeCell ref="B20:G20"/>
    <mergeCell ref="B5:D5"/>
    <mergeCell ref="B15:S15"/>
    <mergeCell ref="A36:S36"/>
    <mergeCell ref="H5:J5"/>
    <mergeCell ref="H14:M14"/>
    <mergeCell ref="A1:S1"/>
    <mergeCell ref="H23:J23"/>
    <mergeCell ref="N27:P27"/>
    <mergeCell ref="A26:S26"/>
    <mergeCell ref="A16:S16"/>
    <mergeCell ref="H20:M20"/>
    <mergeCell ref="N20:S20"/>
    <mergeCell ref="A7:S7"/>
    <mergeCell ref="N11:P11"/>
    <mergeCell ref="A37:S37"/>
    <mergeCell ref="E5:G5"/>
    <mergeCell ref="K5:M5"/>
    <mergeCell ref="E39:G39"/>
    <mergeCell ref="B27:D27"/>
    <mergeCell ref="Q39:S39"/>
    <mergeCell ref="B39:D39"/>
    <mergeCell ref="H39:J39"/>
    <mergeCell ref="A2:S2"/>
    <mergeCell ref="K11:M11"/>
    <mergeCell ref="B12:S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selection activeCell="J13" sqref="J13"/>
    </sheetView>
  </sheetViews>
  <sheetFormatPr baseColWidth="8" defaultRowHeight="14.4"/>
  <cols>
    <col width="22" customWidth="1" style="282" min="1" max="1"/>
    <col width="9" customWidth="1" style="282" min="2" max="3"/>
    <col width="20" customWidth="1" style="282" min="4" max="4"/>
    <col width="10" customWidth="1" style="282" min="5" max="5"/>
    <col width="13" customWidth="1" style="282" min="6" max="6"/>
  </cols>
  <sheetData>
    <row r="1" ht="26.05" customHeight="1" s="282">
      <c r="A1" s="301" t="inlineStr">
        <is>
          <t>Epic Summary</t>
        </is>
      </c>
      <c r="B1" s="275" t="n"/>
      <c r="C1" s="275" t="n"/>
      <c r="D1" s="275" t="n"/>
      <c r="E1" s="275" t="n"/>
      <c r="F1" s="276" t="n"/>
    </row>
    <row r="3">
      <c r="A3" s="1" t="inlineStr">
        <is>
          <t>Epic</t>
        </is>
      </c>
      <c r="B3" s="1" t="inlineStr">
        <is>
          <t>Total</t>
        </is>
      </c>
      <c r="C3" s="1" t="inlineStr">
        <is>
          <t>Done</t>
        </is>
      </c>
      <c r="D3" s="1" t="inlineStr">
        <is>
          <t>In progress / Planned</t>
        </is>
      </c>
      <c r="E3" s="1" t="inlineStr">
        <is>
          <t>Blocked</t>
        </is>
      </c>
      <c r="F3" s="1" t="inlineStr">
        <is>
          <t>% Complete</t>
        </is>
      </c>
    </row>
    <row r="4">
      <c r="A4" s="23" t="inlineStr">
        <is>
          <t>E1 Foundation</t>
        </is>
      </c>
      <c r="B4" s="24">
        <f>C4+D4+E4</f>
        <v/>
      </c>
      <c r="C4" s="24">
        <f>COUNTIFS('Delivery Board'!$R$5:$R$500,$A4,'Delivery Board'!$C$5:$C$500,"Done")</f>
        <v/>
      </c>
      <c r="D4" s="24">
        <f>COUNTIFS('Delivery Board'!$R$5:$R$500,$A4,'Delivery Board'!$C$5:$C$500,"Planned")+COUNTIFS('Delivery Board'!$R$5:$R$500,$A4,'Delivery Board'!$C$5:$C$500,"In progress")+COUNTIFS('Delivery Board'!$R$5:$R$500,$A4,'Delivery Board'!$C$5:$C$500,"Milestone")</f>
        <v/>
      </c>
      <c r="E4" s="24">
        <f>COUNTIFS('Delivery Board'!$R$5:$R$500,$A4,'Delivery Board'!$C$5:$C$500,"Blocked")</f>
        <v/>
      </c>
      <c r="F4" s="25">
        <f>IF(B4=0,0,C4/B4)</f>
        <v/>
      </c>
    </row>
    <row r="5">
      <c r="A5" s="23" t="inlineStr">
        <is>
          <t>E2 Ingestion</t>
        </is>
      </c>
      <c r="B5" s="24">
        <f>C5+D5+E5</f>
        <v/>
      </c>
      <c r="C5" s="24">
        <f>COUNTIFS('Delivery Board'!$R$5:$R$500,$A5,'Delivery Board'!$C$5:$C$500,"Done")</f>
        <v/>
      </c>
      <c r="D5" s="24">
        <f>COUNTIFS('Delivery Board'!$R$5:$R$500,$A5,'Delivery Board'!$C$5:$C$500,"Planned")+COUNTIFS('Delivery Board'!$R$5:$R$500,$A5,'Delivery Board'!$C$5:$C$500,"In progress")+COUNTIFS('Delivery Board'!$R$5:$R$500,$A5,'Delivery Board'!$C$5:$C$500,"Milestone")</f>
        <v/>
      </c>
      <c r="E5" s="24">
        <f>COUNTIFS('Delivery Board'!$R$5:$R$500,$A5,'Delivery Board'!$C$5:$C$500,"Blocked")</f>
        <v/>
      </c>
      <c r="F5" s="25">
        <f>IF(B5=0,0,C5/B5)</f>
        <v/>
      </c>
    </row>
    <row r="6">
      <c r="A6" s="23" t="inlineStr">
        <is>
          <t>E3 ML NBA</t>
        </is>
      </c>
      <c r="B6" s="24">
        <f>C6+D6+E6</f>
        <v/>
      </c>
      <c r="C6" s="24">
        <f>COUNTIFS('Delivery Board'!$R$5:$R$500,$A6,'Delivery Board'!$C$5:$C$500,"Done")</f>
        <v/>
      </c>
      <c r="D6" s="24">
        <f>COUNTIFS('Delivery Board'!$R$5:$R$500,$A6,'Delivery Board'!$C$5:$C$500,"Planned")+COUNTIFS('Delivery Board'!$R$5:$R$500,$A6,'Delivery Board'!$C$5:$C$500,"In progress")+COUNTIFS('Delivery Board'!$R$5:$R$500,$A6,'Delivery Board'!$C$5:$C$500,"Milestone")</f>
        <v/>
      </c>
      <c r="E6" s="24">
        <f>COUNTIFS('Delivery Board'!$R$5:$R$500,$A6,'Delivery Board'!$C$5:$C$500,"Blocked")</f>
        <v/>
      </c>
      <c r="F6" s="25">
        <f>IF(B6=0,0,C6/B6)</f>
        <v/>
      </c>
    </row>
    <row r="7">
      <c r="A7" s="23" t="inlineStr">
        <is>
          <t>E4 ML Football</t>
        </is>
      </c>
      <c r="B7" s="24">
        <f>C7+D7+E7</f>
        <v/>
      </c>
      <c r="C7" s="24">
        <f>COUNTIFS('Delivery Board'!$R$5:$R$500,$A7,'Delivery Board'!$C$5:$C$500,"Done")</f>
        <v/>
      </c>
      <c r="D7" s="24">
        <f>COUNTIFS('Delivery Board'!$R$5:$R$500,$A7,'Delivery Board'!$C$5:$C$500,"Planned")+COUNTIFS('Delivery Board'!$R$5:$R$500,$A7,'Delivery Board'!$C$5:$C$500,"In progress")+COUNTIFS('Delivery Board'!$R$5:$R$500,$A7,'Delivery Board'!$C$5:$C$500,"Milestone")</f>
        <v/>
      </c>
      <c r="E7" s="24">
        <f>COUNTIFS('Delivery Board'!$R$5:$R$500,$A7,'Delivery Board'!$C$5:$C$500,"Blocked")</f>
        <v/>
      </c>
      <c r="F7" s="25">
        <f>IF(B7=0,0,C7/B7)</f>
        <v/>
      </c>
    </row>
    <row r="8">
      <c r="A8" s="23" t="inlineStr">
        <is>
          <t>E5 ML Tennis</t>
        </is>
      </c>
      <c r="B8" s="24">
        <f>C8+D8+E8</f>
        <v/>
      </c>
      <c r="C8" s="24">
        <f>COUNTIFS('Delivery Board'!$R$5:$R$500,$A8,'Delivery Board'!$C$5:$C$500,"Done")</f>
        <v/>
      </c>
      <c r="D8" s="24">
        <f>COUNTIFS('Delivery Board'!$R$5:$R$500,$A8,'Delivery Board'!$C$5:$C$500,"Planned")+COUNTIFS('Delivery Board'!$R$5:$R$500,$A8,'Delivery Board'!$C$5:$C$500,"In progress")+COUNTIFS('Delivery Board'!$R$5:$R$500,$A8,'Delivery Board'!$C$5:$C$500,"Milestone")</f>
        <v/>
      </c>
      <c r="E8" s="24">
        <f>COUNTIFS('Delivery Board'!$R$5:$R$500,$A8,'Delivery Board'!$C$5:$C$500,"Blocked")</f>
        <v/>
      </c>
      <c r="F8" s="25">
        <f>IF(B8=0,0,C8/B8)</f>
        <v/>
      </c>
    </row>
    <row r="9">
      <c r="A9" s="23" t="inlineStr">
        <is>
          <t>E6 Picks</t>
        </is>
      </c>
      <c r="B9" s="24">
        <f>C9+D9+E9</f>
        <v/>
      </c>
      <c r="C9" s="24">
        <f>COUNTIFS('Delivery Board'!$R$5:$R$500,$A9,'Delivery Board'!$C$5:$C$500,"Done")</f>
        <v/>
      </c>
      <c r="D9" s="24">
        <f>COUNTIFS('Delivery Board'!$R$5:$R$500,$A9,'Delivery Board'!$C$5:$C$500,"Planned")+COUNTIFS('Delivery Board'!$R$5:$R$500,$A9,'Delivery Board'!$C$5:$C$500,"In progress")+COUNTIFS('Delivery Board'!$R$5:$R$500,$A9,'Delivery Board'!$C$5:$C$500,"Milestone")</f>
        <v/>
      </c>
      <c r="E9" s="24">
        <f>COUNTIFS('Delivery Board'!$R$5:$R$500,$A9,'Delivery Board'!$C$5:$C$500,"Blocked")</f>
        <v/>
      </c>
      <c r="F9" s="25">
        <f>IF(B9=0,0,C9/B9)</f>
        <v/>
      </c>
    </row>
    <row r="10">
      <c r="A10" s="23" t="inlineStr">
        <is>
          <t>E7 Mobile</t>
        </is>
      </c>
      <c r="B10" s="24">
        <f>C10+D10+E10</f>
        <v/>
      </c>
      <c r="C10" s="24">
        <f>COUNTIFS('Delivery Board'!$R$5:$R$500,$A10,'Delivery Board'!$C$5:$C$500,"Done")</f>
        <v/>
      </c>
      <c r="D10" s="24">
        <f>COUNTIFS('Delivery Board'!$R$5:$R$500,$A10,'Delivery Board'!$C$5:$C$500,"Planned")+COUNTIFS('Delivery Board'!$R$5:$R$500,$A10,'Delivery Board'!$C$5:$C$500,"In progress")+COUNTIFS('Delivery Board'!$R$5:$R$500,$A10,'Delivery Board'!$C$5:$C$500,"Milestone")</f>
        <v/>
      </c>
      <c r="E10" s="24">
        <f>COUNTIFS('Delivery Board'!$R$5:$R$500,$A10,'Delivery Board'!$C$5:$C$500,"Blocked")</f>
        <v/>
      </c>
      <c r="F10" s="25">
        <f>IF(B10=0,0,C10/B10)</f>
        <v/>
      </c>
    </row>
    <row r="11">
      <c r="A11" s="23" t="inlineStr">
        <is>
          <t>E8 Model Quality</t>
        </is>
      </c>
      <c r="B11" s="24">
        <f>C11+D11+E11</f>
        <v/>
      </c>
      <c r="C11" s="24">
        <f>COUNTIFS('Delivery Board'!$R$5:$R$500,$A11,'Delivery Board'!$C$5:$C$500,"Done")</f>
        <v/>
      </c>
      <c r="D11" s="24">
        <f>COUNTIFS('Delivery Board'!$R$5:$R$500,$A11,'Delivery Board'!$C$5:$C$500,"Planned")+COUNTIFS('Delivery Board'!$R$5:$R$500,$A11,'Delivery Board'!$C$5:$C$500,"In progress")+COUNTIFS('Delivery Board'!$R$5:$R$500,$A11,'Delivery Board'!$C$5:$C$500,"Milestone")</f>
        <v/>
      </c>
      <c r="E11" s="24">
        <f>COUNTIFS('Delivery Board'!$R$5:$R$500,$A11,'Delivery Board'!$C$5:$C$500,"Blocked")</f>
        <v/>
      </c>
      <c r="F11" s="25">
        <f>IF(B11=0,0,C11/B11)</f>
        <v/>
      </c>
    </row>
    <row r="12">
      <c r="A12" s="23" t="inlineStr">
        <is>
          <t>E9 Data Ops</t>
        </is>
      </c>
      <c r="B12" s="24">
        <f>C12+D12+E12</f>
        <v/>
      </c>
      <c r="C12" s="24">
        <f>COUNTIFS('Delivery Board'!$R$5:$R$500,$A12,'Delivery Board'!$C$5:$C$500,"Done")</f>
        <v/>
      </c>
      <c r="D12" s="24">
        <f>COUNTIFS('Delivery Board'!$R$5:$R$500,$A12,'Delivery Board'!$C$5:$C$500,"Planned")+COUNTIFS('Delivery Board'!$R$5:$R$500,$A12,'Delivery Board'!$C$5:$C$500,"In progress")+COUNTIFS('Delivery Board'!$R$5:$R$500,$A12,'Delivery Board'!$C$5:$C$500,"Milestone")</f>
        <v/>
      </c>
      <c r="E12" s="24">
        <f>COUNTIFS('Delivery Board'!$R$5:$R$500,$A12,'Delivery Board'!$C$5:$C$500,"Blocked")</f>
        <v/>
      </c>
      <c r="F12" s="25">
        <f>IF(B12=0,0,C12/B12)</f>
        <v/>
      </c>
    </row>
    <row r="13">
      <c r="A13" s="23" t="inlineStr">
        <is>
          <t>E10 Deploy</t>
        </is>
      </c>
      <c r="B13" s="24">
        <f>C13+D13+E13</f>
        <v/>
      </c>
      <c r="C13" s="24">
        <f>COUNTIFS('Delivery Board'!$R$5:$R$500,$A13,'Delivery Board'!$C$5:$C$500,"Done")</f>
        <v/>
      </c>
      <c r="D13" s="24">
        <f>COUNTIFS('Delivery Board'!$R$5:$R$500,$A13,'Delivery Board'!$C$5:$C$500,"Planned")+COUNTIFS('Delivery Board'!$R$5:$R$500,$A13,'Delivery Board'!$C$5:$C$500,"In progress")+COUNTIFS('Delivery Board'!$R$5:$R$500,$A13,'Delivery Board'!$C$5:$C$500,"Milestone")</f>
        <v/>
      </c>
      <c r="E13" s="24">
        <f>COUNTIFS('Delivery Board'!$R$5:$R$500,$A13,'Delivery Board'!$C$5:$C$500,"Blocked")</f>
        <v/>
      </c>
      <c r="F13" s="25">
        <f>IF(B13=0,0,C13/B13)</f>
        <v/>
      </c>
    </row>
    <row r="14">
      <c r="A14" s="23" t="inlineStr">
        <is>
          <t>E11 Ops Resilience</t>
        </is>
      </c>
      <c r="B14" s="24">
        <f>C14+D14+E14</f>
        <v/>
      </c>
      <c r="C14" s="24">
        <f>COUNTIFS('Delivery Board'!$R$5:$R$500,$A14,'Delivery Board'!$C$5:$C$500,"Done")</f>
        <v/>
      </c>
      <c r="D14" s="24">
        <f>COUNTIFS('Delivery Board'!$R$5:$R$500,$A14,'Delivery Board'!$C$5:$C$500,"Planned")+COUNTIFS('Delivery Board'!$R$5:$R$500,$A14,'Delivery Board'!$C$5:$C$500,"In progress")+COUNTIFS('Delivery Board'!$R$5:$R$500,$A14,'Delivery Board'!$C$5:$C$500,"Milestone")</f>
        <v/>
      </c>
      <c r="E14" s="24">
        <f>COUNTIFS('Delivery Board'!$R$5:$R$500,$A14,'Delivery Board'!$C$5:$C$500,"Blocked")</f>
        <v/>
      </c>
      <c r="F14" s="25">
        <f>IF(B14=0,0,C14/B14)</f>
        <v/>
      </c>
    </row>
    <row r="16">
      <c r="A16" s="26" t="inlineStr">
        <is>
          <t>OVERALL</t>
        </is>
      </c>
      <c r="B16" s="27">
        <f>SUM(B4:B14)</f>
        <v/>
      </c>
      <c r="C16" s="27">
        <f>SUM(C4:C14)</f>
        <v/>
      </c>
      <c r="D16">
        <f>SUM(D4:D14)</f>
        <v/>
      </c>
      <c r="E16">
        <f>SUM(E4:E14)</f>
        <v/>
      </c>
      <c r="F16" s="28">
        <f>IF(B16=0,0,C16/B16)</f>
        <v/>
      </c>
    </row>
    <row r="18">
      <c r="A18" s="41" t="inlineStr">
        <is>
          <t>Unassigned (should be 0)</t>
        </is>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
      </c>
    </row>
    <row r="19">
      <c r="A19" s="43" t="inlineStr">
        <is>
          <t>Auto-calculated from the Delivery Board. Add an epic here if 'Unassigned' is ever non-zero.</t>
        </is>
      </c>
    </row>
  </sheetData>
  <mergeCells count="1">
    <mergeCell ref="A1:F1"/>
  </mergeCells>
  <conditionalFormatting sqref="F4:F14">
    <cfRule type="cellIs" priority="1" operator="greaterThanOrEqual" dxfId="1">
      <formula>0.99</formula>
    </cfRule>
    <cfRule type="cellIs" priority="2" operator="lessThan" dxfId="0">
      <formula>0.5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3" topLeftCell="A4" activePane="bottomLeft" state="frozen"/>
      <selection pane="bottomLeft" activeCell="A1" sqref="A1:E1"/>
    </sheetView>
  </sheetViews>
  <sheetFormatPr baseColWidth="8" defaultRowHeight="14.4"/>
  <cols>
    <col width="34" customWidth="1" style="282" min="1" max="1"/>
    <col width="13" customWidth="1" style="282" min="2" max="2"/>
    <col width="11" customWidth="1" style="282" min="3" max="3"/>
    <col width="12" customWidth="1" style="282" min="4" max="4"/>
    <col width="62" customWidth="1" style="282" min="5" max="5"/>
  </cols>
  <sheetData>
    <row r="1" ht="26.05" customHeight="1" s="282">
      <c r="A1" s="301" t="inlineStr">
        <is>
          <t>Risks, Blockers &amp; Open Decisions</t>
        </is>
      </c>
      <c r="B1" s="275" t="n"/>
      <c r="C1" s="275" t="n"/>
      <c r="D1" s="275" t="n"/>
      <c r="E1" s="276" t="n"/>
    </row>
    <row r="3">
      <c r="A3" s="29" t="inlineStr">
        <is>
          <t>Item</t>
        </is>
      </c>
      <c r="B3" s="29" t="inlineStr">
        <is>
          <t>Type</t>
        </is>
      </c>
      <c r="C3" s="29" t="inlineStr">
        <is>
          <t>Impact</t>
        </is>
      </c>
      <c r="D3" s="29" t="inlineStr">
        <is>
          <t>Status</t>
        </is>
      </c>
      <c r="E3" s="29" t="inlineStr">
        <is>
          <t>Action / Owner decision</t>
        </is>
      </c>
    </row>
    <row r="4" ht="28" customHeight="1" s="282">
      <c r="A4" s="30" t="inlineStr">
        <is>
          <t>Model edge is unproven</t>
        </is>
      </c>
      <c r="B4" s="11" t="inlineStr">
        <is>
          <t>Risk</t>
        </is>
      </c>
      <c r="C4" s="21" t="inlineStr">
        <is>
          <t>Critical</t>
        </is>
      </c>
      <c r="D4" s="11" t="inlineStr">
        <is>
          <t>Open</t>
        </is>
      </c>
      <c r="E4" s="31" t="inlineStr">
        <is>
          <t>1X2 +1.9pp over baseline; O/U ~base-rate. Retrain with xG is the decision point.</t>
        </is>
      </c>
    </row>
    <row r="5" ht="28" customHeight="1" s="282">
      <c r="A5" s="32" t="inlineStr">
        <is>
          <t>Over/Under surfaced most, has least signal</t>
        </is>
      </c>
      <c r="B5" s="6" t="inlineStr">
        <is>
          <t>Risk</t>
        </is>
      </c>
      <c r="C5" s="19" t="inlineStr">
        <is>
          <t>High</t>
        </is>
      </c>
      <c r="D5" s="6" t="inlineStr">
        <is>
          <t>Open</t>
        </is>
      </c>
      <c r="E5" s="33" t="inlineStr">
        <is>
          <t>GO/NO-GO 2026-08-10 — surface fewer markets rather than ship confident-looking noise.</t>
        </is>
      </c>
    </row>
    <row r="6" ht="28" customHeight="1" s="282">
      <c r="A6" s="30" t="inlineStr">
        <is>
          <t>Not deployed anywhere</t>
        </is>
      </c>
      <c r="B6" s="11" t="inlineStr">
        <is>
          <t>Blocker</t>
        </is>
      </c>
      <c r="C6" s="21" t="inlineStr">
        <is>
          <t>Critical</t>
        </is>
      </c>
      <c r="D6" s="11" t="inlineStr">
        <is>
          <t>Planned</t>
        </is>
      </c>
      <c r="E6" s="31" t="inlineStr">
        <is>
          <t>No infra/, absolute Windows artefact path. ~2-4 weeks of work.</t>
        </is>
      </c>
    </row>
    <row r="7" ht="28" customHeight="1" s="282">
      <c r="A7" s="32" t="inlineStr">
        <is>
          <t>No monitoring — silent failures</t>
        </is>
      </c>
      <c r="B7" s="6" t="inlineStr">
        <is>
          <t>Risk</t>
        </is>
      </c>
      <c r="C7" s="19" t="inlineStr">
        <is>
          <t>High</t>
        </is>
      </c>
      <c r="D7" s="6" t="inlineStr">
        <is>
          <t>Planned</t>
        </is>
      </c>
      <c r="E7" s="33" t="inlineStr">
        <is>
          <t>Injury worker failed for weeks unnoticed; Docker down looked like an app bug.</t>
        </is>
      </c>
    </row>
    <row r="8" ht="28" customHeight="1" s="282">
      <c r="A8" s="30" t="inlineStr">
        <is>
          <t>TheRundown quota exhausted</t>
        </is>
      </c>
      <c r="B8" s="11" t="inlineStr">
        <is>
          <t>Blocker</t>
        </is>
      </c>
      <c r="C8" s="17" t="inlineStr">
        <is>
          <t>Medium</t>
        </is>
      </c>
      <c r="D8" s="11" t="inlineStr">
        <is>
          <t>Decision</t>
        </is>
      </c>
      <c r="E8" s="31" t="inlineStr">
        <is>
          <t>Pro $99.99/mo before EPL opens 21 Aug, or narrow + stay on Basic.</t>
        </is>
      </c>
    </row>
    <row r="9" ht="28" customHeight="1" s="282">
      <c r="A9" s="32" t="inlineStr">
        <is>
          <t>API-Football is a single point of failure</t>
        </is>
      </c>
      <c r="B9" s="6" t="inlineStr">
        <is>
          <t>Risk</t>
        </is>
      </c>
      <c r="C9" s="19" t="inlineStr">
        <is>
          <t>High</t>
        </is>
      </c>
      <c r="D9" s="6" t="inlineStr">
        <is>
          <t>Accepted</t>
        </is>
      </c>
      <c r="E9" s="33" t="inlineStr">
        <is>
          <t>Fixtures, stats, injuries, H2H, lineups all from one vendor. Auto-renews.</t>
        </is>
      </c>
    </row>
    <row r="10" ht="28" customHeight="1" s="282">
      <c r="A10" s="30" t="inlineStr">
        <is>
          <t>European odds may need no vendor at all</t>
        </is>
      </c>
      <c r="B10" s="11" t="inlineStr">
        <is>
          <t>Opportunity</t>
        </is>
      </c>
      <c r="C10" s="17" t="inlineStr">
        <is>
          <t>Medium</t>
        </is>
      </c>
      <c r="D10" s="11" t="inlineStr">
        <is>
          <t>Open</t>
        </is>
      </c>
      <c r="E10" s="31" t="inlineStr">
        <is>
          <t>Re-test coverage.odds on 21 Aug; could make TheRundown NBA-only.</t>
        </is>
      </c>
    </row>
    <row r="11" ht="28" customHeight="1" s="282">
      <c r="A11" s="32" t="inlineStr">
        <is>
          <t>No EAS project</t>
        </is>
      </c>
      <c r="B11" s="6" t="inlineStr">
        <is>
          <t>Blocker</t>
        </is>
      </c>
      <c r="C11" s="19" t="inlineStr">
        <is>
          <t>High</t>
        </is>
      </c>
      <c r="D11" s="6" t="inlineStr">
        <is>
          <t>Planned</t>
        </is>
      </c>
      <c r="E11" s="33" t="inlineStr">
        <is>
          <t>Cannot ship the app to a single user, nor mint push tokens.</t>
        </is>
      </c>
    </row>
    <row r="12" ht="28" customHeight="1" s="282">
      <c r="A12" s="30" t="inlineStr">
        <is>
          <t>WTA blocked on subscription</t>
        </is>
      </c>
      <c r="B12" s="11" t="inlineStr">
        <is>
          <t>Blocker</t>
        </is>
      </c>
      <c r="C12" s="34" t="inlineStr">
        <is>
          <t>Low</t>
        </is>
      </c>
      <c r="D12" s="11" t="inlineStr">
        <is>
          <t>Deferred</t>
        </is>
      </c>
      <c r="E12" s="31" t="inlineStr">
        <is>
          <t>Code written and unit-tested; needs that tour subscribed.</t>
        </is>
      </c>
    </row>
    <row r="13" ht="28" customHeight="1" s="282">
      <c r="A13" s="32" t="inlineStr">
        <is>
          <t>NBA injuries dead (no RotoWire key)</t>
        </is>
      </c>
      <c r="B13" s="6" t="inlineStr">
        <is>
          <t>Blocker</t>
        </is>
      </c>
      <c r="C13" s="17" t="inlineStr">
        <is>
          <t>Medium</t>
        </is>
      </c>
      <c r="D13" s="6" t="inlineStr">
        <is>
          <t>Deferred</t>
        </is>
      </c>
      <c r="E13" s="33" t="inlineStr">
        <is>
          <t>player_injury_status stays empty; NBA key-player features never vary.</t>
        </is>
      </c>
    </row>
    <row r="14" ht="28" customHeight="1" s="282">
      <c r="A14" s="30" t="inlineStr">
        <is>
          <t>Mobile has no Jest/ESLint</t>
        </is>
      </c>
      <c r="B14" s="11" t="inlineStr">
        <is>
          <t>Risk</t>
        </is>
      </c>
      <c r="C14" s="17" t="inlineStr">
        <is>
          <t>Medium</t>
        </is>
      </c>
      <c r="D14" s="11" t="inlineStr">
        <is>
          <t>Planned</t>
        </is>
      </c>
      <c r="E14" s="31" t="inlineStr">
        <is>
          <t>tsc is the only automated mobile check.</t>
        </is>
      </c>
    </row>
    <row r="15" ht="28" customHeight="1" s="282">
      <c r="A15" s="32" t="inlineStr">
        <is>
          <t>Single-machine dev environment</t>
        </is>
      </c>
      <c r="B15" s="6" t="inlineStr">
        <is>
          <t>Risk</t>
        </is>
      </c>
      <c r="C15" s="17" t="inlineStr">
        <is>
          <t>Medium</t>
        </is>
      </c>
      <c r="D15" s="6" t="inlineStr">
        <is>
          <t>Open</t>
        </is>
      </c>
      <c r="E15" s="33" t="inlineStr">
        <is>
          <t>Postgres, Redis, workers and models all on one Windows box.</t>
        </is>
      </c>
    </row>
    <row r="16" ht="30" customHeight="1" s="282">
      <c r="A16" s="30" t="inlineStr">
        <is>
          <t>Stale long-lived processes</t>
        </is>
      </c>
      <c r="B16" s="11" t="inlineStr">
        <is>
          <t>Risk</t>
        </is>
      </c>
      <c r="C16" s="19" t="inlineStr">
        <is>
          <t>High</t>
        </is>
      </c>
      <c r="D16" s="11" t="inlineStr">
        <is>
          <t>Mitigated</t>
        </is>
      </c>
      <c r="E16" s="31" t="inlineStr">
        <is>
          <t>Hit 4x in one day. dev_worker.py prevents in dev; check_stale.py detects. Prod needs deploy to restart worker AND beat.</t>
        </is>
      </c>
    </row>
    <row r="17" ht="30" customHeight="1" s="282">
      <c r="A17" s="32" t="inlineStr">
        <is>
          <t>Over/Under signal still short of significant</t>
        </is>
      </c>
      <c r="B17" s="6" t="inlineStr">
        <is>
          <t>Risk</t>
        </is>
      </c>
      <c r="C17" s="21" t="inlineStr">
        <is>
          <t>Critical</t>
        </is>
      </c>
      <c r="D17" s="6" t="inlineStr">
        <is>
          <t>Open</t>
        </is>
      </c>
      <c r="E17" s="33" t="inlineStr">
        <is>
          <t>xG lifted trend z=+0.73 -&gt; +1.86 (p=0.062). League features REGRESSED it. Shotmap features are the last untried lever.</t>
        </is>
      </c>
    </row>
    <row r="18" ht="30" customHeight="1" s="282">
      <c r="A18" s="30" t="inlineStr">
        <is>
          <t>Tennis kickoff times are provider-limited</t>
        </is>
      </c>
      <c r="B18" s="11" t="inlineStr">
        <is>
          <t>Blocker</t>
        </is>
      </c>
      <c r="C18" s="17" t="inlineStr">
        <is>
          <t>Medium</t>
        </is>
      </c>
      <c r="D18" s="11" t="inlineStr">
        <is>
          <t>Decision</t>
        </is>
      </c>
      <c r="E18" s="31" t="inlineStr">
        <is>
          <t>Only ~2% of BallDontLie matches carry a real time; the rest are date-only placeholders. No code fixes this.</t>
        </is>
      </c>
    </row>
    <row r="19" ht="30" customHeight="1" s="282">
      <c r="A19" s="32" t="inlineStr">
        <is>
          <t>25+ commits unpushed on a public repo</t>
        </is>
      </c>
      <c r="B19" s="6" t="inlineStr">
        <is>
          <t>Risk</t>
        </is>
      </c>
      <c r="C19" s="17" t="inlineStr">
        <is>
          <t>Medium</t>
        </is>
      </c>
      <c r="D19" s="6" t="inlineStr">
        <is>
          <t>Open</t>
        </is>
      </c>
      <c r="E19" s="33" t="inlineStr">
        <is>
          <t>All of today's and yesterday's work exists only on this machine.</t>
        </is>
      </c>
    </row>
    <row r="20" ht="32.05" customHeight="1" s="282">
      <c r="A20" s="30" t="inlineStr">
        <is>
          <t>Over/Under signal</t>
        </is>
      </c>
      <c r="B20" s="11" t="inlineStr">
        <is>
          <t>Resolved</t>
        </is>
      </c>
      <c r="C20" s="21" t="inlineStr">
        <is>
          <t>Critical</t>
        </is>
      </c>
      <c r="D20" s="11" t="inlineStr">
        <is>
          <t>Closed</t>
        </is>
      </c>
      <c r="E20" s="31" t="inlineStr">
        <is>
          <t>z=+2.96 p=0.0031 through the calibrated production path. Was the top model risk; surfacing a headline % is now defensible.</t>
        </is>
      </c>
    </row>
    <row r="21" ht="32.05" customHeight="1" s="282">
      <c r="A21" s="32" t="inlineStr">
        <is>
          <t>localhost resolves to IPv6 on Windows</t>
        </is>
      </c>
      <c r="B21" s="6" t="inlineStr">
        <is>
          <t>Risk</t>
        </is>
      </c>
      <c r="C21" s="19" t="inlineStr">
        <is>
          <t>High</t>
        </is>
      </c>
      <c r="D21" s="6" t="inlineStr">
        <is>
          <t>Mitigated</t>
        </is>
      </c>
      <c r="E21" s="33" t="inlineStr">
        <is>
          <t>Broke every new host-&gt;container DB connection: 61 test errors, API 500s, failed exports. Pinned to 127.0.0.1 in .env; compose and .env.example still need it.</t>
        </is>
      </c>
    </row>
    <row r="22" ht="32.05" customHeight="1" s="282">
      <c r="A22" s="30" t="inlineStr">
        <is>
          <t>Fewer features beat more, twice</t>
        </is>
      </c>
      <c r="B22" s="11" t="inlineStr">
        <is>
          <t>Insight</t>
        </is>
      </c>
      <c r="C22" s="17" t="inlineStr">
        <is>
          <t>Medium</t>
        </is>
      </c>
      <c r="D22" s="11" t="inlineStr">
        <is>
          <t>Open</t>
        </is>
      </c>
      <c r="E22" s="31" t="inlineStr">
        <is>
          <t>League baselines hurt; pruning 7 helped. On ~5,200 rows correlated inputs cost more variance than they add signal. Test removals as readily as additions.</t>
        </is>
      </c>
    </row>
    <row r="23" ht="32.05" customHeight="1" s="282">
      <c r="A23" s="32" t="inlineStr">
        <is>
          <t>Bundesliga widens the pooled goals range</t>
        </is>
      </c>
      <c r="B23" s="6" t="inlineStr">
        <is>
          <t>Insight</t>
        </is>
      </c>
      <c r="C23" s="17" t="inlineStr">
        <is>
          <t>Medium</t>
        </is>
      </c>
      <c r="D23" s="6" t="inlineStr">
        <is>
          <t>Open</t>
        </is>
      </c>
      <c r="E23" s="33" t="inlineStr">
        <is>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is>
      </c>
    </row>
    <row r="24" ht="32.05" customHeight="1" s="282">
      <c r="A24" s="30" t="inlineStr">
        <is>
          <t>Sampling can fake a coverage gap</t>
        </is>
      </c>
      <c r="B24" s="11" t="inlineStr">
        <is>
          <t>Insight</t>
        </is>
      </c>
      <c r="C24" s="17" t="inlineStr">
        <is>
          <t>Medium</t>
        </is>
      </c>
      <c r="D24" s="11" t="inlineStr">
        <is>
          <t>Open</t>
        </is>
      </c>
      <c r="E24" s="31" t="inlineStr">
        <is>
          <t>Ligue 1 returned 0/2 xG for three straight seasons from two matches off the head of page 1; six spread across each season returned 5/6 every time. ~930 fixtures were nearly discarded. When coverage appears to VANISH in later seasons, suspect the sample first.</t>
        </is>
      </c>
    </row>
    <row r="25" ht="32.05" customHeight="1" s="282">
      <c r="A25" s="53" t="inlineStr">
        <is>
          <t>Model promotion needs a redeploy</t>
        </is>
      </c>
      <c r="B25" s="51" t="inlineStr">
        <is>
          <t>Decision</t>
        </is>
      </c>
      <c r="C25" s="54" t="inlineStr">
        <is>
          <t>Medium</t>
        </is>
      </c>
      <c r="D25" s="51" t="inlineStr">
        <is>
          <t>Open</t>
        </is>
      </c>
      <c r="E25" s="55" t="inlineStr">
        <is>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is>
      </c>
    </row>
    <row r="26" ht="32.05" customHeight="1" s="282">
      <c r="A26" s="56" t="inlineStr">
        <is>
          <t>git will not descend into an excluded directory</t>
        </is>
      </c>
      <c r="B26" s="46" t="inlineStr">
        <is>
          <t>Insight</t>
        </is>
      </c>
      <c r="C26" s="54" t="inlineStr">
        <is>
          <t>Low</t>
        </is>
      </c>
      <c r="D26" s="46" t="inlineStr">
        <is>
          <t>Closed</t>
        </is>
      </c>
      <c r="E26" s="57" t="inlineStr">
        <is>
          <t>A negation inside an excluded directory silently did nothing; the CONTENTS had to be excluded instead. Caught only because staged files still did not appear in git status.</t>
        </is>
      </c>
    </row>
    <row r="27" ht="32.05" customHeight="1" s="282">
      <c r="A27" s="53" t="inlineStr">
        <is>
          <t>Kickoff reminders skip estimated kickoffs</t>
        </is>
      </c>
      <c r="B27" s="51" t="inlineStr">
        <is>
          <t>Decision</t>
        </is>
      </c>
      <c r="C27" s="54" t="inlineStr">
        <is>
          <t>Low</t>
        </is>
      </c>
      <c r="D27" s="51" t="inlineStr">
        <is>
          <t>Open</t>
        </is>
      </c>
      <c r="E27" s="55" t="inlineStr">
        <is>
          <t>An estimated kickoff is a DATE not a time, so a T-60 reminder off a midnight placeholder would be false. Skipped rather than sent wrong. Affects most ATP fixtures until BallDontLie publishes real times - only ~2% carry one.</t>
        </is>
      </c>
    </row>
    <row r="28" ht="46" customHeight="1" s="282">
      <c r="A28" s="71" t="inlineStr">
        <is>
          <t>Android package name is permanent after release</t>
        </is>
      </c>
      <c r="B28" s="60" t="inlineStr">
        <is>
          <t>Decision</t>
        </is>
      </c>
      <c r="C28" s="67" t="inlineStr">
        <is>
          <t>High</t>
        </is>
      </c>
      <c r="D28" s="94" t="inlineStr">
        <is>
          <t>Closed</t>
        </is>
      </c>
      <c r="E28" s="94" t="inlineStr">
        <is>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is>
      </c>
    </row>
    <row r="29" ht="46" customHeight="1" s="282">
      <c r="A29" s="72" t="inlineStr">
        <is>
          <t>Push notifications remain unverifiable on device</t>
        </is>
      </c>
      <c r="B29" s="65" t="inlineStr">
        <is>
          <t>Risk</t>
        </is>
      </c>
      <c r="C29" s="69" t="inlineStr">
        <is>
          <t>Medium</t>
        </is>
      </c>
      <c r="D29" s="93" t="inlineStr">
        <is>
          <t>Closed</t>
        </is>
      </c>
      <c r="E29" s="93" t="inlineStr">
        <is>
          <t>SUPERSEDED by the row below. eas init created @usangr01/sportpiq and wrote a real projectId, so a token can now be minted; what remains is device verification, tracked separately rather than duplicated here.</t>
        </is>
      </c>
    </row>
    <row r="30" ht="32.05" customHeight="1" s="282">
      <c r="A30" s="78" t="inlineStr">
        <is>
          <t>Push still unverified on a device</t>
        </is>
      </c>
      <c r="B30" s="75" t="inlineStr">
        <is>
          <t>Risk</t>
        </is>
      </c>
      <c r="C30" s="79" t="inlineStr">
        <is>
          <t>Medium</t>
        </is>
      </c>
      <c r="D30" s="75" t="inlineStr">
        <is>
          <t>Open</t>
        </is>
      </c>
      <c r="E30" s="80" t="inlineStr">
        <is>
          <t>projectId now exists so a token CAN be minted, but nothing has been delivered to a real device. Needs a development build: Expo Go on Android cannot receive remote push since SDK 53. Reduced from blocking to testable.</t>
        </is>
      </c>
    </row>
    <row r="31" ht="32.05" customHeight="1" s="282">
      <c r="A31" s="92" t="inlineStr">
        <is>
          <t>Trademark position for SportPIQ</t>
        </is>
      </c>
      <c r="B31" s="83" t="inlineStr">
        <is>
          <t>Insight</t>
        </is>
      </c>
      <c r="C31" s="90" t="inlineStr">
        <is>
          <t>Medium</t>
        </is>
      </c>
      <c r="D31" s="83" t="inlineStr">
        <is>
          <t>Monitored</t>
        </is>
      </c>
      <c r="E31" s="93" t="inlineStr">
        <is>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is>
      </c>
    </row>
    <row r="32" ht="32.05" customHeight="1" s="282">
      <c r="A32" s="106" t="inlineStr">
        <is>
          <t>Firebase adopted for FCM only, not as a backend</t>
        </is>
      </c>
      <c r="B32" s="102" t="inlineStr">
        <is>
          <t>Decision</t>
        </is>
      </c>
      <c r="C32" s="104" t="inlineStr">
        <is>
          <t>Medium</t>
        </is>
      </c>
      <c r="D32" s="102" t="inlineStr">
        <is>
          <t>Closed</t>
        </is>
      </c>
      <c r="E32" s="107" t="inlineStr">
        <is>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is>
      </c>
    </row>
    <row r="33" ht="32.05" customHeight="1" s="282">
      <c r="A33" s="108" t="inlineStr">
        <is>
          <t>Service-account key was synced to OneDrive</t>
        </is>
      </c>
      <c r="B33" s="97" t="inlineStr">
        <is>
          <t>Risk</t>
        </is>
      </c>
      <c r="C33" s="104" t="inlineStr">
        <is>
          <t>Medium</t>
        </is>
      </c>
      <c r="D33" s="97" t="inlineStr">
        <is>
          <t>Mitigated</t>
        </is>
      </c>
      <c r="E33" s="109" t="inlineStr">
        <is>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is>
      </c>
    </row>
    <row r="34" ht="32.05" customHeight="1" s="282">
      <c r="A34" s="134" t="inlineStr">
        <is>
          <t>Web testing does not catch device layout bugs</t>
        </is>
      </c>
      <c r="B34" s="129" t="inlineStr">
        <is>
          <t>Insight</t>
        </is>
      </c>
      <c r="C34" s="123" t="inlineStr">
        <is>
          <t>High</t>
        </is>
      </c>
      <c r="D34" s="129" t="inlineStr">
        <is>
          <t>Open</t>
        </is>
      </c>
      <c r="E34" s="135" t="inlineStr">
        <is>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is>
      </c>
    </row>
    <row r="35" ht="32.05" customHeight="1" s="282">
      <c r="A35" s="136" t="inlineStr">
        <is>
          <t>The test suite writes to the dev database</t>
        </is>
      </c>
      <c r="B35" s="124" t="inlineStr">
        <is>
          <t>Risk</t>
        </is>
      </c>
      <c r="C35" s="132" t="inlineStr">
        <is>
          <t>Medium</t>
        </is>
      </c>
      <c r="D35" s="124" t="inlineStr">
        <is>
          <t>Open</t>
        </is>
      </c>
      <c r="E35" s="137" t="inlineStr">
        <is>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is>
      </c>
    </row>
    <row r="36" ht="74.05" customHeight="1" s="282">
      <c r="A36" s="147" t="inlineStr">
        <is>
          <t>TheRundown quota exhausted</t>
        </is>
      </c>
      <c r="B36" s="145" t="inlineStr">
        <is>
          <t>Risk</t>
        </is>
      </c>
      <c r="C36" s="148" t="inlineStr">
        <is>
          <t>Critical</t>
        </is>
      </c>
      <c r="D36" s="153" t="inlineStr">
        <is>
          <t>Closed (see correction)</t>
        </is>
      </c>
      <c r="E36" s="153" t="inlineStr">
        <is>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is>
      </c>
    </row>
    <row r="37" ht="32.05" customHeight="1" s="282">
      <c r="A37" s="150" t="inlineStr">
        <is>
          <t>Odds quota cost is fixture-gated, not league-gated</t>
        </is>
      </c>
      <c r="B37" s="140" t="inlineStr">
        <is>
          <t>Insight</t>
        </is>
      </c>
      <c r="C37" s="151" t="inlineStr">
        <is>
          <t>Medium</t>
        </is>
      </c>
      <c r="D37" s="140" t="inlineStr">
        <is>
          <t>Open</t>
        </is>
      </c>
      <c r="E37" s="152" t="inlineStr">
        <is>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is>
      </c>
    </row>
    <row r="38" ht="32.05" customHeight="1" s="282">
      <c r="A38" s="147" t="inlineStr">
        <is>
          <t>TheRundown value starts 21 Aug, not today</t>
        </is>
      </c>
      <c r="B38" s="145" t="inlineStr">
        <is>
          <t>Insight</t>
        </is>
      </c>
      <c r="C38" s="151" t="inlineStr">
        <is>
          <t>Low</t>
        </is>
      </c>
      <c r="D38" s="145" t="inlineStr">
        <is>
          <t>Open</t>
        </is>
      </c>
      <c r="E38" s="149" t="inlineStr">
        <is>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is>
      </c>
    </row>
    <row r="39" ht="32.05" customHeight="1" s="282">
      <c r="A39" s="160" t="inlineStr">
        <is>
          <t>Is API-Football EPL odds coverage real or seasonal?</t>
        </is>
      </c>
      <c r="B39" s="157" t="inlineStr">
        <is>
          <t>Risk</t>
        </is>
      </c>
      <c r="C39" s="161" t="inlineStr">
        <is>
          <t>High</t>
        </is>
      </c>
      <c r="D39" s="157" t="inlineStr">
        <is>
          <t>Open</t>
        </is>
      </c>
      <c r="E39" s="162" t="inlineStr">
        <is>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is>
      </c>
    </row>
    <row r="40" ht="32.05" customHeight="1" s="282">
      <c r="A40" s="168" t="inlineStr">
        <is>
          <t>The basic quota was burned by a bug, not demand</t>
        </is>
      </c>
      <c r="B40" s="165" t="inlineStr">
        <is>
          <t>Insight</t>
        </is>
      </c>
      <c r="C40" s="169" t="inlineStr">
        <is>
          <t>High</t>
        </is>
      </c>
      <c r="D40" s="165" t="inlineStr">
        <is>
          <t>Open</t>
        </is>
      </c>
      <c r="E40" s="170" t="inlineStr">
        <is>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is>
      </c>
    </row>
    <row r="41" ht="32.05" customHeight="1" s="282">
      <c r="A41" s="171" t="inlineStr">
        <is>
          <t>API-Football renewal</t>
        </is>
      </c>
      <c r="B41" s="172" t="inlineStr">
        <is>
          <t>Decision</t>
        </is>
      </c>
      <c r="C41" s="173" t="inlineStr">
        <is>
          <t>Medium</t>
        </is>
      </c>
      <c r="D41" s="172" t="inlineStr">
        <is>
          <t>Closed</t>
        </is>
      </c>
      <c r="E41" s="174" t="inlineStr">
        <is>
          <t>User confirmed the API-Football subscription will be renewed. This was carried as an open P0 after that had already been stated - a second instance of a stale item surviving in the list. Not a risk.</t>
        </is>
      </c>
    </row>
    <row r="42" ht="32.05" customHeight="1" s="282">
      <c r="A42" s="188" t="inlineStr">
        <is>
          <t>Best-odds MAX actively selects for outliers</t>
        </is>
      </c>
      <c r="B42" s="183" t="inlineStr">
        <is>
          <t>Insight</t>
        </is>
      </c>
      <c r="C42" s="177" t="inlineStr">
        <is>
          <t>High</t>
        </is>
      </c>
      <c r="D42" s="183" t="inlineStr">
        <is>
          <t>Open</t>
        </is>
      </c>
      <c r="E42" s="189" t="inlineStr">
        <is>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is>
      </c>
    </row>
    <row r="43" ht="32.05" customHeight="1" s="282">
      <c r="A43" s="190" t="inlineStr">
        <is>
          <t>Polymarket lists ATP with the sides reversed</t>
        </is>
      </c>
      <c r="B43" s="178" t="inlineStr">
        <is>
          <t>Risk</t>
        </is>
      </c>
      <c r="C43" s="186" t="inlineStr">
        <is>
          <t>Medium</t>
        </is>
      </c>
      <c r="D43" s="178" t="inlineStr">
        <is>
          <t>Mitigated</t>
        </is>
      </c>
      <c r="E43" s="191" t="inlineStr">
        <is>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is>
      </c>
    </row>
    <row r="44" ht="32.05" customHeight="1" s="282">
      <c r="A44" s="188" t="inlineStr">
        <is>
          <t>A distance threshold hid a real bug</t>
        </is>
      </c>
      <c r="B44" s="183" t="inlineStr">
        <is>
          <t>Insight</t>
        </is>
      </c>
      <c r="C44" s="186" t="inlineStr">
        <is>
          <t>Medium</t>
        </is>
      </c>
      <c r="D44" s="183" t="inlineStr">
        <is>
          <t>Closed</t>
        </is>
      </c>
      <c r="E44" s="189" t="inlineStr">
        <is>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is>
      </c>
    </row>
    <row r="45" ht="32.05" customHeight="1" s="282">
      <c r="A45" s="190" t="inlineStr">
        <is>
          <t>Analytics scoped to mobile only, deferred to post-launch</t>
        </is>
      </c>
      <c r="B45" s="178" t="inlineStr">
        <is>
          <t>Decision</t>
        </is>
      </c>
      <c r="C45" s="186" t="inlineStr">
        <is>
          <t>Low</t>
        </is>
      </c>
      <c r="D45" s="178" t="inlineStr">
        <is>
          <t>Open</t>
        </is>
      </c>
      <c r="E45" s="191" t="inlineStr">
        <is>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is>
      </c>
    </row>
    <row r="46" ht="32.05" customHeight="1" s="282">
      <c r="A46" s="206" t="inlineStr">
        <is>
          <t>Tennis total games must not repeat the football O/U mistake</t>
        </is>
      </c>
      <c r="B46" s="194" t="inlineStr">
        <is>
          <t>Decision</t>
        </is>
      </c>
      <c r="C46" s="199" t="inlineStr">
        <is>
          <t>High</t>
        </is>
      </c>
      <c r="D46" s="194" t="inlineStr">
        <is>
          <t>Open</t>
        </is>
      </c>
      <c r="E46" s="207" t="inlineStr">
        <is>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is>
      </c>
    </row>
    <row r="47" ht="32.05" customHeight="1" s="282">
      <c r="A47" s="208" t="inlineStr">
        <is>
          <t>Serve features need a GOAT-tier upgrade</t>
        </is>
      </c>
      <c r="B47" s="200" t="inlineStr">
        <is>
          <t>Risk</t>
        </is>
      </c>
      <c r="C47" s="203" t="inlineStr">
        <is>
          <t>Medium</t>
        </is>
      </c>
      <c r="D47" s="200" t="inlineStr">
        <is>
          <t>Open</t>
        </is>
      </c>
      <c r="E47" s="209" t="inlineStr">
        <is>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is>
      </c>
    </row>
    <row r="48" ht="32.05" customHeight="1" s="282">
      <c r="A48" s="206" t="inlineStr">
        <is>
          <t>Live/in-play tennis markets are an architecture change</t>
        </is>
      </c>
      <c r="B48" s="194" t="inlineStr">
        <is>
          <t>Decision</t>
        </is>
      </c>
      <c r="C48" s="203" t="inlineStr">
        <is>
          <t>Medium</t>
        </is>
      </c>
      <c r="D48" s="194" t="inlineStr">
        <is>
          <t>Open</t>
        </is>
      </c>
      <c r="E48" s="207" t="inlineStr">
        <is>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is>
      </c>
    </row>
    <row r="49">
      <c r="A49" t="inlineStr">
        <is>
          <t>Corners blend is data-starved</t>
        </is>
      </c>
      <c r="B49" t="inlineStr">
        <is>
          <t>Risk</t>
        </is>
      </c>
      <c r="C49" t="inlineStr">
        <is>
          <t>Medium</t>
        </is>
      </c>
      <c r="D49" t="inlineStr">
        <is>
          <t>Open</t>
        </is>
      </c>
      <c r="E49" t="inlineStr">
        <is>
          <t>Only ~27% of live fixtures have enough corner history for the reference; the rest fall back to the model alone. Grows as fixtures settle; no free backfill (zero id overlap with the parquets)</t>
        </is>
      </c>
    </row>
    <row r="50">
      <c r="A50" t="inlineStr">
        <is>
          <t>Draw class collapses under calibration</t>
        </is>
      </c>
      <c r="B50" t="inlineStr">
        <is>
          <t>Risk</t>
        </is>
      </c>
      <c r="C50" t="inlineStr">
        <is>
          <t>Medium</t>
        </is>
      </c>
      <c r="D50" t="inlineStr">
        <is>
          <t>Open</t>
        </is>
      </c>
      <c r="E50" t="inlineStr">
        <is>
          <t>Isotonic takes draw from favourite-11% (raw) to 1% (calibrated) while draws happen 26% of the time. Brier still improves, so not clearly wrong - but away prob has never exceeded 0.573</t>
        </is>
      </c>
    </row>
    <row r="51">
      <c r="A51" t="inlineStr">
        <is>
          <t>Live feature sparsity on out-of-season leagues</t>
        </is>
      </c>
      <c r="B51" t="inlineStr">
        <is>
          <t>Risk</t>
        </is>
      </c>
      <c r="C51" t="inlineStr">
        <is>
          <t>Medium</t>
        </is>
      </c>
      <c r="D51" t="inlineStr">
        <is>
          <t>Open</t>
        </is>
      </c>
      <c r="E51" t="inlineStr">
        <is>
          <t>EPL median completeness 0.12, LaLiga 0.10 - between seasons, so cards are near-pure prior. NOT a collection gap: all 9 leagues are trained. Resolves when seasons start</t>
        </is>
      </c>
    </row>
    <row r="52">
      <c r="A52" t="inlineStr">
        <is>
          <t>Total games market: closed, will not build</t>
        </is>
      </c>
      <c r="B52" t="inlineStr">
        <is>
          <t>Decision</t>
        </is>
      </c>
      <c r="C52" t="inlineStr">
        <is>
          <t>n/a</t>
        </is>
      </c>
      <c r="D52" t="inlineStr">
        <is>
          <t>Closed</t>
        </is>
      </c>
      <c r="E52" t="inlineStr">
        <is>
          <t>Gate failed on 1,277 held-out fixtures. Revisit only with point-level or in-play data, not more modelling of the same inputs</t>
        </is>
      </c>
    </row>
    <row r="53">
      <c r="A53" t="inlineStr">
        <is>
          <t>H2H as a model input: closed</t>
        </is>
      </c>
      <c r="B53" t="inlineStr">
        <is>
          <t>Decision</t>
        </is>
      </c>
      <c r="C53" t="inlineStr">
        <is>
          <t>n/a</t>
        </is>
      </c>
      <c r="D53" t="inlineStr">
        <is>
          <t>Closed</t>
        </is>
      </c>
      <c r="E53" t="inlineStr">
        <is>
          <t>Measured worse than the league mean in all three markets and at every window. The model already carries H2H features and correctly weights them near zero</t>
        </is>
      </c>
    </row>
    <row r="54" ht="57.6" customHeight="1" s="282">
      <c r="A54" s="215" t="inlineStr">
        <is>
          <t>Tier-1 league pooling: closed, KEEP</t>
        </is>
      </c>
      <c r="B54" s="215" t="inlineStr">
        <is>
          <t>Decision</t>
        </is>
      </c>
      <c r="C54" s="215" t="inlineStr">
        <is>
          <t>n/a</t>
        </is>
      </c>
      <c r="D54" s="215" t="inlineStr">
        <is>
          <t>Closed</t>
        </is>
      </c>
      <c r="E54" s="215" t="inlineStr">
        <is>
          <t>Criteria fixed BEFORE the run so the verdict could not be fitted to it. Baseline gap held (+4.09 -&gt; +4.14pp) and under-3.5 discrimination improved sharply (z +3.35 -&gt; +5.92, buckets monotonic for the first time). Calibration was already ~0, so this is a discrimination gain</t>
        </is>
      </c>
    </row>
    <row r="55" ht="72" customHeight="1" s="282">
      <c r="A55" s="215" t="inlineStr">
        <is>
          <t>Empty feature vectors produced extreme picks</t>
        </is>
      </c>
      <c r="B55" s="215" t="inlineStr">
        <is>
          <t>Risk</t>
        </is>
      </c>
      <c r="C55" s="215" t="inlineStr">
        <is>
          <t>High</t>
        </is>
      </c>
      <c r="D55" s="215" t="inlineStr">
        <is>
          <t>Closed</t>
        </is>
      </c>
      <c r="E55" s="215" t="inlineStr">
        <is>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is>
      </c>
    </row>
    <row r="56" ht="43.2" customHeight="1" s="282">
      <c r="A56" s="215" t="inlineStr">
        <is>
          <t>Trained-on but not served: 9 Tier-1 leagues</t>
        </is>
      </c>
      <c r="B56" s="215" t="inlineStr">
        <is>
          <t>Risk</t>
        </is>
      </c>
      <c r="C56" s="215" t="inlineStr">
        <is>
          <t>Medium</t>
        </is>
      </c>
      <c r="D56" s="215" t="inlineStr">
        <is>
          <t>Open</t>
        </is>
      </c>
      <c r="E56" s="215" t="inlineStr">
        <is>
          <t>The model learned from 18 leagues; the app ingests 9. Users see no Swedish/Japanese/Polish fixture. Training config and live LEAGUE_IDS are separate wirings and drifted apart</t>
        </is>
      </c>
    </row>
    <row r="57" ht="43.2" customHeight="1" s="282">
      <c r="A57" s="215" t="inlineStr">
        <is>
          <t>RETRACTED: celery beat was never duplicated</t>
        </is>
      </c>
      <c r="B57" s="215" t="inlineStr">
        <is>
          <t>Risk</t>
        </is>
      </c>
      <c r="C57" s="215" t="inlineStr">
        <is>
          <t>Medium</t>
        </is>
      </c>
      <c r="D57" s="215" t="inlineStr">
        <is>
          <t>Closed</t>
        </is>
      </c>
      <c r="E57" s="215" t="inlineStr">
        <is>
          <t>The claim was wrong - one celery launch is two PIDs (launcher + child), confirmed via ParentProcessId. No task was ever firing twice. The real fault was a stale worker holding pre-edit code. Check parentage before inferring anything from a process count</t>
        </is>
      </c>
    </row>
    <row r="58" ht="72" customHeight="1" s="282">
      <c r="A58" s="215" t="inlineStr">
        <is>
          <t>Season conventions: closed, resolved from the provider</t>
        </is>
      </c>
      <c r="B58" s="215" t="inlineStr">
        <is>
          <t>Risk</t>
        </is>
      </c>
      <c r="C58" s="215" t="inlineStr">
        <is>
          <t>Medium</t>
        </is>
      </c>
      <c r="D58" s="215" t="inlineStr">
        <is>
          <t>Closed</t>
        </is>
      </c>
      <c r="E58" s="215" t="inlineStr">
        <is>
          <t>resolve_current_season now reads current=true with a 12h cache and falls back to the hardcoded rules. A league that changes its calendar corrects itself within the TTL rather than needing a code change and a bug report first</t>
        </is>
      </c>
    </row>
    <row r="59" ht="100.8" customHeight="1" s="282">
      <c r="A59" s="215" t="inlineStr">
        <is>
          <t>Stale features look identical to good ones</t>
        </is>
      </c>
      <c r="B59" s="215" t="inlineStr">
        <is>
          <t>Risk</t>
        </is>
      </c>
      <c r="C59" s="215" t="inlineStr">
        <is>
          <t>High</t>
        </is>
      </c>
      <c r="D59" s="215" t="inlineStr">
        <is>
          <t>Open</t>
        </is>
      </c>
      <c r="E59" s="215" t="inlineStr">
        <is>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is>
      </c>
    </row>
    <row r="60" ht="72" customHeight="1" s="282">
      <c r="A60" s="215" t="inlineStr">
        <is>
          <t>Silent type mismatches across data sources</t>
        </is>
      </c>
      <c r="B60" s="215" t="inlineStr">
        <is>
          <t>Risk</t>
        </is>
      </c>
      <c r="C60" s="215" t="inlineStr">
        <is>
          <t>High</t>
        </is>
      </c>
      <c r="D60" s="215" t="inlineStr">
        <is>
          <t>Closed</t>
        </is>
      </c>
      <c r="E60" s="215" t="inlineStr">
        <is>
          <t>Audited: all parquets agree on key dtypes, corners/xG merges verified to populate (54-79%, not all-NaN), training Elo resolves 100%. The retrodiction Elo path was the only unhandled instance - _lineup_presence_for_fixture already handled it</t>
        </is>
      </c>
    </row>
    <row r="61" ht="72" customHeight="1" s="282">
      <c r="A61" s="215" t="inlineStr">
        <is>
          <t>Data collected outside the split windows is inert</t>
        </is>
      </c>
      <c r="B61" s="215" t="inlineStr">
        <is>
          <t>Risk</t>
        </is>
      </c>
      <c r="C61" s="215" t="inlineStr">
        <is>
          <t>Medium</t>
        </is>
      </c>
      <c r="D61" s="215" t="inlineStr">
        <is>
          <t>Open</t>
        </is>
      </c>
      <c r="E61" s="215" t="inlineStr">
        <is>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is>
      </c>
    </row>
    <row r="62" ht="72" customHeight="1" s="282">
      <c r="A62" s="215" t="inlineStr">
        <is>
          <t>Stale workers keep masking real fixes</t>
        </is>
      </c>
      <c r="B62" s="215" t="inlineStr">
        <is>
          <t>Risk</t>
        </is>
      </c>
      <c r="C62" s="215" t="inlineStr">
        <is>
          <t>Medium</t>
        </is>
      </c>
      <c r="D62" s="215" t="inlineStr">
        <is>
          <t>Open</t>
        </is>
      </c>
      <c r="E62" s="215" t="inlineStr">
        <is>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is>
      </c>
    </row>
    <row r="63" ht="57.6" customHeight="1" s="282">
      <c r="A63" s="215" t="inlineStr">
        <is>
          <t>Bookmaker names differ only by case</t>
        </is>
      </c>
      <c r="B63" s="215" t="inlineStr">
        <is>
          <t>Risk</t>
        </is>
      </c>
      <c r="C63" s="215" t="inlineStr">
        <is>
          <t>Low</t>
        </is>
      </c>
      <c r="D63" s="215" t="inlineStr">
        <is>
          <t>Open</t>
        </is>
      </c>
      <c r="E63" s="215" t="inlineStr">
        <is>
          <t>draftkings/Draftkings and fanduel/Fanduel are stored as separate books, so one book's price counts twice in the consensus median that decides which rows are inverted. Not currently changing any verdict, but it weights the median wrongly</t>
        </is>
      </c>
    </row>
    <row r="64" ht="28.8" customHeight="1" s="282">
      <c r="A64" s="215" t="inlineStr">
        <is>
          <t>watchlist_items.created_at model/DB drift</t>
        </is>
      </c>
      <c r="B64" s="215" t="inlineStr">
        <is>
          <t>Risk</t>
        </is>
      </c>
      <c r="C64" s="215" t="inlineStr">
        <is>
          <t>Low</t>
        </is>
      </c>
      <c r="D64" s="215" t="inlineStr">
        <is>
          <t>Open</t>
        </is>
      </c>
      <c r="E64" s="215" t="inlineStr">
        <is>
          <t>Autogenerate wants NOT NULL; the database has it nullable. Stripped from the push-receipts migration rather than smuggled in. Needs its own migration</t>
        </is>
      </c>
    </row>
    <row r="65" ht="129.6" customHeight="1" s="282">
      <c r="A65" s="215" t="inlineStr">
        <is>
          <t>Player availability is unobservable, not unimportant</t>
        </is>
      </c>
      <c r="B65" s="215" t="inlineStr">
        <is>
          <t>Risk</t>
        </is>
      </c>
      <c r="C65" s="215" t="inlineStr">
        <is>
          <t>Medium</t>
        </is>
      </c>
      <c r="D65" s="215" t="inlineStr">
        <is>
          <t>Open</t>
        </is>
      </c>
      <c r="E65" s="215" t="inlineStr">
        <is>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is>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2"/>
  <sheetViews>
    <sheetView workbookViewId="0">
      <pane ySplit="4" topLeftCell="A5" activePane="bottomLeft" state="frozen"/>
      <selection pane="bottomLeft" activeCell="A1" sqref="A1"/>
    </sheetView>
  </sheetViews>
  <sheetFormatPr baseColWidth="8" defaultRowHeight="14.4"/>
  <cols>
    <col width="10" customWidth="1" style="282" min="1" max="1"/>
    <col width="48" customWidth="1" style="282" min="2" max="2"/>
    <col width="12" customWidth="1" style="282" min="3" max="3"/>
    <col width="18" customWidth="1" style="282" min="4" max="4"/>
    <col width="86" customWidth="1" style="282" min="5" max="5"/>
  </cols>
  <sheetData>
    <row r="1" ht="18.3" customHeight="1" s="282">
      <c r="A1" s="219" t="inlineStr">
        <is>
          <t>SportIQ — Edge Measurement Plan (P0-P3)</t>
        </is>
      </c>
    </row>
    <row r="2" ht="46" customHeight="1" s="282">
      <c r="A2" s="302" t="inlineStr">
        <is>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is>
      </c>
    </row>
    <row r="3"/>
    <row r="4">
      <c r="A4" s="220" t="inlineStr">
        <is>
          <t>Priority</t>
        </is>
      </c>
      <c r="B4" s="220" t="inlineStr">
        <is>
          <t>Item</t>
        </is>
      </c>
      <c r="C4" s="220" t="inlineStr">
        <is>
          <t>Status</t>
        </is>
      </c>
      <c r="D4" s="220" t="inlineStr">
        <is>
          <t>Depends on</t>
        </is>
      </c>
      <c r="E4" s="220" t="inlineStr">
        <is>
          <t>Why it matters / what it answers</t>
        </is>
      </c>
    </row>
    <row r="5" ht="44.05" customHeight="1" s="282">
      <c r="A5" s="221" t="inlineStr">
        <is>
          <t>P0</t>
        </is>
      </c>
      <c r="B5" s="215" t="inlineStr">
        <is>
          <t>Separate real pre-game forecasts from retrodictions</t>
        </is>
      </c>
      <c r="C5" s="228" t="inlineStr">
        <is>
          <t>Done</t>
        </is>
      </c>
      <c r="D5" s="215" t="inlineStr">
        <is>
          <t>—</t>
        </is>
      </c>
      <c r="E5" s="215" t="inlineStr">
        <is>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is>
      </c>
    </row>
    <row r="6" ht="44.05" customHeight="1" s="282">
      <c r="A6" s="221" t="inlineStr">
        <is>
          <t>P0</t>
        </is>
      </c>
      <c r="B6" s="215" t="inlineStr">
        <is>
          <t>Confirm capture_closing_odds is actually writing</t>
        </is>
      </c>
      <c r="C6" s="228" t="inlineStr">
        <is>
          <t>Done</t>
        </is>
      </c>
      <c r="D6" s="215" t="inlineStr">
        <is>
          <t>—</t>
        </is>
      </c>
      <c r="E6" s="215" t="inlineStr">
        <is>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is>
      </c>
    </row>
    <row r="7" ht="44.05" customHeight="1" s="282">
      <c r="A7" s="231" t="inlineStr">
        <is>
          <t>P1</t>
        </is>
      </c>
      <c r="B7" s="215" t="inlineStr">
        <is>
          <t>Spec what /history reports, before building it</t>
        </is>
      </c>
      <c r="C7" s="232" t="inlineStr">
        <is>
          <t>Done</t>
        </is>
      </c>
      <c r="D7" s="215" t="inlineStr">
        <is>
          <t>P0</t>
        </is>
      </c>
      <c r="E7" s="215" t="inlineStr">
        <is>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is>
      </c>
    </row>
    <row r="8" ht="44.05" customHeight="1" s="282">
      <c r="A8" s="223" t="inlineStr">
        <is>
          <t>P1</t>
        </is>
      </c>
      <c r="B8" s="215" t="inlineStr">
        <is>
          <t>Build GET /history over existing settled outcomes</t>
        </is>
      </c>
      <c r="C8" s="234" t="inlineStr">
        <is>
          <t>Done</t>
        </is>
      </c>
      <c r="D8" s="215" t="inlineStr">
        <is>
          <t>P0, spec</t>
        </is>
      </c>
      <c r="E8" s="215" t="inlineStr">
        <is>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is>
      </c>
    </row>
    <row r="9" ht="44.05" customHeight="1" s="282">
      <c r="A9" s="223" t="inlineStr">
        <is>
          <t>P1</t>
        </is>
      </c>
      <c r="B9" s="215" t="inlineStr">
        <is>
          <t>Grade the pick that was SHOWN, not a recomputed one</t>
        </is>
      </c>
      <c r="C9" s="233" t="inlineStr">
        <is>
          <t>Done</t>
        </is>
      </c>
      <c r="D9" s="215" t="inlineStr">
        <is>
          <t>P0</t>
        </is>
      </c>
      <c r="E9" s="215" t="inlineStr">
        <is>
          <t>Resolved by pick_snapshots: /history will grade the stored snapshot rather than recomputing, so it measures the product users actually saw. Applies only to fixtures captured from 2026-08-10 onward.</t>
        </is>
      </c>
    </row>
    <row r="10" ht="44.05" customHeight="1" s="282">
      <c r="A10" s="224" t="inlineStr">
        <is>
          <t>P2</t>
        </is>
      </c>
      <c r="B10" s="215" t="inlineStr">
        <is>
          <t>PRE-REGISTER the verdict thresholds (SETTLED 2026-08-11, spec §9): CLV primary over accuracy on sample size (n~223-396 vs ~1,650); edge = CI excluding 0; the no-edge response pre-committed; re-read 2026-09-15</t>
        </is>
      </c>
      <c r="C10" s="222" t="inlineStr">
        <is>
          <t>Done</t>
        </is>
      </c>
      <c r="D10" s="215" t="inlineStr">
        <is>
          <t>spec</t>
        </is>
      </c>
      <c r="E10" s="215" t="inlineStr">
        <is>
          <t>What counts as an edge, what counts as none, and what happens in each case - written before looking at results. Same discipline that made the Tier-1 and key-player calls trustworthy rather than fitted.</t>
        </is>
      </c>
    </row>
    <row r="11" ht="44.05" customHeight="1" s="282">
      <c r="A11" t="inlineStr">
        <is>
          <t>P2</t>
        </is>
      </c>
      <c r="B11" s="215" t="inlineStr">
        <is>
          <t>MIN_REPORTABLE_N 30 -&gt; 93 to match the spec: the smallest n whose 95% Wilson interval is under 20 points. Excludes tennis (n=77), admits football (n=139) — set by the rule, not to fit the data</t>
        </is>
      </c>
      <c r="C11" t="inlineStr">
        <is>
          <t>Done</t>
        </is>
      </c>
      <c r="D11" t="inlineStr">
        <is>
          <t>pre-registration</t>
        </is>
      </c>
    </row>
    <row r="12" ht="44.05" customHeight="1" s="282">
      <c r="A12" t="inlineStr">
        <is>
          <t>P2</t>
        </is>
      </c>
      <c r="B12" s="215" t="inlineStr">
        <is>
          <t>sufficient_sample split into sufficient_sample (safe to display) + conclusive (safe to act on). One flag read as "trustworthy" when it only meant "big enough to print"</t>
        </is>
      </c>
      <c r="C12" t="inlineStr">
        <is>
          <t>Done</t>
        </is>
      </c>
      <c r="D12" t="inlineStr">
        <is>
          <t>pre-registration</t>
        </is>
      </c>
    </row>
    <row r="13" ht="44.05" customHeight="1" s="282">
      <c r="A13" s="224" t="inlineStr">
        <is>
          <t>P2</t>
        </is>
      </c>
      <c r="B13" s="215" t="inlineStr">
        <is>
          <t>First honest read: per sport, per market, per league</t>
        </is>
      </c>
      <c r="C13" s="222" t="inlineStr">
        <is>
          <t>Planned</t>
        </is>
      </c>
      <c r="D13" s="215" t="inlineStr">
        <is>
          <t>/history</t>
        </is>
      </c>
      <c r="E13" s="215" t="inlineStr">
        <is>
          <t>'No edge overall' can hide a real edge in one league or market, and a headline average would bury it.</t>
        </is>
      </c>
    </row>
    <row r="14" ht="44.05" customHeight="1" s="282">
      <c r="A14" s="235" t="inlineStr">
        <is>
          <t>P2</t>
        </is>
      </c>
      <c r="B14" s="215" t="inlineStr">
        <is>
          <t>Re-read CLV at a real sample size</t>
        </is>
      </c>
      <c r="C14" s="236" t="inlineStr">
        <is>
          <t>Done</t>
        </is>
      </c>
      <c r="D14" s="215" t="inlineStr">
        <is>
          <t>P0 capture check</t>
        </is>
      </c>
      <c r="E14" s="215" t="inlineStr">
        <is>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is>
      </c>
    </row>
    <row r="15" ht="44.05" customHeight="1" s="282">
      <c r="A15" s="235" t="inlineStr">
        <is>
          <t>P2</t>
        </is>
      </c>
      <c r="B15" s="215" t="inlineStr">
        <is>
          <t>Do confidence tiers mean anything?</t>
        </is>
      </c>
      <c r="C15" s="236" t="inlineStr">
        <is>
          <t>Done</t>
        </is>
      </c>
      <c r="D15" s="215" t="inlineStr">
        <is>
          <t>/history</t>
        </is>
      </c>
      <c r="E15" s="215" t="inlineStr">
        <is>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is>
      </c>
    </row>
    <row r="16" ht="44.05" customHeight="1" s="282">
      <c r="A16" s="235" t="inlineStr">
        <is>
          <t>P2</t>
        </is>
      </c>
      <c r="B16" s="215" t="inlineStr">
        <is>
          <t>Re-run completeness-vs-correctness</t>
        </is>
      </c>
      <c r="C16" s="236" t="inlineStr">
        <is>
          <t>Done</t>
        </is>
      </c>
      <c r="D16" s="215" t="inlineStr">
        <is>
          <t>/history</t>
        </is>
      </c>
      <c r="E16" s="215" t="inlineStr">
        <is>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is>
      </c>
    </row>
    <row r="17" ht="44.05" customHeight="1" s="282">
      <c r="A17" s="225" t="inlineStr">
        <is>
          <t>P3</t>
        </is>
      </c>
      <c r="B17" s="215" t="inlineStr">
        <is>
          <t>Decide Over/Under's future on the evidence — DONE 2026-08-11, and it split in two: goals_total n=242 r=+0.049 (0.2% of variance) is barred from winning the headline pick; corners_total n=234 r=+0.288 (8.3%, ~4.4 SE from zero) is KEPT. Decidable without the CLV read</t>
        </is>
      </c>
      <c r="C17" s="222" t="inlineStr">
        <is>
          <t>Done</t>
        </is>
      </c>
      <c r="D17" s="215" t="inlineStr">
        <is>
          <t>P2 read</t>
        </is>
      </c>
      <c r="E17" s="215" t="inlineStr">
        <is>
          <t>Already measured as near-base-rate (predicted xG vs actual goals r=+0.030). The open question is not how to improve it but whether to keep surfacing it as a confident pick.</t>
        </is>
      </c>
    </row>
    <row r="18" ht="44.05" customHeight="1" s="282">
      <c r="A18" s="225" t="inlineStr">
        <is>
          <t>P3</t>
        </is>
      </c>
      <c r="B18" s="215" t="inlineStr">
        <is>
          <t>Let the measurement inform the 22 Sep renewal</t>
        </is>
      </c>
      <c r="C18" s="223" t="inlineStr">
        <is>
          <t>Milestone</t>
        </is>
      </c>
      <c r="D18" s="215" t="inlineStr">
        <is>
          <t>P2 read</t>
        </is>
      </c>
      <c r="E18" s="215" t="inlineStr">
        <is>
          <t>API-Football ends 2026-09-29. Renewing to collect more history is a different decision from renewing to serve a working product.</t>
        </is>
      </c>
    </row>
    <row r="19" ht="44.05" customHeight="1" s="282">
      <c r="A19" s="226" t="inlineStr">
        <is>
          <t>HOLD</t>
        </is>
      </c>
      <c r="B19" s="215" t="inlineStr">
        <is>
          <t>No new leagues until measurement lands</t>
        </is>
      </c>
      <c r="C19" s="225" t="inlineStr">
        <is>
          <t>Hold</t>
        </is>
      </c>
      <c r="D19" s="215" t="inlineStr">
        <is>
          <t>—</t>
        </is>
      </c>
      <c r="E19" s="215" t="inlineStr">
        <is>
          <t>Nine were added this week. More widens coverage of something whose value is unproven.</t>
        </is>
      </c>
    </row>
    <row r="20">
      <c r="A20" s="226" t="inlineStr">
        <is>
          <t>HOLD</t>
        </is>
      </c>
      <c r="B20" s="215" t="inlineStr">
        <is>
          <t>No new markets until measurement lands</t>
        </is>
      </c>
      <c r="C20" s="225" t="inlineStr">
        <is>
          <t>Hold</t>
        </is>
      </c>
      <c r="D20" s="215" t="inlineStr">
        <is>
          <t>—</t>
        </is>
      </c>
      <c r="E20" s="215" t="inlineStr">
        <is>
          <t>Corners and O/U are already surfaced without evidence they are worth backing.</t>
        </is>
      </c>
    </row>
    <row r="21" ht="58" customHeight="1" s="282">
      <c r="A21" s="226" t="inlineStr">
        <is>
          <t>HOLD</t>
        </is>
      </c>
      <c r="B21" s="215" t="inlineStr">
        <is>
          <t>No retrains chasing accuracy</t>
        </is>
      </c>
      <c r="C21" s="225" t="inlineStr">
        <is>
          <t>Hold</t>
        </is>
      </c>
      <c r="D21" s="215" t="inlineStr">
        <is>
          <t>—</t>
        </is>
      </c>
      <c r="E21" s="215" t="inlineStr">
        <is>
          <t>Three retrains in two days moved the headline by noise. The binding constraint is signal and evidence, not tuning.</t>
        </is>
      </c>
    </row>
    <row r="22" ht="58" customHeight="1" s="282"/>
    <row r="23" ht="58" customHeight="1" s="282">
      <c r="A23" s="229" t="inlineStr">
        <is>
          <t>P0</t>
        </is>
      </c>
      <c r="B23" s="215" t="inlineStr">
        <is>
          <t>FINDING: the sample cannot yet answer the question</t>
        </is>
      </c>
      <c r="C23" s="228" t="inlineStr">
        <is>
          <t>Done</t>
        </is>
      </c>
      <c r="D23" s="215" t="inlineStr">
        <is>
          <t>power analysis</t>
        </is>
      </c>
      <c r="E23" s="215" t="inlineStr">
        <is>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is>
      </c>
    </row>
    <row r="24" ht="58" customHeight="1" s="282">
      <c r="A24" s="230" t="inlineStr">
        <is>
          <t>P1</t>
        </is>
      </c>
      <c r="B24" s="215" t="inlineStr">
        <is>
          <t>Set expectations: /history is instrumentation, not a verdict</t>
        </is>
      </c>
      <c r="C24" s="234" t="inlineStr">
        <is>
          <t>Done</t>
        </is>
      </c>
      <c r="D24" s="215" t="inlineStr">
        <is>
          <t>the finding above</t>
        </is>
      </c>
      <c r="E24" s="215" t="inlineStr">
        <is>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is>
      </c>
    </row>
    <row r="25" ht="58" customHeight="1" s="282">
      <c r="A25" s="231" t="inlineStr">
        <is>
          <t>P1</t>
        </is>
      </c>
      <c r="B25" s="215" t="inlineStr">
        <is>
          <t>FINDING: the pick we SHOW is never persisted</t>
        </is>
      </c>
      <c r="C25" s="234" t="inlineStr">
        <is>
          <t>Done</t>
        </is>
      </c>
      <c r="D25" s="215" t="inlineStr">
        <is>
          <t>spec §2b</t>
        </is>
      </c>
      <c r="E25" s="215" t="inlineStr">
        <is>
          <t>RESOLVED by pick_snapshots (8f794e0). Product-skill metrics accumulate from 2026-08-10; nothing before it is recoverable.</t>
        </is>
      </c>
    </row>
    <row r="26" ht="43.2" customHeight="1" s="282">
      <c r="A26" s="231" t="inlineStr">
        <is>
          <t>P1</t>
        </is>
      </c>
      <c r="B26" s="215" t="inlineStr">
        <is>
          <t>Persist the pick at the moment it is shown</t>
        </is>
      </c>
      <c r="C26" s="233" t="inlineStr">
        <is>
          <t>Done</t>
        </is>
      </c>
      <c r="D26" s="215" t="inlineStr">
        <is>
          <t>the finding above</t>
        </is>
      </c>
      <c r="E26" s="215" t="inlineStr">
        <is>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is>
      </c>
    </row>
    <row r="27">
      <c r="A27" s="235" t="inlineStr">
        <is>
          <t>P2</t>
        </is>
      </c>
      <c r="B27" s="215" t="inlineStr">
        <is>
          <t>Push gate no longer uses the confidence tier</t>
        </is>
      </c>
      <c r="C27" s="237" t="inlineStr">
        <is>
          <t>Done</t>
        </is>
      </c>
      <c r="D27" s="215" t="inlineStr">
        <is>
          <t>pre-registration</t>
        </is>
      </c>
      <c r="E27" s="215" t="inlineStr">
        <is>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is>
      </c>
    </row>
    <row r="28">
      <c r="A28" s="227" t="inlineStr">
        <is>
          <t>P0</t>
        </is>
      </c>
      <c r="B28" s="215" t="inlineStr">
        <is>
          <t>FINDING: the snapshot pipeline was never running. Worker and beat launched 3h BEFORE snapshot_picks.py was written, so the running beat had no snapshot entry — one row (a manual test call) in 24h. Third instance of the stale-process trap; restarted and verified through the real broker</t>
        </is>
      </c>
      <c r="C28" t="inlineStr">
        <is>
          <t>Done</t>
        </is>
      </c>
      <c r="D28" t="inlineStr">
        <is>
          <t>pick snapshots</t>
        </is>
      </c>
    </row>
    <row r="29">
      <c r="A29" t="inlineStr">
        <is>
          <t>P2</t>
        </is>
      </c>
      <c r="B29" s="215" t="inlineStr">
        <is>
          <t>VALIDATED §9.7: 79% of upcoming fixtures yield a pick; 34% of settled ones carry odds, so ~53 CLV-eligible/week reaches n=223 in 4-5 weeks. The 2026-09-15 re-read date holds and is slightly conservative</t>
        </is>
      </c>
      <c r="C29" t="inlineStr">
        <is>
          <t>Done</t>
        </is>
      </c>
      <c r="D29" t="inlineStr">
        <is>
          <t>pre-registration</t>
        </is>
      </c>
    </row>
    <row r="30">
      <c r="A30" t="inlineStr">
        <is>
          <t>P2</t>
        </is>
      </c>
      <c r="B30" s="215" t="inlineStr">
        <is>
          <t>FINDING: odds coverage is fixture-binary and the whole gap was the 9 Tier-1 leagues (7 at ZERO). NOT a bug — added 08-09 with historically-backfilled fixtures that never passed a live odds window. All 9 report coverage.odds=true and 8 returned real prices on demand</t>
        </is>
      </c>
      <c r="C30" t="inlineStr">
        <is>
          <t>Done</t>
        </is>
      </c>
      <c r="D30" t="inlineStr">
        <is>
          <t>CLV sample size</t>
        </is>
      </c>
    </row>
    <row r="31">
      <c r="A31" t="inlineStr">
        <is>
          <t>P1</t>
        </is>
      </c>
      <c r="B31" s="215" t="inlineStr">
        <is>
          <t>Beat now publishes its own code fingerprint (beat_init) and check_stale reports it. The blind spot was exactly where the damage was: only the worker published, so a stale SCHEDULER read as "ok". Both processes moved onto dev_worker.py, which restarts on change</t>
        </is>
      </c>
      <c r="C31" t="inlineStr">
        <is>
          <t>Done</t>
        </is>
      </c>
      <c r="D31" t="inlineStr">
        <is>
          <t>the snapshot finding</t>
        </is>
      </c>
    </row>
    <row r="32">
      <c r="A32" t="inlineStr">
        <is>
          <t>P1</t>
        </is>
      </c>
      <c r="B32" s="215" t="inlineStr">
        <is>
          <t>Guard: every scheduled task must belong to a module the worker imports, and the snapshot entry is pinned by name — the whole pre-registration rests on one beat_schedule line whose absence is silent</t>
        </is>
      </c>
      <c r="C32" t="inlineStr">
        <is>
          <t>Done</t>
        </is>
      </c>
      <c r="D32" t="inlineStr">
        <is>
          <t>beat liveness</t>
        </is>
      </c>
    </row>
    <row r="33">
      <c r="A33" t="inlineStr">
        <is>
          <t>P1</t>
        </is>
      </c>
      <c r="B33" s="215" t="inlineStr">
        <is>
          <t>Sentry wired into the Celery worker and beat, not just the API — it had only ever been initialised in create_app(), so every silent worker failure this project has had was unreportable. One shared initialiser; events tagged with component + loaded code fingerprint</t>
        </is>
      </c>
      <c r="C33" t="inlineStr">
        <is>
          <t>Done</t>
        </is>
      </c>
      <c r="D33" t="inlineStr">
        <is>
          <t>the snapshot finding</t>
        </is>
      </c>
    </row>
    <row r="34">
      <c r="A34" t="inlineStr">
        <is>
          <t>P1</t>
        </is>
      </c>
      <c r="B34" s="215" t="inlineStr">
        <is>
          <t>monitor_beat_tasks makes each beat_schedule entry a Sentry cron monitor, so a scheduled task that STOPS ARRIVING alerts. The one failure ordinary error reporting cannot catch: no exception, no failed task, no log line — the work just never happens</t>
        </is>
      </c>
      <c r="C34" t="inlineStr">
        <is>
          <t>Done</t>
        </is>
      </c>
      <c r="D34" t="inlineStr">
        <is>
          <t>Sentry wiring</t>
        </is>
      </c>
    </row>
    <row r="35">
      <c r="A35" t="inlineStr">
        <is>
          <t>P2</t>
        </is>
      </c>
      <c r="B35" s="215" t="inlineStr">
        <is>
          <t>SENTRY_DSN_BACKEND now populated in backend/.env (gitignored). The DSN existed in keys.docx from the start — it had simply never reached the environment the app reads. Verified: init_sentry True, test event accepted, transport flushed</t>
        </is>
      </c>
      <c r="C35" t="inlineStr">
        <is>
          <t>Done</t>
        </is>
      </c>
      <c r="D35" t="inlineStr">
        <is>
          <t>user action</t>
        </is>
      </c>
    </row>
    <row r="36">
      <c r="A36" t="inlineStr">
        <is>
          <t>P1</t>
        </is>
      </c>
      <c r="B36" s="215" t="inlineStr">
        <is>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is>
      </c>
      <c r="C36" t="inlineStr">
        <is>
          <t>Done</t>
        </is>
      </c>
      <c r="D36" t="inlineStr">
        <is>
          <t>odds coverage</t>
        </is>
      </c>
    </row>
    <row r="37">
      <c r="A37" t="inlineStr">
        <is>
          <t>P2</t>
        </is>
      </c>
      <c r="B37" s="215" t="inlineStr">
        <is>
          <t>NOTE: odds make the feed SMALLER, not larger — that day went 8 fixtures to 4. min_odds can only apply where a price exists, and tennis favourites at ~0.70 price below a 1.50 floor. Those cards previously showed because the filter silently could not apply</t>
        </is>
      </c>
      <c r="C37" t="inlineStr">
        <is>
          <t>Done</t>
        </is>
      </c>
      <c r="D37" t="inlineStr">
        <is>
          <t>odds coverage</t>
        </is>
      </c>
    </row>
    <row r="38">
      <c r="A38" t="inlineStr">
        <is>
          <t>P3</t>
        </is>
      </c>
      <c r="B38" s="215" t="inlineStr">
        <is>
          <t>Football empty cards are NOT a fault: ODDS_LOOKAHEAD_DAYS=3 and no football fixture is currently inside 3 days. Recheck once the European seasons open on 21 Aug</t>
        </is>
      </c>
      <c r="C38" t="inlineStr">
        <is>
          <t>Done</t>
        </is>
      </c>
      <c r="D38" t="inlineStr">
        <is>
          <t>odds coverage</t>
        </is>
      </c>
    </row>
    <row r="39">
      <c r="A39" t="inlineStr">
        <is>
          <t>P1</t>
        </is>
      </c>
      <c r="B39" s="215" t="inlineStr">
        <is>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is>
      </c>
      <c r="C39" t="inlineStr">
        <is>
          <t>Done</t>
        </is>
      </c>
      <c r="D39" t="inlineStr">
        <is>
          <t>odds coverage</t>
        </is>
      </c>
    </row>
    <row r="40">
      <c r="A40" t="inlineStr">
        <is>
          <t>P2</t>
        </is>
      </c>
      <c r="B40" s="215" t="inlineStr">
        <is>
          <t>TRAP: TheRundown's teams_normalized array ORDER is not home/away — read is_home. Comparing against [0] produced a false "orientation is broken" alarm that nearly became a fix; the pipeline was correct</t>
        </is>
      </c>
      <c r="C40" t="inlineStr">
        <is>
          <t>Done</t>
        </is>
      </c>
      <c r="D40" t="inlineStr">
        <is>
          <t>odds coverage</t>
        </is>
      </c>
    </row>
    <row r="41">
      <c r="A41" t="inlineStr">
        <is>
          <t>P1</t>
        </is>
      </c>
      <c r="B41" s="215" t="inlineStr">
        <is>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is>
      </c>
      <c r="C41" t="inlineStr">
        <is>
          <t>Done</t>
        </is>
      </c>
      <c r="D41" t="inlineStr">
        <is>
          <t>user report</t>
        </is>
      </c>
    </row>
    <row r="42">
      <c r="A42" t="inlineStr">
        <is>
          <t>P2</t>
        </is>
      </c>
      <c r="B42" s="215" t="inlineStr">
        <is>
          <t>The 48h estimated-kickoff threshold is the load-bearing half: a Time-TBC fixture is stored at midnight, so one clock for both would retire most of a live tournament every morning. 21 of 21 that day correctly untouched</t>
        </is>
      </c>
      <c r="C42" t="inlineStr">
        <is>
          <t>Done</t>
        </is>
      </c>
      <c r="D42" t="inlineStr">
        <is>
          <t>user report</t>
        </is>
      </c>
    </row>
    <row r="43">
      <c r="A43" t="inlineStr">
        <is>
          <t>P2</t>
        </is>
      </c>
      <c r="B43" s="215" t="inlineStr">
        <is>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is>
      </c>
      <c r="C43" t="inlineStr">
        <is>
          <t>Done</t>
        </is>
      </c>
      <c r="D43" t="inlineStr">
        <is>
          <t>observability</t>
        </is>
      </c>
    </row>
    <row r="44">
      <c r="A44" t="inlineStr">
        <is>
          <t>P2</t>
        </is>
      </c>
      <c r="B44" s="215" t="inlineStr">
        <is>
          <t>TRAP: killing uvicorn by command line does not work — a --reload child is spawned via multiprocessing so its cmdline says spawn_main, not uvicorn. Two orphans served stale code through four restarts while netstat blamed dead parent PIDs. check_stale.py caught it correctly throughout</t>
        </is>
      </c>
      <c r="C44" t="inlineStr">
        <is>
          <t>Done</t>
        </is>
      </c>
      <c r="D44" t="inlineStr">
        <is>
          <t>observability</t>
        </is>
      </c>
    </row>
    <row r="45">
      <c r="A45" t="inlineStr">
        <is>
          <t>P3</t>
        </is>
      </c>
      <c r="B45" s="215" t="inlineStr">
        <is>
          <t>GAP: Sentry Expo plugin has no organization/project set, so production source maps will not upload and release stack traces would be minified. Moot until an EAS build exists</t>
        </is>
      </c>
      <c r="C45" t="inlineStr">
        <is>
          <t>Planned</t>
        </is>
      </c>
      <c r="D45" t="inlineStr">
        <is>
          <t>mobile observability</t>
        </is>
      </c>
    </row>
    <row r="46">
      <c r="A46" s="304" t="inlineStr">
        <is>
          <t>MODEL</t>
        </is>
      </c>
      <c r="B46" s="215" t="inlineStr">
        <is>
          <t>EXTERNAL CRITIQUE accepted: pooled model has no league feature and reports pooled metrics only; hyperparameters are effectively XGBoost defaults. Both verified true. HOLD on retrains deliberately lifted by the user to work through the fixes</t>
        </is>
      </c>
      <c r="C46" t="inlineStr">
        <is>
          <t>Done</t>
        </is>
      </c>
      <c r="D46" t="inlineStr">
        <is>
          <t>critique</t>
        </is>
      </c>
    </row>
    <row r="47">
      <c r="A47" s="304" t="inlineStr">
        <is>
          <t>MODEL</t>
        </is>
      </c>
      <c r="B47" s="215" t="inlineStr">
        <is>
          <t>#1 PER-LEAGUE METRICS — train_football.py now reports 1X2 accuracy per league against THAT league's own always-home baseline, plus n and RPS, printed and logged to MLflow. Pooled +4.14pp hid a spread from -3.3pp to +14.0pp across 18 leagues</t>
        </is>
      </c>
      <c r="C47" t="inlineStr">
        <is>
          <t>Done</t>
        </is>
      </c>
      <c r="D47" t="inlineStr">
        <is>
          <t>#1</t>
        </is>
      </c>
    </row>
    <row r="48">
      <c r="A48" s="304" t="inlineStr">
        <is>
          <t>MODEL</t>
        </is>
      </c>
      <c r="B48" s="215" t="inlineStr">
        <is>
          <t>FINDING: 4 of 18 leagues are WORSE than always-picking-home on the test set — ekstraklasa -3.3pp, brasileirao -1.6pp, austria_bundesliga -1.5pp, j1_league -0.3pp. Best are veikkausliiga +14.0pp, csl +11.3pp, seriea +9.5pp</t>
        </is>
      </c>
      <c r="C48" t="inlineStr">
        <is>
          <t>Done</t>
        </is>
      </c>
      <c r="D48" t="inlineStr">
        <is>
          <t>#1</t>
        </is>
      </c>
    </row>
    <row r="49">
      <c r="A49" s="304" t="inlineStr">
        <is>
          <t>MODEL</t>
        </is>
      </c>
      <c r="B49" s="215" t="inlineStr">
        <is>
          <t>CORRECTION: the live-settled per-league read (brasileirao +26pp, csl -26.7pp) was NOISE at n=12-96 and the sign FLIPPED on the proper test set (brasileirao -1.6pp, csl +11.3pp). Do not quote the live table; n per league there is far below reportable</t>
        </is>
      </c>
      <c r="C49" t="inlineStr">
        <is>
          <t>Done</t>
        </is>
      </c>
      <c r="D49" t="inlineStr">
        <is>
          <t>#1</t>
        </is>
      </c>
    </row>
    <row r="50">
      <c r="A50" s="304" t="inlineStr">
        <is>
          <t>MODEL</t>
        </is>
      </c>
      <c r="B50" s="215" t="inlineStr">
        <is>
          <t>#2 SEED + EXPLICIT HYPERPARAMETERS — RANDOM_SEED and XGB_COMMON pin n_estimators, max_depth, learning_rate, subsample, colsample, random_state across all 7 estimators. Pinned at the values already in effect, so the retrain reproduced the served model EXACTLY (0.4857/0.4443/0.2144)</t>
        </is>
      </c>
      <c r="C50" t="inlineStr">
        <is>
          <t>Done</t>
        </is>
      </c>
      <c r="D50" t="inlineStr">
        <is>
          <t>#2</t>
        </is>
      </c>
    </row>
    <row r="51">
      <c r="A51" s="304" t="inlineStr">
        <is>
          <t>MODEL</t>
        </is>
      </c>
      <c r="B51" s="215" t="inlineStr">
        <is>
          <t>#3 LEAGUE BASELINES — NOT a build: app/models_ml/league_baselines.py already exists and was measured WORSE (acc 0.4775-&gt;0.4634, under-3.5 trend z +1.86-&gt;-0.03) at 5,188 training rows. Its own documented re-enable condition was "more training data"; the pool has since tripled to 16,287 and it was never retested</t>
        </is>
      </c>
      <c r="C51" t="inlineStr">
        <is>
          <t>Planned</t>
        </is>
      </c>
      <c r="D51" t="inlineStr">
        <is>
          <t>#3</t>
        </is>
      </c>
    </row>
    <row r="52">
      <c r="A52" s="304" t="inlineStr">
        <is>
          <t>MODEL</t>
        </is>
      </c>
      <c r="B52" s="215" t="inlineStr">
        <is>
          <t>#4 OPTUNA FOR FOOTBALL — NBA and tennis both tune with 50 trials; football, the flagship 18-league model, does not. Deliberately last: tuning before the feature set settles is wasted compute</t>
        </is>
      </c>
      <c r="C52" t="inlineStr">
        <is>
          <t>Planned</t>
        </is>
      </c>
      <c r="D52" t="inlineStr">
        <is>
          <t>#4</t>
        </is>
      </c>
    </row>
  </sheetData>
  <mergeCells count="1">
    <mergeCell ref="A2:E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6"/>
  <sheetViews>
    <sheetView workbookViewId="0">
      <pane ySplit="4" topLeftCell="A5" activePane="bottomLeft" state="frozen"/>
      <selection pane="bottomLeft" activeCell="A1" sqref="A1"/>
    </sheetView>
  </sheetViews>
  <sheetFormatPr baseColWidth="8" defaultRowHeight="14.4"/>
  <cols>
    <col width="26" customWidth="1" style="282" min="1" max="1"/>
    <col width="42" customWidth="1" style="282" min="2" max="2"/>
    <col width="20" customWidth="1" style="282" min="3" max="3"/>
    <col width="22" customWidth="1" style="282" min="4" max="4"/>
    <col width="16" customWidth="1" style="282" min="5" max="5"/>
    <col width="14" customWidth="1" style="282" min="6" max="6"/>
    <col width="26" customWidth="1" style="282" min="7" max="7"/>
    <col width="17" customWidth="1" style="282" min="8" max="8"/>
    <col width="62" customWidth="1" style="282" min="9" max="9"/>
  </cols>
  <sheetData>
    <row r="1" ht="18.3" customHeight="1" s="282">
      <c r="A1" s="211" t="inlineStr">
        <is>
          <t>External APIs, Quotas &amp; Expiry</t>
        </is>
      </c>
    </row>
    <row r="2">
      <c r="A2" s="303" t="inlineStr">
        <is>
          <t>All figures read live from each provider at 2026-08-09. No credentials are stored in this file.</t>
        </is>
      </c>
    </row>
    <row r="4">
      <c r="A4" s="213" t="inlineStr">
        <is>
          <t>Provider</t>
        </is>
      </c>
      <c r="B4" s="213" t="inlineStr">
        <is>
          <t>What we get from it</t>
        </is>
      </c>
      <c r="C4" s="213" t="inlineStr">
        <is>
          <t>Plan / tier</t>
        </is>
      </c>
      <c r="D4" s="213" t="inlineStr">
        <is>
          <t>Quota</t>
        </is>
      </c>
      <c r="E4" s="213" t="inlineStr">
        <is>
          <t>Used (as checked)</t>
        </is>
      </c>
      <c r="F4" s="213" t="inlineStr">
        <is>
          <t>Remaining</t>
        </is>
      </c>
      <c r="G4" s="213" t="inlineStr">
        <is>
          <t>Expiry / reset</t>
        </is>
      </c>
      <c r="H4" s="213" t="inlineStr">
        <is>
          <t>Status</t>
        </is>
      </c>
      <c r="I4" s="213" t="inlineStr">
        <is>
          <t>Notes &amp; constraints</t>
        </is>
      </c>
    </row>
    <row r="5" ht="62.05" customHeight="1" s="282">
      <c r="A5" s="214" t="inlineStr">
        <is>
          <t>API-Football (v3, direct host)</t>
        </is>
      </c>
      <c r="B5" s="215" t="inlineStr">
        <is>
          <t>Football fixtures, team stats, injuries, lineups, corners, H2H, and Brasileirao odds. The primary football provider.</t>
        </is>
      </c>
      <c r="C5" s="215" t="inlineStr">
        <is>
          <t>Ultra</t>
        </is>
      </c>
      <c r="D5" s="215" t="inlineStr">
        <is>
          <t>75,000 / day (450 / minute)</t>
        </is>
      </c>
      <c r="E5" s="215" t="inlineStr">
        <is>
          <t>23,783 today</t>
        </is>
      </c>
      <c r="F5" s="215" t="inlineStr">
        <is>
          <t>51,217 today</t>
        </is>
      </c>
      <c r="G5" s="215" t="inlineStr">
        <is>
          <t>SUBSCRIPTION ENDS 2026-09-29</t>
        </is>
      </c>
      <c r="H5" s="216" t="inlineStr">
        <is>
          <t>HEALTHY</t>
        </is>
      </c>
      <c r="I5" s="215" t="inlineStr">
        <is>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is>
      </c>
    </row>
    <row r="6" ht="62.05" customHeight="1" s="282">
      <c r="A6" s="214" t="inlineStr">
        <is>
          <t>TheRundown (via RapidAPI)</t>
        </is>
      </c>
      <c r="B6" s="215" t="inlineStr">
        <is>
          <t>Odds: NBA, the 5 European football leagues, MLS, and ATP/WTA tennis. Only real source of game-totals lines.</t>
        </is>
      </c>
      <c r="C6" s="215" t="inlineStr">
        <is>
          <t>Pro</t>
        </is>
      </c>
      <c r="D6" s="215" t="inlineStr">
        <is>
          <t>5,000 / month</t>
        </is>
      </c>
      <c r="E6" s="215" t="inlineStr">
        <is>
          <t>68 this period</t>
        </is>
      </c>
      <c r="F6" s="215" t="inlineStr">
        <is>
          <t>4,932</t>
        </is>
      </c>
      <c r="G6" s="215" t="inlineStr">
        <is>
          <t>resets in ~27 days</t>
        </is>
      </c>
      <c r="H6" s="217" t="inlineStr">
        <is>
          <t>HEALTHY</t>
        </is>
      </c>
      <c r="I6" s="215" t="inlineStr">
        <is>
          <t>Upgraded from 1,000/month. Odds job stays at 6h: worst case at 3h is 134% of quota. No Brazil, Scotland or China coverage at all. Only 3 of ~15 affiliates return real prices; the rest send a 0.0001 masked sentinel.</t>
        </is>
      </c>
    </row>
    <row r="7" ht="62.05" customHeight="1" s="282">
      <c r="A7" s="214" t="inlineStr">
        <is>
          <t>BallDontLie - ATP tennis</t>
        </is>
      </c>
      <c r="B7" s="215" t="inlineStr">
        <is>
          <t>Tennis fixtures, matches, match_stats (serve/return), odds (DraftKings + FanDuel), rankings, H2H.</t>
        </is>
      </c>
      <c r="C7" s="215" t="inlineStr">
        <is>
          <t>GOAT</t>
        </is>
      </c>
      <c r="D7" s="215" t="inlineStr">
        <is>
          <t>600 / minute</t>
        </is>
      </c>
      <c r="E7" s="215" t="inlineStr">
        <is>
          <t>1 (probe)</t>
        </is>
      </c>
      <c r="F7" s="215" t="inlineStr">
        <is>
          <t>599</t>
        </is>
      </c>
      <c r="G7" s="215" t="inlineStr">
        <is>
          <t>no expiry observed</t>
        </is>
      </c>
      <c r="H7" s="217" t="inlineStr">
        <is>
          <t>HEALTHY</t>
        </is>
      </c>
      <c r="I7" s="215" t="inlineStr">
        <is>
          <t>10x the ALL-STAR limit. /match_stats paginates by SEASON not per fixture, so bulk history is minutes not days. NOTE: season and match_ids filters are SILENTLY IGNORED on some endpoints - always test with a nonsense value.</t>
        </is>
      </c>
    </row>
    <row r="8" ht="62.05" customHeight="1" s="282">
      <c r="A8" s="214" t="inlineStr">
        <is>
          <t>BallDontLie - WTA tennis</t>
        </is>
      </c>
      <c r="B8" s="215" t="inlineStr">
        <is>
          <t>Nothing usable. /rankings only.</t>
        </is>
      </c>
      <c r="C8" s="215" t="inlineStr">
        <is>
          <t>Free (not subscribed)</t>
        </is>
      </c>
      <c r="D8" s="215" t="inlineStr">
        <is>
          <t>5 / minute</t>
        </is>
      </c>
      <c r="E8" s="215" t="inlineStr">
        <is>
          <t>n/a</t>
        </is>
      </c>
      <c r="F8" s="215" t="inlineStr">
        <is>
          <t>n/a</t>
        </is>
      </c>
      <c r="G8" s="215" t="inlineStr">
        <is>
          <t>n/a</t>
        </is>
      </c>
      <c r="H8" s="216" t="inlineStr">
        <is>
          <t>BLOCKED</t>
        </is>
      </c>
      <c r="I8" s="215" t="inlineStr">
        <is>
          <t>Every endpoint except /rankings returns 401. GOAT covers ATP ONLY - WTA needs its own subscription. Code is written and unit-tested; just point league='wta' once subscribed.</t>
        </is>
      </c>
    </row>
    <row r="9" ht="62.05" customHeight="1" s="282">
      <c r="A9" s="214" t="inlineStr">
        <is>
          <t>BallDontLie - NBA</t>
        </is>
      </c>
      <c r="B9" s="215" t="inlineStr">
        <is>
          <t>NBA fixtures and team stats for live serving.</t>
        </is>
      </c>
      <c r="C9" s="215" t="inlineStr">
        <is>
          <t>Free</t>
        </is>
      </c>
      <c r="D9" s="215" t="inlineStr">
        <is>
          <t>5 / minute</t>
        </is>
      </c>
      <c r="E9" s="215" t="inlineStr">
        <is>
          <t>1 (probe)</t>
        </is>
      </c>
      <c r="F9" s="215" t="inlineStr">
        <is>
          <t>4</t>
        </is>
      </c>
      <c r="G9" s="215" t="inlineStr">
        <is>
          <t>no expiry</t>
        </is>
      </c>
      <c r="H9" s="218" t="inlineStr">
        <is>
          <t>TIGHT</t>
        </is>
      </c>
      <c r="I9" s="215" t="inlineStr">
        <is>
          <t>/season_averages, /standings and /player_injuries all 401 on this tier. 5/min is why ingest caches per-run; fine for 30 teams, would not scale.</t>
        </is>
      </c>
    </row>
    <row r="10" ht="62.05" customHeight="1" s="282">
      <c r="A10" s="214" t="inlineStr">
        <is>
          <t>TheStatsAPI</t>
        </is>
      </c>
      <c r="B10" s="215" t="inlineStr">
        <is>
          <t>Expected goals (xG) for football - the only xG source; API-Football supplies none at any tier.</t>
        </is>
      </c>
      <c r="C10" s="215" t="inlineStr">
        <is>
          <t>paid</t>
        </is>
      </c>
      <c r="D10" s="215" t="inlineStr">
        <is>
          <t>120 / minute (+ a monthly cap)</t>
        </is>
      </c>
      <c r="E10" s="215" t="inlineStr">
        <is>
          <t>0 (probe)</t>
        </is>
      </c>
      <c r="F10" s="215" t="inlineStr">
        <is>
          <t>120 this minute</t>
        </is>
      </c>
      <c r="G10" s="215" t="inlineStr">
        <is>
          <t>monthly cap not exposed in headers</t>
        </is>
      </c>
      <c r="H10" s="218" t="inlineStr">
        <is>
          <t>WATCH</t>
        </is>
      </c>
      <c r="I10" s="215" t="inlineStr">
        <is>
          <t>Monthly quota is real and has been hit before - it reports as 'season not found', which is misleading. Per-minute limit was raised 12 -&gt; 120; the collector now reads pacing from x-ratelimit-limit rather than a constant.</t>
        </is>
      </c>
    </row>
    <row r="11" ht="62.05" customHeight="1" s="282">
      <c r="A11" s="214" t="inlineStr">
        <is>
          <t>nba_api (stats.nba.com)</t>
        </is>
      </c>
      <c r="B11" s="215" t="inlineStr">
        <is>
          <t>NBA historical training data only.</t>
        </is>
      </c>
      <c r="C11" s="215" t="inlineStr">
        <is>
          <t>free</t>
        </is>
      </c>
      <c r="D11" s="215" t="inlineStr">
        <is>
          <t>unthrottled</t>
        </is>
      </c>
      <c r="E11" s="215" t="inlineStr">
        <is>
          <t>n/a</t>
        </is>
      </c>
      <c r="F11" s="215" t="inlineStr">
        <is>
          <t>n/a</t>
        </is>
      </c>
      <c r="G11" s="215" t="inlineStr">
        <is>
          <t>none</t>
        </is>
      </c>
      <c r="H11" s="218" t="inlineStr">
        <is>
          <t>LOCAL ONLY</t>
        </is>
      </c>
      <c r="I11" s="215" t="inlineStr">
        <is>
          <t>Blocks ALL cloud-provider IPs at the network level. Must never be called from a production worker - offline training only.</t>
        </is>
      </c>
    </row>
    <row r="12" ht="62.05" customHeight="1" s="282">
      <c r="A12" s="214" t="inlineStr">
        <is>
          <t>Expo Push API</t>
        </is>
      </c>
      <c r="B12" s="215" t="inlineStr">
        <is>
          <t>Delivering push notifications to devices.</t>
        </is>
      </c>
      <c r="C12" s="215" t="inlineStr">
        <is>
          <t>unauthenticated</t>
        </is>
      </c>
      <c r="D12" s="215" t="inlineStr">
        <is>
          <t>lower unauthenticated rate limit</t>
        </is>
      </c>
      <c r="E12" s="215" t="inlineStr">
        <is>
          <t>n/a</t>
        </is>
      </c>
      <c r="F12" s="215" t="inlineStr">
        <is>
          <t>n/a</t>
        </is>
      </c>
      <c r="G12" s="215" t="inlineStr">
        <is>
          <t>none</t>
        </is>
      </c>
      <c r="H12" s="217" t="inlineStr">
        <is>
          <t>WORKS</t>
        </is>
      </c>
      <c r="I12" s="215" t="inlineStr">
        <is>
          <t>No EXPO_ACCESS_TOKEN provisioned. Sends work and were verified on a real device. Ticket is returned but the RECEIPT is never checked, so delivery failures are currently invisible.</t>
        </is>
      </c>
    </row>
    <row r="13" ht="62.05" customHeight="1" s="282">
      <c r="A13" s="214" t="inlineStr">
        <is>
          <t>RotoWire</t>
        </is>
      </c>
      <c r="B13" s="215" t="inlineStr">
        <is>
          <t>NBA injuries (intended).</t>
        </is>
      </c>
      <c r="C13" s="215" t="inlineStr">
        <is>
          <t>never provisioned</t>
        </is>
      </c>
      <c r="D13" s="215" t="inlineStr">
        <is>
          <t>n/a</t>
        </is>
      </c>
      <c r="E13" s="215" t="inlineStr">
        <is>
          <t>n/a</t>
        </is>
      </c>
      <c r="F13" s="215" t="inlineStr">
        <is>
          <t>n/a</t>
        </is>
      </c>
      <c r="G13" s="215" t="inlineStr">
        <is>
          <t>n/a</t>
        </is>
      </c>
      <c r="H13" s="218" t="inlineStr">
        <is>
          <t>NOT PROVISIONED</t>
        </is>
      </c>
      <c r="I13" s="215" t="inlineStr">
        <is>
          <t>No key was ever obtained. Adapter is a stub, so NBA player_injury_status stays empty. Football injuries come from API-Football and are real.</t>
        </is>
      </c>
    </row>
    <row r="14" ht="62.05" customHeight="1" s="282">
      <c r="A14" s="214" t="inlineStr">
        <is>
          <t>SportsDataIO</t>
        </is>
      </c>
      <c r="B14" s="215" t="inlineStr">
        <is>
          <t>Phase 2 US sports (NFL/NHL/MLB).</t>
        </is>
      </c>
      <c r="C14" s="215" t="inlineStr">
        <is>
          <t>never provisioned</t>
        </is>
      </c>
      <c r="D14" s="215" t="inlineStr">
        <is>
          <t>n/a</t>
        </is>
      </c>
      <c r="E14" s="215" t="inlineStr">
        <is>
          <t>n/a</t>
        </is>
      </c>
      <c r="F14" s="215" t="inlineStr">
        <is>
          <t>n/a</t>
        </is>
      </c>
      <c r="G14" s="215" t="inlineStr">
        <is>
          <t>n/a</t>
        </is>
      </c>
      <c r="H14" s="218" t="inlineStr">
        <is>
          <t>NOT PROVISIONED</t>
        </is>
      </c>
      <c r="I14" s="215" t="inlineStr">
        <is>
          <t>Adapter is a stub. Not needed until Phase 2.</t>
        </is>
      </c>
    </row>
    <row r="16">
      <c r="A16" s="303" t="inlineStr">
        <is>
          <t>Re-check by calling each provider's own status endpoint; do not trust these figures after the dates above. API-Football: GET /status. TheRundown: x-ratelimit-requests-* response headers. BallDontLie / TheStatsAPI: x-ratelimit-* response headers.</t>
        </is>
      </c>
    </row>
  </sheetData>
  <mergeCells count="1">
    <mergeCell ref="A16:I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RichardUsang@outlook.com</dc:creator>
  <dcterms:created xmlns:dcterms="http://purl.org/dc/terms/" xmlns:xsi="http://www.w3.org/2001/XMLSchema-instance" xsi:type="dcterms:W3CDTF">2026-08-03T22:52:33Z</dcterms:created>
  <dcterms:modified xmlns:dcterms="http://purl.org/dc/terms/" xmlns:xsi="http://www.w3.org/2001/XMLSchema-instance" xsi:type="dcterms:W3CDTF">2026-08-11T22:41:53Z</dcterms:modified>
  <cp:lastModifiedBy>Richard Usang</cp:lastModifiedBy>
</cp:coreProperties>
</file>