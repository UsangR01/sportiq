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5495D80D-38CB-4ABD-BDBA-E8AB08AD87A0}" xr6:coauthVersionLast="47" xr6:coauthVersionMax="47" xr10:uidLastSave="{00000000-0000-0000-0000-000000000000}"/>
  <bookViews>
    <workbookView xWindow="-96" yWindow="-96" windowWidth="23232" windowHeight="12432" activeTab="3"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71" i="1" l="1"/>
  <c r="R268" i="1"/>
  <c r="R269" i="1" s="1"/>
  <c r="R270" i="1" s="1"/>
  <c r="R267" i="1"/>
  <c r="R266" i="1"/>
  <c r="R265" i="1"/>
  <c r="R264" i="1"/>
  <c r="R263" i="1"/>
  <c r="R262" i="1"/>
  <c r="R260" i="1"/>
  <c r="R261" i="1" s="1"/>
  <c r="R258" i="1"/>
  <c r="R259" i="1" s="1"/>
  <c r="R257" i="1"/>
  <c r="R256" i="1"/>
  <c r="R254" i="1"/>
  <c r="R255" i="1" s="1"/>
  <c r="R253" i="1"/>
  <c r="R247" i="1"/>
  <c r="R248" i="1" s="1"/>
  <c r="R249" i="1" s="1"/>
  <c r="R250" i="1" s="1"/>
  <c r="R251" i="1" s="1"/>
  <c r="R252" i="1" s="1"/>
  <c r="R242" i="1"/>
  <c r="R243" i="1" s="1"/>
  <c r="R244" i="1" s="1"/>
  <c r="R245" i="1" s="1"/>
  <c r="R246" i="1" s="1"/>
  <c r="R241" i="1"/>
  <c r="R240" i="1"/>
  <c r="R239" i="1"/>
  <c r="R238" i="1"/>
  <c r="R237" i="1"/>
  <c r="R236" i="1"/>
  <c r="R235" i="1"/>
  <c r="R234" i="1"/>
  <c r="R233" i="1"/>
  <c r="R232" i="1"/>
  <c r="R231" i="1"/>
  <c r="R230" i="1"/>
  <c r="R229" i="1"/>
  <c r="R228" i="1"/>
  <c r="R227" i="1"/>
  <c r="R226" i="1"/>
  <c r="R225" i="1"/>
  <c r="R224" i="1"/>
  <c r="R223" i="1"/>
  <c r="R222" i="1"/>
  <c r="R221" i="1"/>
  <c r="R220" i="1"/>
  <c r="R219" i="1"/>
  <c r="R218" i="1"/>
  <c r="R217" i="1"/>
  <c r="R216" i="1"/>
  <c r="R215" i="1"/>
  <c r="R214" i="1"/>
  <c r="R213" i="1"/>
  <c r="R212" i="1"/>
  <c r="R211" i="1"/>
  <c r="R210" i="1"/>
  <c r="R209" i="1"/>
  <c r="R208" i="1"/>
  <c r="R207" i="1"/>
  <c r="R206" i="1"/>
  <c r="R204" i="1"/>
  <c r="R205" i="1" s="1"/>
  <c r="R203" i="1"/>
  <c r="R202" i="1"/>
  <c r="R201" i="1"/>
  <c r="R200" i="1"/>
  <c r="R199" i="1"/>
  <c r="R198" i="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9" i="1"/>
  <c r="R40" i="1" s="1"/>
  <c r="R41" i="1" s="1"/>
  <c r="R42" i="1" s="1"/>
  <c r="R43" i="1" s="1"/>
  <c r="R44" i="1" s="1"/>
  <c r="R45" i="1" s="1"/>
  <c r="R46" i="1" s="1"/>
  <c r="R47" i="1" s="1"/>
  <c r="R48" i="1" s="1"/>
  <c r="R49" i="1" s="1"/>
  <c r="R50" i="1" s="1"/>
  <c r="R51" i="1" s="1"/>
  <c r="R38" i="1"/>
  <c r="R31" i="1"/>
  <c r="R32" i="1" s="1"/>
  <c r="R33" i="1" s="1"/>
  <c r="R34" i="1" s="1"/>
  <c r="R35" i="1" s="1"/>
  <c r="R36" i="1" s="1"/>
  <c r="R37" i="1" s="1"/>
  <c r="R27" i="1"/>
  <c r="R28" i="1" s="1"/>
  <c r="R29" i="1" s="1"/>
  <c r="R30" i="1" s="1"/>
  <c r="R22" i="1"/>
  <c r="R23" i="1" s="1"/>
  <c r="R24" i="1" s="1"/>
  <c r="R25" i="1" s="1"/>
  <c r="R26" i="1" s="1"/>
  <c r="R17" i="1"/>
  <c r="R18" i="1" s="1"/>
  <c r="R19" i="1" s="1"/>
  <c r="R20" i="1" s="1"/>
  <c r="R21" i="1" s="1"/>
  <c r="R15" i="1"/>
  <c r="R16" i="1" s="1"/>
  <c r="R14" i="1"/>
  <c r="R9" i="1"/>
  <c r="R10" i="1" s="1"/>
  <c r="R11" i="1" s="1"/>
  <c r="R12" i="1" s="1"/>
  <c r="R13" i="1" s="1"/>
  <c r="R5" i="1"/>
  <c r="R6" i="1" s="1"/>
  <c r="R7" i="1" s="1"/>
  <c r="R8" i="1" s="1"/>
  <c r="D14" i="3" l="1"/>
  <c r="E6" i="3"/>
  <c r="C8" i="3"/>
  <c r="D11" i="3"/>
  <c r="E14" i="3"/>
  <c r="C5" i="3"/>
  <c r="D8" i="3"/>
  <c r="E11" i="3"/>
  <c r="C13" i="3"/>
  <c r="D5" i="3"/>
  <c r="E8" i="3"/>
  <c r="C10" i="3"/>
  <c r="D13" i="3"/>
  <c r="E5" i="3"/>
  <c r="C7" i="3"/>
  <c r="D10" i="3"/>
  <c r="E13" i="3"/>
  <c r="C4" i="3"/>
  <c r="D7" i="3"/>
  <c r="E10" i="3"/>
  <c r="C12" i="3"/>
  <c r="D4" i="3"/>
  <c r="E7" i="3"/>
  <c r="C9" i="3"/>
  <c r="D12" i="3"/>
  <c r="E4" i="3"/>
  <c r="C6" i="3"/>
  <c r="D9" i="3"/>
  <c r="E12" i="3"/>
  <c r="C14" i="3"/>
  <c r="B14" i="3" s="1"/>
  <c r="F14" i="3" s="1"/>
  <c r="D6" i="3"/>
  <c r="E9" i="3"/>
  <c r="C11" i="3"/>
  <c r="B11" i="3" l="1"/>
  <c r="F11" i="3" s="1"/>
  <c r="B13" i="3"/>
  <c r="F13" i="3" s="1"/>
  <c r="B7" i="3"/>
  <c r="F7" i="3" s="1"/>
  <c r="D16" i="3"/>
  <c r="B5" i="3"/>
  <c r="F5" i="3" s="1"/>
  <c r="B9" i="3"/>
  <c r="F9" i="3" s="1"/>
  <c r="B12" i="3"/>
  <c r="F12" i="3" s="1"/>
  <c r="B6" i="3"/>
  <c r="F6" i="3" s="1"/>
  <c r="B8" i="3"/>
  <c r="F8" i="3" s="1"/>
  <c r="B10" i="3"/>
  <c r="F10" i="3" s="1"/>
  <c r="E16" i="3"/>
  <c r="C16" i="3"/>
  <c r="B4" i="3"/>
  <c r="F4" i="3" l="1"/>
  <c r="B16" i="3"/>
  <c r="B18" i="3" l="1"/>
  <c r="F16" i="3"/>
</calcChain>
</file>

<file path=xl/sharedStrings.xml><?xml version="1.0" encoding="utf-8"?>
<sst xmlns="http://schemas.openxmlformats.org/spreadsheetml/2006/main" count="2434" uniqueCount="1114">
  <si>
    <t>Risks, Blockers &amp; Open Decisions</t>
  </si>
  <si>
    <t>Item</t>
  </si>
  <si>
    <t>Type</t>
  </si>
  <si>
    <t>Impact</t>
  </si>
  <si>
    <t>Status</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</si>
  <si>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</si>
  <si>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</si>
  <si>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</si>
  <si>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</si>
  <si>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</si>
  <si>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</si>
  <si>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</si>
  <si>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</si>
  <si>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</si>
  <si>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</si>
  <si>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</si>
  <si>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Planned</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</si>
  <si>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</si>
  <si>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</si>
  <si>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</si>
  <si>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</si>
  <si>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</si>
  <si>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</si>
  <si>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</si>
  <si>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</si>
  <si>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</si>
  <si>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</si>
  <si>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</si>
  <si>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</si>
  <si>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</si>
  <si>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</si>
  <si>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</si>
  <si>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</si>
  <si>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</si>
  <si>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</si>
  <si>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</si>
  <si>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</si>
  <si>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</si>
  <si>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</si>
  <si>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</si>
  <si>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</si>
  <si>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</si>
  <si>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</si>
  <si>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</si>
  <si>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</si>
  <si>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</si>
  <si>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</si>
  <si>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</si>
  <si>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</si>
  <si>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</si>
  <si>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</si>
  <si>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</si>
  <si>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</si>
  <si>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</si>
  <si>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</si>
  <si>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</si>
  <si>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</si>
  <si>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</si>
  <si>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</si>
  <si>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</si>
  <si>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</si>
  <si>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</si>
  <si>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</si>
  <si>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</si>
  <si>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</si>
  <si>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</si>
  <si>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</si>
  <si>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</si>
  <si>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</si>
  <si>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</si>
  <si>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</si>
  <si>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</si>
  <si>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</si>
  <si>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</si>
  <si>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</si>
  <si>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</si>
  <si>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</si>
  <si>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</si>
  <si>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</si>
  <si>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</si>
  <si>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</si>
  <si>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</si>
  <si>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</si>
  <si>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</si>
  <si>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</si>
  <si>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</si>
  <si>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</si>
  <si>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</si>
  <si>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</si>
  <si>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</si>
  <si>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</si>
  <si>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</si>
  <si>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</si>
  <si>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</si>
  <si>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</si>
  <si>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</si>
  <si>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</si>
  <si>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API-Football renewal</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</si>
  <si>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</si>
  <si>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</si>
  <si>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</si>
  <si>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</si>
  <si>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</si>
  <si>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</si>
  <si>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</si>
  <si>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</si>
  <si>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</si>
  <si>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</si>
  <si>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</si>
  <si>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</si>
  <si>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</si>
  <si>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</si>
  <si>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</si>
  <si>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</si>
  <si>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</si>
  <si>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</si>
  <si>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</si>
  <si>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</si>
  <si>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</si>
  <si>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</si>
  <si>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</si>
  <si>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</si>
  <si>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</si>
  <si>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</si>
  <si>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</si>
  <si>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</si>
  <si>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</si>
  <si>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</si>
  <si>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</si>
  <si>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</si>
  <si>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</si>
  <si>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</si>
  <si>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</si>
  <si>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</si>
  <si>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</si>
  <si>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</si>
  <si>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</si>
  <si>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</si>
  <si>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</si>
  <si>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</si>
  <si>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</si>
  <si>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</si>
  <si>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</si>
  <si>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</si>
  <si>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</si>
  <si>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</si>
  <si>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Player availability is unobservable, not unimportant</t>
  </si>
  <si>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</si>
  <si>
    <t>Vanished fixtures need positive evidence, not a timer</t>
  </si>
  <si>
    <t>Fourth recurrence of 'a cancelled match still shows a live pick', after three fixes that each adjusted a time threshold. The clock cannot detect a fixture withdrawn BEFORE its kickoff, so the instrument was wrong rather than the number. Now reconciled against the provider's own current list at ingest, free of API cost. The dangerous direction is the opposite one, so an empty payload (indistinguishable from a rate-limited fetch) retires nothing and only dates the provider actually reported on are considered.</t>
  </si>
  <si>
    <t>Duplicate tennis Prediction rows</t>
  </si>
  <si>
    <t>64 tennis fixtures carry 2 identical predictions (same model version and kind); 541 carry one. Harmless today - nothing calls scalar_one on Prediction, so this is not the MultipleResultsFound class that bit TeamFeatures - but unexplained.</t>
  </si>
  <si>
    <t>Withdrawn vs called-off fixtures</t>
  </si>
  <si>
    <t>Decided: hide fixtures WITHDRAWN from the provider's list, keep showing ones the provider explicitly called off. Both are POSTPONED, but a called-off match was real and users asked to see it, while a withdrawn one was never scheduled. Screenshotting the fix is what made the cost visible - 33 grey cards above the day's 2 genuine picks. Hiding is scoped by fixtures.withdrawn, never by status, so it cannot swallow real postponements.</t>
  </si>
  <si>
    <t>Corners discrimination is real but weak</t>
  </si>
  <si>
    <t>Now measurable for the first time. Predicted P(under 9.5) spans 0.2-0.7 while the observed rate spans only 0.44-0.56, and the bottom two buckets are still inverted on small n. Better than goals (flat at base rate) and consistent with the r=+0.288 measured live, but corners wins ~half of all headline picks, so this is the number to watch.</t>
  </si>
  <si>
    <t>A promotion did not reach any user</t>
  </si>
  <si>
    <t>Found while delivering the corners tuning: every upcoming football fixture was serving a prediction from one of four superseded models. Same shape as the stale-worker and served-but-untrained traps - work completed, never delivered, with nothing failing or logging. Fixed by re-queueing on model_version change, which fires on promotion rather than on a schedule so routine runs still cost nothing.</t>
  </si>
  <si>
    <t>Football pre-match accuracy is below baseline</t>
  </si>
  <si>
    <t>Once each fixture counts once: n=63, accuracy 0.3651, CI [0.257, 0.489], against a ~0.47 baseline. NOT reportable (floor is 93) and the interval spans the baseline, so this is not yet evidence the model is worse than picking home - but it is the opposite direction from what was previously displayed and it is the number to watch as n grows.</t>
  </si>
  <si>
    <t>Duplicate predictions were mis-triaged as harmless</t>
  </si>
  <si>
    <t>They were checked for the failure mode that had bitten before (MultipleResultsFound via scalar_one) and cleared on that basis, while the defect actually present was silent inflation of a live user-facing accuracy. Checking for the last bug is not the same as checking for a bug.</t>
  </si>
  <si>
    <t>Tennis edge over a runnable baseline is 2.15pp</t>
  </si>
  <si>
    <t>Against 'back the higher-ranked player' the model gains +2.15pp (n=3,900), below the 3pp bar pre-registered for reinstating a pick gate. The edge also sits on grass (+5.24pp, n=477, the smallest stratum) rather than clay where ranking is least reliable - the opposite of the stated hypothesis - and the per-surface figures move between runs that differ only by seed. Watch as data accumulates; do not act on the surface split yet.</t>
  </si>
  <si>
    <t>Base rates must describe something a user could do</t>
  </si>
  <si>
    <t>A base rate is the no-model alternative. Football's 'back the home team' qualifies; tennis's 'back the lower player id' does not - it is invisible to the user and is a proxy for strength the model already uses. Gating on it inverted a quarter of picks. Any future sport-specific base rate must name the strategy it represents and that strategy must be executable by someone without our database.</t>
  </si>
  <si>
    <t>A recommendation was made on evidence not yet checked</t>
  </si>
  <si>
    <t>The completeness floor was recommended on the claim that two measurements agreed the cliff was at 0.35. Measuring with intervals showed neither could locate a cliff at all, and the older one pointed at 0.50 if anywhere. The change went ahead on a different, non-statistical justification (coherence with mobile, zero cost) and the original claim is recorded as wrong rather than quietly replaced. Threshold changes should carry intervals before, not after.</t>
  </si>
  <si>
    <t>Budget-shaped decisions outlive the budget</t>
  </si>
  <si>
    <t>The corners date bound, and the choice not to collect several leagues at all, were correct under 7,500 requests/day and were still being honoured under 75,000. Constraints recorded as engineering decisions should name the budget they assumed, so they can be re-opened when it changes rather than inherited as permanent.</t>
  </si>
  <si>
    <t>Veikkausliiga corners genuinely absent</t>
  </si>
  <si>
    <t>44% coverage after the backfill (from 35%), the worst by a wide margin. Direct re-requests for its 2021 fixtures return empty, so this is provider absence rather than a collection miss. Left as a real gap, not zero-filled.</t>
  </si>
  <si>
    <t>Season 2021 has no xG in any league</t>
  </si>
  <si>
    <t>5,413 fixtures in a TRAIN season carry no xG upstream, and 2022 is only 57% covered. xg_for_5/xg_against_5 are Layer 1 features, so roughly a third of the training data scores them as missing. Not fixable by collection - the provider does not have it. Relevant to goals_total being barred for no demonstrated signal: the feature most likely to carry that signal is the one most incomplete in training.</t>
  </si>
  <si>
    <t>A tightening guard rewrote published history</t>
  </si>
  <si>
    <t>MIN_FEATURE_COMPLETENESS 0.25 -&gt; 0.35 deleted 21 already-published picks from past cards (9 Scottish Prem), because best_pick is recomputed per request rather than stored. The measurement that justified the raise said 'zero upcoming picks lost' - true, and the wrong population. Not neutral: sub-0.35 picks run 0.2857 accuracy vs 0.5263 above, so filtering them made the visible record better than the real one. Settled fixtures are now exempt from that one guard only - exempting the others ADDED picks never shown, which is the same defect. pick_snapshots (nothing before 2026-08-10) is the only real fix.</t>
  </si>
  <si>
    <t>Isotonic calibration on 1X2 may not be earning its place</t>
  </si>
  <si>
    <t>First held-out measurement after months in the pipeline: log loss 1.0179 calibrated vs 1.0148 raw, multiclass Brier identical to 4dp, ECE 0.0143. Not harmful at this size, but no evidence it helps. Re-measure before treating the step as load-bearing.</t>
  </si>
  <si>
    <t>The model cannot discriminate draws</t>
  </si>
  <si>
    <t>92% of test fixtures (5,023 of 5,487) receive a draw probability between 0.2 and 0.3, observed 0.257 - correct on average and carrying no per-fixture information. The 1X2 analogue of the goals_total finding, invisible until per-class reliability existed because RPS averages it away. Home is monotonic across nine buckets and within ~0.02 of the diagonal.</t>
  </si>
  <si>
    <t>xG availability differs between train and test</t>
  </si>
  <si>
    <t>Coverage by season: 2021 0%, 2022 57%, 2023 91% (TRAIN), 2024 86% (VAL), 2025 98% (TEST). Train is ~49% covered against a test set at 98%, so held-out metrics are measured on a feature-availability regime the model largely did not learn under. A distribution mismatch, not a metrics gap. Corners is flat at 89-92% across every season and is unaffected.</t>
  </si>
  <si>
    <t>Published accuracy measured a different object from the product</t>
  </si>
  <si>
    <t>/history and the notebook graded the 1X2 argmax while the card shows best_pick across four markets. Football card picks are 43 double chance + 19 corners and ZERO h2h, so the published football accuracy described a market football cards never show. Grading the card instead moves it 0.3651 -&gt; 0.7258 (n=62), but the no-skill baseline rises with it to 0.6391, so the honest figure is +8.67pp against a 14.09pp detectable effect - not conclusive. The grading rule existed only in TypeScript and is now ported to app/predictions/grading.py with parity tests.</t>
  </si>
  <si>
    <t>pick_snapshots is capturing tennis only</t>
  </si>
  <si>
    <t>59 snapshots since 2026-08-10, all tennis h2h; 0 of the 6 football fixtures that passed through the 4-8h window were captured. Snapshots are the only true record of what was displayed - everything else is recomputed against today's odds - so a gap here is a permanent hole in the trust record. n=6 is too small to call it a bug yet; diagnose before the football season opens.</t>
  </si>
  <si>
    <t>Snapshot coverage will be thinnest when it matters most</t>
  </si>
  <si>
    <t>The '0 of 6 football fixtures snapshotted' concern is NOT a bug - all six windows closed before the job's first run, the last by nine minutes. But four of the six carried feature_completeness 0.16-0.26, under the 0.35 floor, so they would have yielded no shown pick and therefore no snapshot even with the job live. Correct behaviour, and pick_snapshots cannot be backfilled, so the permanent record will be thinnest exactly when the European seasons open with sparse features. The job now WARNs when a window captures nothing.</t>
  </si>
  <si>
    <t>Isotonic calibration on 1X2 judged on the wrong metric</t>
  </si>
  <si>
    <t>Reported as 'not earning its place' on log loss (1.0179 vs 1.0148) and multiclass Brier (identical). Both are the wrong instrument: calibration exists to make the probability VALUE trustworthy, and the product reads that value directly through min_probability, the base-rate gates and EV ranking. On ECE it wins clearly, 0.0143 vs 0.0195. Kept. Judge a component on the metric it exists for, not on whichever one is already being printed.</t>
  </si>
  <si>
    <t>The model cannot discriminate draws - already contained</t>
  </si>
  <si>
    <t>92% of test fixtures receive a draw probability in 0.2-0.3 (observed 0.257): correct on average, carrying no per-fixture information. No new guard needed - MIN_EDGE_OVER_BASE_RATE requires a draw to reach 0.3038 and ZERO draw picks have ever reached a card. The existing gate already refuses the market the model cannot discriminate.</t>
  </si>
  <si>
    <t>'Nothing is deployed, no infra/' was stale for weeks</t>
  </si>
  <si>
    <t>infra/render.yaml is complete (three services off one image, managed Postgres and Redis, alembic in preDeployCommand), backend/Dockerfile exists, and a soak harness validated the blueprint. What actually remains is the dashboard deploy itself, which needs secrets deliberately kept out of git. Same doc-drift pattern as the /history 501 note: a stale line was quoted back as the state of the world. Until it is deployed, eas.json's preview and production profiles point at a URL returning x-render-routing: no-server.</t>
  </si>
  <si>
    <t>A training run promotes itself, so an experiment's losing arm went live</t>
  </si>
  <si>
    <t>train_*.py register AND activate unconditionally. On 2026-08-13 a tennis form-window experiment at n=5 scored worse than the incumbent on accuracy (0.6312 vs 0.6377) and RPS (0.2298 vs 0.2275) and became the served model by finishing. Worse than a bad number: LAST_N_FORM defaults back to 10 at serving time, so a model trained on 5-match form would have been fed 10-match form - a train/serve mismatch created by the act of measuring. Caught by checking the registry immediately after, with 0 predictions generated against it, which was timing rather than design. --no-activate now registers without promoting; use it for any run that is a measurement. Second firing of this hazard - the first left only an inactive row.</t>
  </si>
  <si>
    <t>All three form windows now measured; 'shorter is fresher' is dead</t>
  </si>
  <si>
    <t>The last inherited hyperparameter. NBA n=10 RPS 0.2013 vs n=5 0.2039 and n=3 0.2041, so 10 wins outright; accuracy spans ONE game across all three arms on 1,225 test games and ROI swings -3.7% to +17.3% on 23-27 staked games, so neither separates anything. Football moved UP to 10 from an inherited 5; tennis and NBA defended 10. Caveat: RPS-primary was written down after two of three arms had been seen, weaker than the corners pre-registration.</t>
  </si>
  <si>
    <t>--no-activate stranded NBA with zero active models</t>
  </si>
  <si>
    <t>_register_model demoted every active row then inserted the new one - right when promoting, wrong under --no-activate, where the incumbent is demoted and nothing replaces it. Three measurement arms back to back left NBA with no active model. Silent and total: runner.py resolves the serving model from the registry, so the sport stops predicting with no exception anywhere; noticed only because /stats/model dropped NBA. Mirror image of the tennis hazard fixed hours earlier - one promoted a model nobody chose, this demoted the only one there was, both from the same register-and-activate coupling.</t>
  </si>
  <si>
    <t>Only football needs a market-blind model - NBA and tennis were measured, not assumed</t>
  </si>
  <si>
    <t>The explanation engine cannot decompose the serving model for football: market_implied_* are real adopted inputs and among its largest contributors, so a truthful panel would keep saying the biggest reason for a pick is the bookmaker's price - honest, circular, and unusable next to a screen selling 'where the model disagrees with the market'. Before building a second artefact for all three sports, split counts were measured on the live artefacts: NBA and tennis use their moneyline feature in ZERO splits, so both already explain themselves. Football spends 27% of Layer 1's splits and 19-23% of the corners pair's on market features. One retrain instead of three, and the two sports that need nothing are documented as measured rather than skipped.</t>
  </si>
  <si>
    <t>Driver contributions cannot be backfilled, so old predictions carry no explanation</t>
  </si>
  <si>
    <t>TreeSHAP contributions are a function of the feature vector as it stood at the instant of prediction. Reconstructing that vector later would explain a fixture with form, Elo and odds coverage that had not happened yet - the same hindsight problem predictions.kind exists to keep out of the accuracy figures. So driver_contributions is written at prediction time only, is nullable, and every row that predates it stays null. Consequence to expect: the expanded panel is empty for existing fixtures and fills only as predictions are regenerated. Deliberate - a plausible explanation invented after the result was known is worse than none.</t>
  </si>
  <si>
    <t>The divergence guard suppresses a panel rather than justifying a pick the football disagrees with</t>
  </si>
  <si>
    <t>Because the explanation comes from a DIFFERENT model than the probability on the card, the two can disagree. When the market-blind model favours a different outcome, its contributions are reasons to make the OPPOSITE call, so rendering them would dress a disagreement up as a justification. The panel is suppressed instead, and the event logged: a rising divergence rate is itself a real signal about how much of a pick the market is carrying rather than the football. Rate is not yet measurable - it needs the blind artefact and regenerated predictions first.</t>
  </si>
  <si>
    <t>Mobile work is not delivered until an OTA is published</t>
  </si>
  <si>
    <t>Verified a design change in a local web build and reported it done; the user's phone still showed the old header. Backend work reaches users through the API immediately, so only MOBILE changes need a publish -- an asymmetry that hides the omission. Publish to --channel preview --environment preview (the installed APK's channel), then have the user relaunch TWICE: the first launch downloads, the second applies. Pull-to-refresh never fetches an update.</t>
  </si>
  <si>
    <t>Kept three summary columns against the design document's own prose</t>
  </si>
  <si>
    <t>design-upgrades.md §2 says two columns (CALLS TODAY, LEAGUES) on the reasoning that every filter control belongs in the menu sheet, but its own reference build keeps COUNTRY. Dropping it would remove a working filter to satisfy the half of the spec its screenshots contradict. The reduced-height treatment -- the actual substance of that section -- applies either way.</t>
  </si>
  <si>
    <t>SportIQ — Delivery Board &amp; Roadmap</t>
  </si>
  <si>
    <t>Delivered dates are REAL (git history, first commit 2026-07-28). Dates from 2026-08-05 onward are PROPOSED. Updated 2026-08-04.</t>
  </si>
  <si>
    <t>Epic</t>
  </si>
  <si>
    <t>Feature / Deliverable</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</si>
  <si>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</si>
  <si>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</si>
  <si>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</si>
  <si>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</si>
  <si>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</si>
  <si>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</si>
  <si>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</si>
  <si>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</si>
  <si>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</si>
  <si>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</si>
  <si>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</si>
  <si>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</si>
  <si>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</si>
  <si>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</si>
  <si>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</si>
  <si>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</si>
  <si>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</si>
  <si>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</si>
  <si>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</si>
  <si>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</si>
  <si>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</si>
  <si>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</si>
  <si>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</si>
  <si>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</si>
  <si>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</si>
  <si>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</si>
  <si>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</si>
  <si>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</si>
  <si>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</si>
  <si>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</si>
  <si>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</si>
  <si>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</si>
  <si>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</si>
  <si>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</si>
  <si>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</si>
  <si>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</si>
  <si>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</si>
  <si>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</si>
  <si>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</si>
  <si>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</si>
  <si>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</si>
  <si>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</si>
  <si>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</si>
  <si>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</si>
  <si>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</si>
  <si>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</si>
  <si>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</si>
  <si>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</si>
  <si>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</si>
  <si>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</si>
  <si>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</si>
  <si>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</si>
  <si>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</si>
  <si>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</si>
  <si>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</si>
  <si>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</si>
  <si>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</si>
  <si>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</si>
  <si>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</si>
  <si>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</si>
  <si>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</si>
  <si>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</si>
  <si>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</si>
  <si>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</si>
  <si>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</si>
  <si>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</si>
  <si>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</si>
  <si>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</si>
  <si>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</si>
  <si>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</si>
  <si>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</si>
  <si>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</si>
  <si>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</si>
  <si>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</si>
  <si>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</si>
  <si>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</si>
  <si>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</si>
  <si>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</si>
  <si>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</si>
  <si>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</si>
  <si>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</si>
  <si>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</si>
  <si>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</si>
  <si>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</si>
  <si>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</si>
  <si>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</si>
  <si>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</si>
  <si>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</si>
  <si>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</si>
  <si>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</si>
  <si>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</si>
  <si>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</si>
  <si>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</si>
  <si>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</si>
  <si>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</si>
  <si>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</si>
  <si>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</si>
  <si>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</si>
  <si>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</si>
  <si>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</si>
  <si>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</si>
  <si>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</si>
  <si>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</si>
  <si>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</si>
  <si>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</si>
  <si>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</si>
  <si>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</si>
  <si>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</si>
  <si>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</si>
  <si>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</si>
  <si>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</si>
  <si>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</si>
  <si>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</si>
  <si>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</si>
  <si>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</si>
  <si>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</si>
  <si>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</si>
  <si>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</si>
  <si>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</si>
  <si>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</si>
  <si>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</si>
  <si>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</si>
  <si>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</si>
  <si>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ACTION (DEV): Last untried O/U lever; data already collected</t>
  </si>
  <si>
    <t>E9 Data Ops</t>
  </si>
  <si>
    <t>TheRundown Pro upgrade</t>
  </si>
  <si>
    <t>Pro active: 5,000 req/month confirmed live (was 1,000). Cadence stays 6h - worst case at 3h is 134% of quota</t>
  </si>
  <si>
    <t>Narrow odds lookahead window</t>
  </si>
  <si>
    <t>ACTION (DEV): Halves per-league cost</t>
  </si>
  <si>
    <t>Re-test API-Football European odds</t>
  </si>
  <si>
    <t>Merged into row 135 (same check, two entries)</t>
  </si>
  <si>
    <t>EPL 2026-27 season opens</t>
  </si>
  <si>
    <t>Milestone</t>
  </si>
  <si>
    <t>WAITING: First real load test</t>
  </si>
  <si>
    <t>WAITING: Auto-renews</t>
  </si>
  <si>
    <t>Fix 9 tennis DRAW outcomes</t>
  </si>
  <si>
    <t>CLOSED 13 Aug: 0 DRAW outcomes remain for tennis (queried). SPORTS_WITHOUT_DRAWS now refuses to settle a tied tennis score, so they cannot come back.</t>
  </si>
  <si>
    <t>WTA subscription + collection</t>
  </si>
  <si>
    <t>Blocked</t>
  </si>
  <si>
    <t>ACTION (YOU): 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</si>
  <si>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</si>
  <si>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</si>
  <si>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</si>
  <si>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</si>
  <si>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</si>
  <si>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</si>
  <si>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</si>
  <si>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</si>
  <si>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</si>
  <si>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</si>
  <si>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</si>
  <si>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</si>
  <si>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</si>
  <si>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</si>
  <si>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WAITING: 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</si>
  <si>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</si>
  <si>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</si>
  <si>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</si>
  <si>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</si>
  <si>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</si>
  <si>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</si>
  <si>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CLOSED 13 Aug by the real deploy: all six credentials are sync:false in infra/render.yaml, entered in the Render dashboard, never in git.</t>
  </si>
  <si>
    <t>Monitoring + alerting (Sentry)</t>
  </si>
  <si>
    <t>CLOSED: SENTRY_DSN_BACKEND provisioned, init covers API + worker + beat, and monitor_beat_tasks registers each schedule entry as a cron monitor. Uptime alerting tracked separately.</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</si>
  <si>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</si>
  <si>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</si>
  <si>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</si>
  <si>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</si>
  <si>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</si>
  <si>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</si>
  <si>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</si>
  <si>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</si>
  <si>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</si>
  <si>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ACTION (DEV): tsc is the only check</t>
  </si>
  <si>
    <t>Production deploy - FOOTBALL</t>
  </si>
  <si>
    <t>ACHIEVED 13 Aug. Five services live on Render; /stats/model serves all three sports; beat-&gt;worker chain confirmed by 100+ upcoming fixtures with 83 carrying a pick.</t>
  </si>
  <si>
    <t>Closed beta (football only)</t>
  </si>
  <si>
    <t>ACTION (YOU): Real users, real feedback</t>
  </si>
  <si>
    <t>Public launch readiness review</t>
  </si>
  <si>
    <t>ACTION (YOU): 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</si>
  <si>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</si>
  <si>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</si>
  <si>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</si>
  <si>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</si>
  <si>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</si>
  <si>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</si>
  <si>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</si>
  <si>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</si>
  <si>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</si>
  <si>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</si>
  <si>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CLOSED 13 Aug: the real deploy brought up sportpiq-api, -worker AND -beat, and the populated production feed proves the beat-&gt;worker chain actually ran.</t>
  </si>
  <si>
    <t>GIT_SHA baked into image at build</t>
  </si>
  <si>
    <t>ACTION (DEV): No working tree in a container</t>
  </si>
  <si>
    <t>Sentry + uptime alerting</t>
  </si>
  <si>
    <t>ACTION (DEV): Injury worker failed unnoticed for weeks</t>
  </si>
  <si>
    <t>check_stale in CI / post-deploy smoke</t>
  </si>
  <si>
    <t>ACTION (DEV): 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</si>
  <si>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</si>
  <si>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</si>
  <si>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</si>
  <si>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</si>
  <si>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</si>
  <si>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</si>
  <si>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</si>
  <si>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</si>
  <si>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</si>
  <si>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</si>
  <si>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</si>
  <si>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</si>
  <si>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</si>
  <si>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</si>
  <si>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</si>
  <si>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ACTION (DEV): Stage 1 + injury calls still run for features nothing consumes</t>
  </si>
  <si>
    <t>Pin 127.0.0.1 in compose/.env.example/runbook</t>
  </si>
  <si>
    <t>compose + .env.example + runbook troubleshooting row</t>
  </si>
  <si>
    <t>Collect historical closing odds</t>
  </si>
  <si>
    <t>ACTION (DEV): 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</si>
  <si>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</si>
  <si>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</si>
  <si>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</si>
  <si>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</si>
  <si>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</si>
  <si>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</si>
  <si>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</si>
  <si>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</si>
  <si>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</si>
  <si>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</si>
  <si>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</si>
  <si>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CLOSED 13 Aug: corners now present for every European league (seriea 363, laliga 345, ligue1 298, bundesliga 278 test rows).</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</si>
  <si>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</si>
  <si>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</si>
  <si>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</si>
  <si>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</si>
  <si>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</si>
  <si>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</si>
  <si>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</si>
  <si>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</si>
  <si>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</si>
  <si>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</si>
  <si>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</si>
  <si>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</si>
  <si>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</si>
  <si>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</si>
  <si>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</si>
  <si>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</si>
  <si>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</si>
  <si>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</si>
  <si>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</si>
  <si>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</si>
  <si>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</si>
  <si>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</si>
  <si>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</si>
  <si>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</si>
  <si>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</si>
  <si>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ACHIEVED. Re-proven for real on 13 Aug by the production deploy itself.</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</si>
  <si>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</si>
  <si>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</si>
  <si>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</si>
  <si>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</si>
  <si>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</si>
  <si>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</si>
  <si>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</si>
  <si>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</si>
  <si>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</si>
  <si>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CLOSED: mobile/app.json already carries name SportPIQ and slug sportpiq.</t>
  </si>
  <si>
    <t>Professional trademark clearance (UK + EU)</t>
  </si>
  <si>
    <t>ACTION (YOU): 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</si>
  <si>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</si>
  <si>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</si>
  <si>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</si>
  <si>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</si>
  <si>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</si>
  <si>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</si>
  <si>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</si>
  <si>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</si>
  <si>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</si>
  <si>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</si>
  <si>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</si>
  <si>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CLOSED 11 Aug: restricted to package com.sportpiq.app + the EAS SHA-1, and to the Firebase Installations and FCM Registration APIs only.</t>
  </si>
  <si>
    <t>First real-device test session (dev build on Android)</t>
  </si>
  <si>
    <t>ACHIEVED. Real device loaded real data and surfaced three bugs the web target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</si>
  <si>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</si>
  <si>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</si>
  <si>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</si>
  <si>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</si>
  <si>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</si>
  <si>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</si>
  <si>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</si>
  <si>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</si>
  <si>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</si>
  <si>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ACTION (DEV): 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</si>
  <si>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</si>
  <si>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</si>
  <si>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</si>
  <si>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</si>
  <si>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</si>
  <si>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ACTION (YOU): If it flips to True, TheRundown Pro is redundant and can be dropped</t>
  </si>
  <si>
    <t>Trace where the 1,000/month basic quota went</t>
  </si>
  <si>
    <t>A 5-min polling loop against out-of-season leagues. Yield: 2 rows, one NBA game</t>
  </si>
  <si>
    <t>TENNIS ODDS LIVE: ATP/WTA via TheRundown</t>
  </si>
  <si>
    <t>ACHIEVED. ATP priced end to end; WTA still blocked on its own subscription.</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</si>
  <si>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</si>
  <si>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</si>
  <si>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</si>
  <si>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</si>
  <si>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</si>
  <si>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ACTION (DEV): 3 of 3 ATP matches inverted - looks systematic. Needs more days before concluding</t>
  </si>
  <si>
    <t>Merge duplicate API-Football odds re-test rows (54 and 135)</t>
  </si>
  <si>
    <t>Done - row 54 folded into row 135; 135 is the single 21 Aug re-check</t>
  </si>
  <si>
    <t>PostHog analytics (mobile only) - DEFERRED</t>
  </si>
  <si>
    <t>WAITING: 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</si>
  <si>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</si>
  <si>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</si>
  <si>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</si>
  <si>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</si>
  <si>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</si>
  <si>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ACHIEVED, and since superseded by the 18-league pool now serving in production.</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</si>
  <si>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</si>
  <si>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</si>
  <si>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</si>
  <si>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</si>
  <si>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</si>
  <si>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</si>
  <si>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</si>
  <si>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</si>
  <si>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</si>
  <si>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</si>
  <si>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</si>
  <si>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</si>
  <si>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</si>
  <si>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</si>
  <si>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</si>
  <si>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</si>
  <si>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</si>
  <si>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ACHIEVED - confirmed on the APIs &amp; Quotas sheet (GOAT, 600 req/min). The 600/min budget is what made the 2,000-row surface backfill affordable on 13 Aug.</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</si>
  <si>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</si>
  <si>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</si>
  <si>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</si>
  <si>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</si>
  <si>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</si>
  <si>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</si>
  <si>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</si>
  <si>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</si>
  <si>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</si>
  <si>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</si>
  <si>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</si>
  <si>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</si>
  <si>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</si>
  <si>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</si>
  <si>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</si>
  <si>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</si>
  <si>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</si>
  <si>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</si>
  <si>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</si>
  <si>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</si>
  <si>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</si>
  <si>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</si>
  <si>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</si>
  <si>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CLOSED as NO LONGER NEEDED, not as done. Commit d0a24d9 pruned the four key-player features, so lineups feed nothing the model can consume. Collecting them would repeat the ~10,500-call mistake of 9 Aug.</t>
  </si>
  <si>
    <t>Collect corners: 4 European leagues</t>
  </si>
  <si>
    <t>CLOSED 13 Aug: the backfill took coverage 66% -&gt; 91% overall and all four now carry corners. Veikkausliiga at 44% is genuine provider absence, not a collection miss.</t>
  </si>
  <si>
    <t>NEXT: lineups for bundesliga/laliga/ligue1/seriea</t>
  </si>
  <si>
    <t>CLOSED as NO LONGER NEEDED - same reason: the features these would feed were pruned in d0a24d9. Reopen only alongside rebuilding key-player availability.</t>
  </si>
  <si>
    <t>NEXT: retrain on the complete 9-league pool</t>
  </si>
  <si>
    <t>CLOSED - superseded. The serving model is pooled across 18 leagues, with per-league AND per-league-x-per-market metrics reported every run.</t>
  </si>
  <si>
    <t>NEXT: re-fit the corners blend lambda after retrain</t>
  </si>
  <si>
    <t>ACTION (DEV): 0.75 was fitted against the CURRENT corners model. A better model deserves different weight - easy to forget and would leave a stale constant in production</t>
  </si>
  <si>
    <t>Closing odds capture + CLV metric</t>
  </si>
  <si>
    <t>CLOSED as BUILT: capture_closing_odds runs on schedule, closing_line_value() exists, and the notebook reports CLV with a control arm. The first read at a real sample size is data-gated - see the 22 Sep milestone.</t>
  </si>
  <si>
    <t>Multiple form windows (3 / 5 / 10 / season)</t>
  </si>
  <si>
    <t>CLOSED 13 Aug for ALL THREE SPORTS, the last inherited hyperparameter. Football moved UP to 10 from an inherited 5; tennis (0.6377 vs 0.6312) and NBA (RPS 0.2013 vs 0.2039 and 0.2041) both defended 10 against shorter windows. 'Shorter is fresher' is dead.</t>
  </si>
  <si>
    <t>Wire shots / shots-on-target / possession as features</t>
  </si>
  <si>
    <t>ACTION (DEV): ALREADY FETCHED for the H2H panel, just not model inputs. Shots predict goals better than goals do at small samples</t>
  </si>
  <si>
    <t>BTTS market</t>
  </si>
  <si>
    <t>ACTION (DEV): 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</si>
  <si>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</si>
  <si>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</si>
  <si>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</si>
  <si>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ACTION (DEV): ~5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</si>
  <si>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</si>
  <si>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</si>
  <si>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</si>
  <si>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CLOSED 13 Aug: 0 test tokens remain (queried).</t>
  </si>
  <si>
    <t>Dedicated test database</t>
  </si>
  <si>
    <t>CLOSED: suite runs against sportiq_test, created and migrated by conftest, which refuses to start if the test URL resolves to the app database.</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</si>
  <si>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</si>
  <si>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</si>
  <si>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</si>
  <si>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ACTION (YOU): 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</si>
  <si>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</si>
  <si>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</si>
  <si>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</si>
  <si>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</si>
  <si>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</si>
  <si>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</si>
  <si>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</si>
  <si>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</si>
  <si>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</si>
  <si>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</si>
  <si>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</si>
  <si>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</si>
  <si>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</si>
  <si>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</si>
  <si>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</si>
  <si>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</si>
  <si>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</si>
  <si>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</si>
  <si>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</si>
  <si>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</si>
  <si>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</si>
  <si>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</si>
  <si>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</si>
  <si>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</si>
  <si>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</si>
  <si>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</si>
  <si>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</si>
  <si>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</si>
  <si>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</si>
  <si>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</si>
  <si>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</si>
  <si>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</si>
  <si>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</si>
  <si>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</si>
  <si>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</si>
  <si>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</si>
  <si>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WAITING: 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</si>
  <si>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</si>
  <si>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</si>
  <si>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</si>
  <si>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</si>
  <si>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</si>
  <si>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</si>
  <si>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</si>
  <si>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</si>
  <si>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</si>
  <si>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</si>
  <si>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</si>
  <si>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</si>
  <si>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</si>
  <si>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</si>
  <si>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Availability: Stage 1 run, id-first join, injuries deduped</t>
  </si>
  <si>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</si>
  <si>
    <t>Stage 1 rosters are thin for the live season</t>
  </si>
  <si>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</si>
  <si>
    <t>Best odds quoted a price no longer on offer</t>
  </si>
  <si>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</si>
  <si>
    <t>watchlist_items.created_at NOT NULL</t>
  </si>
  <si>
    <t>Stripped from three consecutive unrelated migrations, correctly each time, but never actually done — its own failure mode. Now has its own migration. Zero NULL rows verified first, and autogenerate detects no model/database drift at all afterwards. 11a7495</t>
  </si>
  <si>
    <t>confidence_tier marked unvalidated in every schema</t>
  </si>
  <si>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</si>
  <si>
    <t>Withdrawn fixtures retired from the provider's own list, not the clock</t>
  </si>
  <si>
    <t>33 of 53 upcoming ATP fixtures had ceased to exist (404), all carrying a prediction. Time-based sweep is blind to a fixture that vanishes while its kickoff is still ahead. Reconcile against the payload ingest already holds; empty payload retires nothing. 33 retired, 19 left, 19 of 19 priced</t>
  </si>
  <si>
    <t>Tennis odds gap diagnosed: coverage was already 100%</t>
  </si>
  <si>
    <t>Reported as missing odds. Cadence, quota, name matching and stale workers all measured and cleared; every real fixture was priced. The unpriced cards were matches that did not exist</t>
  </si>
  <si>
    <t>Withdrawn fixtures hidden; called-off ones still shown</t>
  </si>
  <si>
    <t>fixtures.withdrawn (faa1ecc4c1ac). Retiring the phantoms left 33 grey cards above the day's 2 real picks. Flag set only by the reconciliation, cleared when the provider relists - a flag that cannot be cleared hides a fixture forever. Detail still serves them</t>
  </si>
  <si>
    <t>Corners Poisson regressors tuned (last untuned estimator)</t>
  </si>
  <si>
    <t>Pre-registered WITH tolerances. under-9.5 Brier 0.2535-&gt;0.2509, corners MAE 2.158-&gt;2.120, under-10.5 buckets inverted-&gt;monotonic. Defaults wrong again: depth 4-&gt;3/4, lr 0.3-&gt;0.032. Scoping proved by booster hashes - layer1/layer2 byte-identical. football_xgb_v20260813004745</t>
  </si>
  <si>
    <t>Over/Under CORNERS held-out evaluation (never existed)</t>
  </si>
  <si>
    <t>Corners was judged by MAE alone, which is not what the market sells - the same gap that let goals ship overconfident. Brier + reliability buckets per line, every run, logged to MLflow. Shows discrimination is real but weak: predicted spans 0.2-0.7, observed only 0.44-0.56</t>
  </si>
  <si>
    <t>Retrains now reach the feed (stale model_version re-queue)</t>
  </si>
  <si>
    <t>All 135 upcoming football fixtures were serving predictions from one of FOUR superseded versions. Guard only asked 'does a prediction exist'; promotion is a DB update so nothing logged. Re-queues on version change only, so a daily run still queues nothing</t>
  </si>
  <si>
    <t>Prediction-history analytics notebook</t>
  </si>
  <si>
    <t>ml/notebooks/prediction_history.ipynb - daily results, cumulative accuracy with Wilson bands, reliability/Brier, confidence tier, feature completeness, per-league vs own baseline, CLV, market mix, plus a history() query helper that always returns n/CI/detectable effect. Metric helpers imported from app.history.router so it cannot drift from the endpoint</t>
  </si>
  <si>
    <t>History metrics counted rows, not fixtures</t>
  </si>
  <si>
    <t>Found by the notebook. run_predictions appends rather than replaces; 143 settled football rows sat on 63 fixtures (one had 25), overstating accuracy by 18.7pp (0.5524-&gt;0.3651). Now one row per fixture/kind - the last created BEFORE kickoff. Football now reads below its own baseline, which is the honest number</t>
  </si>
  <si>
    <t>Tennis base-rate gate removed (was inverting 25% of picks)</t>
  </si>
  <si>
    <t>'Home' in tennis is the lower-player-id tiebreak, not a venue. The 0.6217 rate encoded 'the stronger player usually wins' (lower id = higher ranked 69% of the time), which rank_diff already prices in, and asymmetric bars 0.672/0.428 meant the away slot nearly always cleared. 167 of 669 picks recommended the side the model rated lower. Live 0 of 21 inverted, from 4 of 4</t>
  </si>
  <si>
    <t>Ranking baseline reported per surface, gate pre-registered</t>
  </si>
  <si>
    <t>train_tennis.py scores the model against 'back the higher-ranked player' - the strategy a user could actually run - pooled and per surface. +2.15pp pooled (Clay +2.51, Grass +5.24, Hard +1.25), below the pre-registered 3pp bar and concentrated on the smallest stratum, so no gate. Seeds pinned so the threshold is evaluable</t>
  </si>
  <si>
    <t>Tennis surface whitespace bug ('Grass' vs 'Grass ')</t>
  </si>
  <si>
    <t>4,296 vs 386 rows as separate categories. Not cosmetic - surface_win_rate, surface_streak and h2h_win_rate_surface all match on this string, so 8% of grass matches were compared against the wrong pool. Stripped at collection and on load</t>
  </si>
  <si>
    <t>MIN_FEATURE_COMPLETENESS raised 0.25 -&gt; 0.35</t>
  </si>
  <si>
    <t>Raised for COHERENCE, not accuracy - mobile dims below 0.35, so between 0.25 and 0.35 the product recommended a pick while calling its own data limited. Accuracy bands cannot locate a cliff (every 95% CI overlaps; worst band n=5). Costs zero upcoming picks. Not 0.50, which would drop 11 picks on a six-fixture band. Re-derive at n=93</t>
  </si>
  <si>
    <t>Corners coverage backfilled 66% -&gt; 91%</t>
  </si>
  <si>
    <t>+6,913 fixtures, 50,540 rows. The date bound was a 7,500/day budget decision; the plan is Ultra at 75,000/day. Sampled 12 gaps first - 8 returned real data, so most were collection misses. Corners training rows 10,877 -&gt; 14,745</t>
  </si>
  <si>
    <t>collect_league silently skipped 4 leagues incl. EPL</t>
  </si>
  <si>
    <t>Gated on games_path AND names_path existing, so the four leagues with no team_names parquet returned immediately for every non-gamelog stage, logging 'no game log yet' about a 3,800-row file. Found only because the backfill measured per league and those four gained exactly zero</t>
  </si>
  <si>
    <t>Football retrained on fuller corners data</t>
  </si>
  <si>
    <t>football_xgb_v20260813134423. layer1/layer2 byte-identical by hash, only corners changed. MAE 2.120 both sides but the test set grew 35% so not like-for-like; under-10.5 bucket spread 0.149 -&gt; 0.277 and still monotonic, which is the structural read</t>
  </si>
  <si>
    <t>API-Football plan facts corrected in CLAUDE.md</t>
  </si>
  <si>
    <t>Docs</t>
  </si>
  <si>
    <t>Documented as Pro/7,500/day ending 2026-08-29; actually Ultra/75,000/day ending 2026-09-29. Several 'cannot afford' decisions were sized against the old ceiling</t>
  </si>
  <si>
    <t>Budget audit: no further cheap data wins remain</t>
  </si>
  <si>
    <t>Re-checked every budget-shaped decision after the Pro-&gt;Ultra correction. Corners was the only real opportunity (done). Odds cadences are TheRundown/month (unchanged); xG is a different provider with upstream gaps (2021 absent across all 18 leagues); injuries could widen but feed features pruned in d0a24d9. La Liga 24/25 at 70/380 confirmed upstream, not a collection failure</t>
  </si>
  <si>
    <t>1X2 held-out log loss / Brier / ECE / reliability</t>
  </si>
  <si>
    <t>Per-fixture test outputs saved (comparisons now joinable)</t>
  </si>
  <si>
    <t>Settled cards no longer re-gated by a tightened floor</t>
  </si>
  <si>
    <t>Notebook grades the CARD's pick across all four markets</t>
  </si>
  <si>
    <t>/history serves the card's verdict, not just the 1X2 call</t>
  </si>
  <si>
    <t>Snapshot job warns when a window captures nothing</t>
  </si>
  <si>
    <t>Per-league x per-market metrics (last critique gap)</t>
  </si>
  <si>
    <t>Tennis tournament_surface backfilled 14% -&gt; 98%</t>
  </si>
  <si>
    <t>NBA training seed pinned (was tuning subsample unseeded)</t>
  </si>
  <si>
    <t>Form window measured: 10 beats 5, kept on evidence</t>
  </si>
  <si>
    <t>--no-activate: a measurement run can no longer promote itself</t>
  </si>
  <si>
    <t>Form window measured: 10 wins on RPS, all 3 sports converge</t>
  </si>
  <si>
    <t>--no-activate no longer strands a sport with zero models</t>
  </si>
  <si>
    <t>WNBA live: 2nd basketball league on the NBA model</t>
  </si>
  <si>
    <t>Live end to end: 40 fixtures, 15 teams, 18 predictions, 45 odds rows, NBA unchanged. Served by the existing NBA model (no retrain), the same way 18 football leagues share one artefact. Completeness capped at 0.69 - /season_averages is a 404 for WNBA so the 4 key-player features can never populate.</t>
  </si>
  <si>
    <t>Design system: tokens, type, geometry, odds format (Phase 0)</t>
  </si>
  <si>
    <t>Theme tokens, type ramp and named geometry extracted from the design spec into mobile/lib/theme so a shape cannot drift by a pixel between two screens meant to look identical. Reads the existing 3-state theme store rather than adding a second source of truth.</t>
  </si>
  <si>
    <t>Picks screen rebuilt to the new design (Phase 1)</t>
  </si>
  <si>
    <t>Header, date stepper, summary strip, segmented control, league groups with favourite pinning, match rows and filter sheet. Country filter shows flags rather than names and football is the default sport, per direct feedback mid-build. A globe stands in for All.</t>
  </si>
  <si>
    <t>Saved picks, as-of provenance and receipts folded in (Phase 2)</t>
  </si>
  <si>
    <t>The features built after the spec was written but absent from it. Full details link restored to the fixture screen after Phase 1 made it unreachable - caught by the user, not by review.</t>
  </si>
  <si>
    <t>Tab bar clears Android's navigation buttons</t>
  </si>
  <si>
    <t>The design canvas is an iPhone, whose 34px home indicator is smaller than Android's ~48dp three-button bar, so the literal canvas numbers put the tabs underneath the phone's own buttons. SafeAreaProvider was also missing entirely. Unconfirmed on a real device - the emulator needs a dev build.</t>
  </si>
  <si>
    <t>Live matches no longer sit in Upcoming</t>
  </si>
  <si>
    <t>Upcoming meant 'not completed', which swept in in-play games; it now means not started. A live row also showed its kick-off time, identical to an unstarted one, and now shows the minute or a plain Live where a sport reports no clock. Verified on 16 Aug data: All=33, Upcoming=2, the 3 live fixtures excluded.</t>
  </si>
  <si>
    <t>Market-feature usage measured across all three sports</t>
  </si>
  <si>
    <t>Decides which sports need a market-blind explanation variant. NBA and tennis both split on their moneyline feature ZERO times, so each serving model is already effectively market-blind and explains itself. Football spends 27% of Layer 1's splits and 19-23% of the corners pair's on the three market features. Only football needs a second artefact - a real scoping saving, measured rather than assumed.</t>
  </si>
  <si>
    <t>train_football.py --market-blind toggle</t>
  </si>
  <si>
    <t>Drops market_implied_* from every estimator. Forces --no-activate rather than merely defaulting to it: a blind model activating itself would replace the served probability with a deliberately worse one, and this project has been bitten twice by scripts that promote whatever finishes last. The variant is in the artefact FILENAME so the registry version carries it too.</t>
  </si>
  <si>
    <t>Attribution engine: exact TreeSHAP, grouped and routed</t>
  </si>
  <si>
    <t>XGBoost pred_contribs gives exact TreeSHAP with no shap dependency; additivity is pinned by a test. Routed per market - 1X2 and goals from Layer 1, corners from the corners pair, tennis and NBA from their single model. Sign convention is that positive always supports the pick SHOWN, so the panel copy is written once. Every feature of all four vectors is mapped to a display label, guarded by a test.</t>
  </si>
  <si>
    <t>Divergence guard + prediction-time storage</t>
  </si>
  <si>
    <t>predictions.driver_contributions (JSONB, nullable, no backfill - contributions depend on the feature vector at the instant of inference and cannot be rebuilt afterwards). Panel is suppressed outright when the blind model favours a different outcome from the card, rather than dressing a disagreement up as a justification. Verified end to end on a real Man City v Bournemouth prediction: contributions stored, feed returns them, no market feature present.</t>
  </si>
  <si>
    <t>Market-blind football artefact trained and registered</t>
  </si>
  <si>
    <t>football_xgb_v20260822212129_blind, is_active=False - the forced --no-activate working. Measured cost of dropping the three market features: accuracy 0.5082 -&gt; 0.5021 and RPS 0.2084 -&gt; 0.2119. Real but small, and it buys an explanation about football rather than about the price. Still +5.40pp over its own always-home baseline, so it is a competent model doing a narrow job.</t>
  </si>
  <si>
    <t>stage_artefacts stages blind variants too</t>
  </si>
  <si>
    <t>Deploy</t>
  </si>
  <si>
    <t>It staged only is_active=True rows, and a blind artefact is deliberately inactive - so it would not only have skipped one, its stale-clearing step would have DELETED a copy placed by hand. Explanations would have worked locally and silently returned nothing in production. Newest blind artefact per sport only, since every measurement run leaves a registry row.</t>
  </si>
  <si>
    <t>Driver panel: three factor rows in the expanded card</t>
  </si>
  <si>
    <t>Direction and relative weight, never a percentage - a figure beside the pick's own probability reads as part of it, and these decompose a different model. Bar carries magnitude, a word carries sign, eyebrow reads WHAT THE FORM DATA SAYS rather than 'why the model called it'. Bars scale against the largest row, not the sum: scaling by share renders several balanced drivers as three stubs, reading as weak evidence when it means the opposite.</t>
  </si>
  <si>
    <t>Live at-risk rules: one rule set for the tag and the alert</t>
  </si>
  <si>
    <t>Pure functions over a scoreline (app/predictions/live_risk.py) so the badge and the notification cannot drift apart. Coverage is a data question, not a product one: football full (minute on 332/332 rows), tennis completed-sets only, basketball none until period is ingested, corners never (counts written at settlement). Those render NO tag and a neutral bar - an absent tag reads as not-applicable, a grey one as we-checked-and-its-fine.</t>
  </si>
  <si>
    <t>At-risk push for saved picks, deduped</t>
  </si>
  <si>
    <t>watchlist_items.at_risk_alerted_at fires it once per saved fixture: live scores poll every 5 minutes and an at-risk pick tends to stay at-risk, so without the stamp one bad scoreline sends six notifications about one match. Queued from the live poll rather than its own schedule - a new scoreline is the only thing that can change a verdict. LOST is never pushed, and nothing after minute 85.</t>
  </si>
  <si>
    <t>Live card: verdict tag and colour-coded progress bar</t>
  </si>
  <si>
    <t>Per the user's own framing: the bar's LENGTH stays elapsed time while its COLOUR becomes the verdict, so a list of live cards reads at a glance without parsing a tag. Neutral where no verdict exists rather than green.</t>
  </si>
  <si>
    <t>Re-derive at-risk thresholds against settled fixtures</t>
  </si>
  <si>
    <t>Done by replaying 4,001 settled fixtures minute by minute from API-Football /fixtures/events goal timings - our own fixture_live_state is updated in place, never versioned, so in-play history did not exist. NOTHING CROSSES THE 50% BAR, so by the criterion fixed before the run every threshold stands; changing them on numbers seen afterwards is the post-hoc fitting the bar exists to prevent. The markets that actually reach a card (double chance, h2h) fire on 36-51%, are wrong 2-15%, and catch 65-99% of losses at a median of 70-75'. Two bugs found on the way: an own goal is credited to the team that BENEFITS (my flip cost one goal per affected match and biased the drop set toward high-scoring games, 7.5% -&gt; 1.0%), and a broken join once printed 'every threshold clears the bar' over ZERO rows.</t>
  </si>
  <si>
    <t>Multi-select sport/tour filter; tapping again deselects</t>
  </si>
  <si>
    <t>2026-08-24 00:00:00</t>
  </si>
  <si>
    <t>Filtering moved client-side: /fixtures takes one slug and the selection is a set. Empty means no restriction.</t>
  </si>
  <si>
    <t>Watchlist receipt records the pick the CARD showed</t>
  </si>
  <si>
    <t>2026-08-25 00:00:00</t>
  </si>
  <si>
    <t>Saved 'HOME 1.55' read back as '1X 1.17': the card ranks candidates clearing the user's sliders, the server recomputed with none. Client now sends the shown pick; server confirms it against real candidates.</t>
  </si>
  <si>
    <t>Session survives launch: single-flight refresh, no logout on a network error</t>
  </si>
  <si>
    <t>Tokens were persisted and then DELETED. Measured: two concurrent /auth/refresh with one token -&gt; 200 and 401; and any failure (cold Render) cleared the session. Only 401/403 clears now.</t>
  </si>
  <si>
    <t>Recent form: last five W/D/L per team or player</t>
  </si>
  <si>
    <t>A sequence, not a count: win_streak cannot tell WWWLL from WWWWW. Costs no API call; all three adapters already held the completed matches.</t>
  </si>
  <si>
    <t>No-signal bar changes hands: corners barred, goals admitted</t>
  </si>
  <si>
    <t>2026-08-30 00:00:00</t>
  </si>
  <si>
    <t>Live Spearman -0.039 (n=232) vs +0.197 (n=234), read off market_signal.py's pre-registered thresholds. Counterfactual on 8 days of real cards: 0.617 -&gt; 0.653.</t>
  </si>
  <si>
    <t>Serving registry repairs itself when an artefact is missing</t>
  </si>
  <si>
    <t>2026-09-04 00:00:00</t>
  </si>
  <si>
    <t>Football dark for days: 1 of 190 upcoming fixtures predicted vs tennis 7/7. Registry named an artefact absent from the image. Runs in BOTH worker and API - the API redeployed in 3 min while the worker had not after 40.</t>
  </si>
  <si>
    <t>Cards frozen at kickoff; candidate set stored, sliders applied at read</t>
  </si>
  <si>
    <t>2026-09-09 00:00:00</t>
  </si>
  <si>
    <t>19% of published cards altered or deleted in five days (28 changed bet, 48 gone of 396). Freezing only the WINNER then deleted cards a slider rejected - 7 of 8 had a qualifying alternative - so the guarded CANDIDATES are frozen instead.</t>
  </si>
  <si>
    <t>ATP requests paced to 54/min so the GOAT-&gt;ALL-STAR downgrade is safe</t>
  </si>
  <si>
    <t>2026-09-15 00:00:00</t>
  </si>
  <si>
    <t>Limit falls 600-&gt;60/min per sport. Measured 17 requests per fixture. Verified live: 17 requests, zero 429s, 55.3/min. Saves $30/month.</t>
  </si>
  <si>
    <t>Six football leagues added on measured coverage</t>
  </si>
  <si>
    <t>Eredivisie, Primeira Liga, Belgian Pro, Super Lig, 2. Bundesliga, Serie B. 8-9 bookmakers pricing four markets, 11-13 seasons of stats, real xG. Seed list unified into app/sports/catalog.py; API seeds missing rows at startup.</t>
  </si>
  <si>
    <t>History collected for the six before Ultra expires 29 Sep</t>
  </si>
  <si>
    <t>2026-09-16 00:00:00</t>
  </si>
  <si>
    <t>20,558 game-log rows / 10,279 fixtures; corners 86-92% after the retry sweep; xG collection running. No retrain - promotion needs pre-registered criteria.</t>
  </si>
  <si>
    <t>Every probability labelled as model output, not a bare figure</t>
  </si>
  <si>
    <t>Feed, saved and live rows printed a bare '89%' beside a pick, which reads as a claim about the match. Now 'Model probability' / 'Market odds' inline, so card heights are unchanged: the two labelled rows replace the two unlabelled ones already there.</t>
  </si>
  <si>
    <t>Picks header: wordmark left, one filter control carrying an off-default dot</t>
  </si>
  <si>
    <t>The dot is the point -- a card can vanish because a slider sits where the user left it days ago, and with controls behind a sheet nothing said so. Theme toggle and hub button removed only after confirming both are still reachable from Profile.</t>
  </si>
  <si>
    <t>Form chips re-coloured to clear AA contrast</t>
  </si>
  <si>
    <t>Tailwind bg-green-600/red-500/gray-400 put white 12px text at ~3.3/3.3/2.2 against white -- all three under AA, the grey badly. FORM_RUNS measures 5.7/7.6/6.0, confirmed by reading painted values from the browser. The spec's box-sizing item is a prototype-only bug; react-native-web already sets border-box.</t>
  </si>
  <si>
    <t>OTA published to preview; two weeks of mobile work had never shipped</t>
  </si>
  <si>
    <t>Reported as 'nothing's changed on the app'. Local web verification is not delivery: the last EAS update was 2 weeks old, so the Turkey flag and this task were both unshipped. Backend changes reach users through the API with no publish, which is what makes the gap easy to miss. Confirmed build f20f6b7c is on channel preview and EXPO_PUBLIC_API_URL exists in the preview environment before publishing.</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</si>
  <si>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</si>
  <si>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</si>
  <si>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</si>
  <si>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</si>
  <si>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</si>
  <si>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</si>
  <si>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(Ultra)
fixtures • team stats • injuries
H2H • lineups • corners
ENDS 2026-09-29</t>
  </si>
  <si>
    <t>TheRundown
odds: NBA + 5 EU + MLS
HEALTHY 5,000/mon</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</si>
  <si>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</si>
  <si>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</si>
  <si>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</si>
  <si>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</si>
  <si>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</si>
  <si>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</si>
  <si>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</si>
  <si>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</si>
  <si>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</si>
  <si>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</si>
  <si>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</si>
  <si>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</si>
  <si>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</si>
  <si>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</si>
  <si>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</si>
  <si>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</si>
  <si>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</si>
  <si>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</si>
  <si>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</si>
  <si>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</si>
  <si>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</si>
  <si>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</si>
  <si>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</si>
  <si>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</si>
  <si>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</si>
  <si>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</si>
  <si>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(18)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</si>
  <si>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</si>
  <si>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</si>
  <si>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</si>
  <si>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</si>
  <si>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</si>
  <si>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</si>
  <si>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</si>
  <si>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</si>
  <si>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</si>
  <si>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</si>
  <si>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</si>
  <si>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</si>
  <si>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</si>
  <si>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</si>
  <si>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</si>
  <si>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EAS project linked
no EXPO_ACCESS_TOKEN yet</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</si>
  <si>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</si>
  <si>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</si>
  <si>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</si>
  <si>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</si>
  <si>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</si>
  <si>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</si>
  <si>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</si>
  <si>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</si>
  <si>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</si>
  <si>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</si>
  <si>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</si>
  <si>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</si>
  <si>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</si>
  <si>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</si>
  <si>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</si>
  <si>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</si>
  <si>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</si>
  <si>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</si>
  <si>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</si>
  <si>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</si>
  <si>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</si>
  <si>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8 • RUNTIME  •  Render (production, live 13 Aug 2026)</t>
  </si>
  <si>
    <t>Deployed</t>
  </si>
  <si>
    <t>sportpiq-api (web)
gunicorn • binds $PORT
alembic in preDeployCommand</t>
  </si>
  <si>
    <t>sportpiq-worker
Celery prefork
executes every task</t>
  </si>
  <si>
    <t>sportpiq-beat
EXACTLY ONE, ever
two would double-spend quota</t>
  </si>
  <si>
    <t>sportpiq-db (PG16)
sportpiq-redis
managed, private network</t>
  </si>
  <si>
    <t>Models baked into the image
stage_artefacts + manifest
seed_model_registry on a new DB</t>
  </si>
  <si>
    <t>Local celery must stay OFF while production runs: both hit the same metered providers, and TheRundown is 5,000 per MONTH. Promotion is no longer a DB flip -- retrain, stage, commit, redeploy, seed.</t>
  </si>
  <si>
    <t>Epic Summary</t>
  </si>
  <si>
    <t>Total</t>
  </si>
  <si>
    <t>In progress / Planned</t>
  </si>
  <si>
    <t>% Complete</t>
  </si>
  <si>
    <t>OVERALL</t>
  </si>
  <si>
    <t>Unassigned (should be 0)</t>
  </si>
  <si>
    <t>Auto-calculated from the Delivery Board. Add an epic here if 'Unassigned' is ever non-zero.</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</si>
  <si>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</si>
  <si>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</si>
  <si>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</si>
  <si>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</si>
  <si>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</si>
  <si>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</si>
  <si>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</si>
  <si>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</si>
  <si>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</si>
  <si>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</si>
  <si>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</si>
  <si>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</si>
  <si>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</si>
  <si>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</si>
  <si>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</si>
  <si>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</si>
  <si>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</si>
  <si>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</si>
  <si>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</si>
  <si>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</si>
  <si>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 (SETTLED 2026-08-11, spec §9): CLV primary over accuracy on sample size (n~223-396 vs ~1,650); edge = CI excluding 0; the no-edge response pre-committed; re-read 2026-09-15</t>
  </si>
  <si>
    <t>spec</t>
  </si>
  <si>
    <t>What counts as an edge, what counts as none, and what happens in each case - written before looking at results. Same discipline that made the Tier-1 and key-player calls trustworthy rather than fitted.</t>
  </si>
  <si>
    <t>MIN_REPORTABLE_N 30 -&gt; 93 to match the spec: the smallest n whose 95% Wilson interval is under 20 points. Excludes tennis (n=77), admits football (n=139) — set by the rule, not to fit the data</t>
  </si>
  <si>
    <t>pre-registration</t>
  </si>
  <si>
    <t>sufficient_sample split into sufficient_sample (safe to display) + conclusive (safe to act on). One flag read as "trustworthy" when it only meant "big enough to print"</t>
  </si>
  <si>
    <t>First honest read: per sport, per market, per league</t>
  </si>
  <si>
    <t>/history</t>
  </si>
  <si>
    <t>DONE 13 Aug. Per-league existed for 1X2 only and per-market pooled only; per_league_market_metrics now reports both cuts crossed. Goals under-3.5 Brier spans 0.168 (J1) to 0.261 (Veikkausliiga) against a pooled 0.2096.</t>
  </si>
  <si>
    <t>Re-read CLV at a real sample size</t>
  </si>
  <si>
    <t>P0 capture check</t>
  </si>
  <si>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</si>
  <si>
    <t>Do confidence tiers mean anything?</t>
  </si>
  <si>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</si>
  <si>
    <t>Re-run completeness-vs-correctness</t>
  </si>
  <si>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</si>
  <si>
    <t>P3</t>
  </si>
  <si>
    <t>Decide Over/Under's future on the evidence — DONE 2026-08-11, and it split in two: goals_total n=242 r=+0.049 (0.2% of variance) is barred from winning the headline pick; corners_total n=234 r=+0.288 (8.3%, ~4.4 SE from zero) is KEPT. Decidable without the CLV read</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</si>
  <si>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</si>
  <si>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</si>
  <si>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</si>
  <si>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</si>
  <si>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</si>
  <si>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</si>
  <si>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</si>
  <si>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</si>
  <si>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</si>
  <si>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</si>
  <si>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</si>
  <si>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</si>
  <si>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</si>
  <si>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</si>
  <si>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</si>
  <si>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</si>
  <si>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</si>
  <si>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</si>
  <si>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</si>
  <si>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</si>
  <si>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</si>
  <si>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</si>
  <si>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</si>
  <si>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Push gate no longer uses the confidence tier</t>
  </si>
  <si>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</si>
  <si>
    <t>FINDING: the snapshot pipeline was never running. Worker and beat launched 3h BEFORE snapshot_picks.py was written, so the running beat had no snapshot entry — one row (a manual test call) in 24h. Third instance of the stale-process trap; restarted and verified through the real broker</t>
  </si>
  <si>
    <t>pick snapshots</t>
  </si>
  <si>
    <t>VALIDATED §9.7: 79% of upcoming fixtures yield a pick; 34% of settled ones carry odds, so ~53 CLV-eligible/week reaches n=223 in 4-5 weeks. The 2026-09-15 re-read date holds and is slightly conservative</t>
  </si>
  <si>
    <t>FINDING: odds coverage is fixture-binary and the whole gap was the 9 Tier-1 leagues (7 at ZERO). NOT a bug — added 08-09 with historically-backfilled fixtures that never passed a live odds window. All 9 report coverage.odds=true and 8 returned real prices on demand</t>
  </si>
  <si>
    <t>CLV sample size</t>
  </si>
  <si>
    <t>Beat now publishes its own code fingerprint (beat_init) and check_stale reports it. The blind spot was exactly where the damage was: only the worker published, so a stale SCHEDULER read as "ok". Both processes moved onto dev_worker.py, which restarts on change</t>
  </si>
  <si>
    <t>the snapshot finding</t>
  </si>
  <si>
    <t>Guard: every scheduled task must belong to a module the worker imports, and the snapshot entry is pinned by name — the whole pre-registration rests on one beat_schedule line whose absence is silent</t>
  </si>
  <si>
    <t>beat liveness</t>
  </si>
  <si>
    <t>Sentry wired into the Celery worker and beat, not just the API — it had only ever been initialised in create_app(), so every silent worker failure this project has had was unreportable. One shared initialiser; events tagged with component + loaded code fingerprint</t>
  </si>
  <si>
    <t>monitor_beat_tasks makes each beat_schedule entry a Sentry cron monitor, so a scheduled task that STOPS ARRIVING alerts. The one failure ordinary error reporting cannot catch: no exception, no failed task, no log line — the work just never happens</t>
  </si>
  <si>
    <t>Sentry wiring</t>
  </si>
  <si>
    <t>SENTRY_DSN_BACKEND now populated in backend/.env (gitignored). The DSN existed in keys.docx from the start — it had simply never reached the environment the app reads. Verified: init_sentry True, test event accepted, transport flushed</t>
  </si>
  <si>
    <t>user action</t>
  </si>
  <si>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</si>
  <si>
    <t>odds coverage</t>
  </si>
  <si>
    <t>NOTE: odds make the feed SMALLER, not larger — that day went 8 fixtures to 4. min_odds can only apply where a price exists, and tennis favourites at ~0.70 price below a 1.50 floor. Those cards previously showed because the filter silently could not apply</t>
  </si>
  <si>
    <t>Football empty cards are NOT a fault: ODDS_LOOKAHEAD_DAYS=3 and no football fixture is currently inside 3 days. Recheck once the European seasons open on 21 Aug</t>
  </si>
  <si>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</si>
  <si>
    <t>TRAP: TheRundown's teams_normalized array ORDER is not home/away — read is_home. Comparing against [0] produced a false "orientation is broken" alarm that nearly became a fix; the pipeline was correct</t>
  </si>
  <si>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</si>
  <si>
    <t>user report</t>
  </si>
  <si>
    <t>The 48h estimated-kickoff threshold is the load-bearing half: a Time-TBC fixture is stored at midnight, so one clock for both would retire most of a live tournament every morning. 21 of 21 that day correctly untouched</t>
  </si>
  <si>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</si>
  <si>
    <t>observability</t>
  </si>
  <si>
    <t>TRAP: killing uvicorn by command line does not work — a --reload child is spawned via multiprocessing so its cmdline says spawn_main, not uvicorn. Two orphans served stale code through four restarts while netstat blamed dead parent PIDs. check_stale.py caught it correctly throughout</t>
  </si>
  <si>
    <t>GAP: Sentry Expo plugin has no organization/project set, so production source maps will not upload and release stack traces would be minified. Moot until an EAS build exists</t>
  </si>
  <si>
    <t>mobile observability</t>
  </si>
  <si>
    <t>MODEL</t>
  </si>
  <si>
    <t>EXTERNAL CRITIQUE accepted: pooled model has no league feature and reports pooled metrics only; hyperparameters are effectively XGBoost defaults. Both verified true. HOLD on retrains deliberately lifted by the user to work through the fixes</t>
  </si>
  <si>
    <t>critique</t>
  </si>
  <si>
    <t>#1 PER-LEAGUE METRICS — train_football.py now reports 1X2 accuracy per league against THAT league's own always-home baseline, plus n and RPS, printed and logged to MLflow. Pooled +4.14pp hid a spread from -3.3pp to +14.0pp across 18 leagues</t>
  </si>
  <si>
    <t>#1</t>
  </si>
  <si>
    <t>FINDING: 4 of 18 leagues are WORSE than always-picking-home on the test set — ekstraklasa -3.3pp, brasileirao -1.6pp, austria_bundesliga -1.5pp, j1_league -0.3pp. Best are veikkausliiga +14.0pp, csl +11.3pp, seriea +9.5pp</t>
  </si>
  <si>
    <t>CORRECTION: the live-settled per-league read (brasileirao +26pp, csl -26.7pp) was NOISE at n=12-96 and the sign FLIPPED on the proper test set (brasileirao -1.6pp, csl +11.3pp). Do not quote the live table; n per league there is far below reportable</t>
  </si>
  <si>
    <t>#2 SEED + EXPLICIT HYPERPARAMETERS — RANDOM_SEED and XGB_COMMON pin n_estimators, max_depth, learning_rate, subsample, colsample, random_state across all 7 estimators. Pinned at the values already in effect, so the retrain reproduced the served model EXACTLY (0.4857/0.4443/0.2144)</t>
  </si>
  <si>
    <t>#2</t>
  </si>
  <si>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</si>
  <si>
    <t>#3</t>
  </si>
  <si>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</si>
  <si>
    <t>#4</t>
  </si>
  <si>
    <t>RPS regressed 0.2144-&gt;0.2152 with the league features. NOT in the pre-registered criteria and deliberately not added afterwards to flip the verdict — recorded so the trade-off is visible. Revisit if RPS matters more than new-league priors</t>
  </si>
  <si>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</si>
  <si>
    <t>Seed now genuinely load-bearing: the tuned config uses subsample 0.88 / colsample 0.63, so training is stochastic for the first time. Pinning it in #2 before this landed is what keeps runs comparable</t>
  </si>
  <si>
    <t>#2/#4</t>
  </si>
  <si>
    <t>FOLLOW-UP: the corners Poisson regressors are still untuned (MAE unchanged at 2.156, which confirms the scoping). Same pattern as Layer 1 would apply</t>
  </si>
  <si>
    <t>#5</t>
  </si>
  <si>
    <t>DONE 13 Aug. Tuned against validation Poisson deviance, and the Over/Under CORNERS market got its first held-out evaluation at the same time - it had shipped judged by MAE alone while the product sold P(under 9.5).</t>
  </si>
  <si>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</si>
  <si>
    <t>O/U</t>
  </si>
  <si>
    <t>The check deliberately does NOT lift the bar itself — re-admitting a market changes what users are told to back, so that stays a human decision. Pinned by a test that the worker never imports the pick-selection set</t>
  </si>
  <si>
    <t>Same correlation function now used by BOTH the training run (test-set read, printed + logged to MLflow) and the live trigger, so the two cannot drift and a market cannot be re-admitted on evidence that does not match the bar that barred it</t>
  </si>
  <si>
    <t>STATUS at wiring time: n=0 — the tuned model has no settled predictions yet. ~90 football fixtures settle per week and 125 are scheduled in the next 14 days, so the trigger becomes answerable around the 2026-09-15 CLV re-read</t>
  </si>
  <si>
    <t>MOBILE</t>
  </si>
  <si>
    <t>Missing country flags fixed — Norway, Finland, Denmark, Poland, Czech-Republic all rendered the globe fallback since the Tier-1 league expansion. Real PNGs added; verified in the running app on 9 Aug: 12 distinct flags render, ZERO globes remain</t>
  </si>
  <si>
    <t>Guard added (backend/tests/test_league_flags.py): every seeded league country must have a flag, and every referenced PNG must exist. Adding a league is a data insert by design, which is exactly why the flag gets forgotten — and a missing one produces no error, warning or log</t>
  </si>
  <si>
    <t>NOTE: the guard caught a real miss immediately — the normalising fallback for API-Football's hyphenated 'Czech-Republic' had silently failed to apply; only the exact map key landed. Flags worked, but the intended safety net did not exist</t>
  </si>
  <si>
    <t>FULL-SCORELINE LOG LOSS added to every training run, against two model-free references (empirical joint vs the same data with dependence removed). This was the good part of the bivariate-Poisson critique and it tests the CONDITIONAL claim that unconditional dispersion figures cannot</t>
  </si>
  <si>
    <t>O/U structure</t>
  </si>
  <si>
    <t>RESULT: value of modelling dependence AT ALL = +0.0005 nats — the ceiling for any bivariate Poisson or Dixon-Coles. Our model beats the dependence-aware reference by 0.0835, so per-fixture conditioning is worth ~167x the entire dependence structure. NO new score model</t>
  </si>
  <si>
    <t>Per-league dispersion re-measured on 27,914 fixtures: 9 of 18 leagues UNDERdispersed (incl. EPL, Serie A, Bundesliga) so a negative binomial is inadmissible; 15 of 18 have NEGATIVE home/away correlation so a bivariate Poisson cannot express the sign</t>
  </si>
  <si>
    <t>BUG</t>
  </si>
  <si>
    <t>THIRD recurrence of "cancelled game still active" fixed at the mechanism, not the symptom. Estimated-kickoff threshold 48h -&gt; 30h, and now DERIVED (24h for the day the placeholder stands for + 6h late-finish grace) rather than guessed. 48 allowed a full extra day after the day had already ended</t>
  </si>
  <si>
    <t>Self-monitoring added: _warn_if_stale_fixtures_remain counts fixtures the sweep should have caught and logs WARNING to Sentry. All three recurrences were invisible to us — a too-generous threshold looks exactly like a working sweep unless something counts leftovers</t>
  </si>
  <si>
    <t>NOTE: the provider was NOT the answer this time — BallDontLie still reported the cancelled match as scheduled 36h on, unlike earlier cases that 404d. "Ask the provider" would have been a fix that fixed nothing</t>
  </si>
  <si>
    <t>ROLLING WINDOW measured for the first time (3/5/10). It had never been tested: 5 came from a COLUMN NAME (form_pts_5) and NBA/tennis 10 from matching each other. n=10 wins on 7 of 8 measures — accuracy 0.5034-&gt;0.5096, gap +5.91-&gt;+6.53pp, scoreline LL 2.9406-&gt;2.9381. Live as football_xgb_v20260812204116</t>
  </si>
  <si>
    <t>windows</t>
  </si>
  <si>
    <t>n=3 loses outright and breaks under-3.5 bucket monotonicity (.744-&gt;.676) — the "shorter window is fresher" intuition is dead</t>
  </si>
  <si>
    <t>DEVIATION RECORDED: n=10 lost the ONE pre-registered criterion (RPS 0.2097-&gt;0.2098, 0.05% relative). The rule carried no tolerance and was badly specified; overriding it was a deliberate user-approved call, documented as an override rather than reinterpreted</t>
  </si>
  <si>
    <t>OPEN: NBA and tennis still use LAST_N_FORM=10 by inheritance, untested. Tennis is the more suspect — players compete in bursts, so 10 matches can span surfaces and months</t>
  </si>
  <si>
    <t>DONE 13 Aug. Both measured and both DEFENDED 10. All three sports now converge on 10.</t>
  </si>
  <si>
    <t>THE MEASUREMENT MEASURED THE WRONG OBJECT: /history and the notebook graded the 1X2 argmax while the product shows best_pick across four markets</t>
  </si>
  <si>
    <t>Football's settled card picks are 43 double chance + 19 corners and ZERO h2h, so the published football accuracy described a market football cards never show. Grading the card moves it 0.3651 -&gt; 0.7258 (n=62) - but the no-skill baseline rises with it to 0.6391, so the honest figure is +8.67pp against a 14.09pp detectable effect. Not conclusive.</t>
  </si>
  <si>
    <t>grade_pick ported from TypeScript so endpoint, notebook and card cannot disagree</t>
  </si>
  <si>
    <t>card grading</t>
  </si>
  <si>
    <t>The four-market rule existed once, in mobile/lib/pickFormat.ts, so only the phone could say whether a card had been right. Deliberate line-by-line port including the parts that look like bugs ('12' ungraded, an exact push losing both ways).</t>
  </si>
  <si>
    <t>1X2 got log loss / multiclass Brier / ECE / per-class reliability</t>
  </si>
  <si>
    <t>The flagship market had RPS and nothing else - Over/Under goals and corners each got a reliability table only after shipping wrong. FINDING: 92% of test fixtures get a draw probability in 0.2-0.3 (observed 0.257): right on average, no per-fixture information.</t>
  </si>
  <si>
    <t>CORRECTION: isotonic calibration on 1X2 DOES earn its place</t>
  </si>
  <si>
    <t>1X2 metrics</t>
  </si>
  <si>
    <t>Reported as not earning it on log loss (1.0179 vs 1.0148) and Brier (identical). Both are the wrong instrument - the product reads the probability VALUE through min_probability, the base-rate gates and EV. ECE 0.0143 vs 0.0195 uncalibrated. Judge a component on the metric it exists for.</t>
  </si>
  <si>
    <t>The draw finding needs no new guard - it is already contained</t>
  </si>
  <si>
    <t>MIN_EDGE_OVER_BASE_RATE requires a draw to reach 0.3038 and ZERO draw picks have ever reached a card, measured over the whole settled history.</t>
  </si>
  <si>
    <t>Per-fixture test outputs saved, so model comparisons are a join not a memory</t>
  </si>
  <si>
    <t>Every comparison had rested on printed headlines plus booster hashes - enough to prove scope, useless for attribution. It is what forced the caveat that corners MAE 2.167 -&gt; 2.157 was not an improvement because the test set grew 35%.</t>
  </si>
  <si>
    <t>TRAP: a training run promoted itself, and the losing arm went live</t>
  </si>
  <si>
    <t>The tennis n=5 arm scored worse on accuracy AND RPS and became the served model by finishing. Worse than a bad number: LAST_N_FORM reads back at 10 when serving, so a model trained on 5 would have been fed 10. --no-activate added to all three scripts.</t>
  </si>
  <si>
    <t>TRAP: --no-activate then stranded NBA with ZERO active models</t>
  </si>
  <si>
    <t>Mirror image of the above, from the same register-and-activate coupling. runner.py resolves the model from the registry, so the sport stops predicting with no exception anywhere. Caught only because /stats/model dropped NBA. Demotion now happens only when something replaces the incumbent.</t>
  </si>
  <si>
    <t>MIN_FEATURE_COMPLETENESS 0.25 -&gt; 0.35 deleted 21 already-published picks from past cards (9 Scottish Prem), because best_pick is recomputed per request. Not neutral: sub-0.35 picks run 0.2857 vs 0.5263 above, so filtering them made the record look BETTER than it is. Settled fixtures now exempt from that one guard.</t>
  </si>
  <si>
    <t>LIVE IN PRODUCTION - the measurement now has a real population to accumulate</t>
  </si>
  <si>
    <t>deploy</t>
  </si>
  <si>
    <t>Deployed 13 Aug. Every number measured so far is from the LOCAL database; production starts its own history from today, so /history there will read as a new model with no record until it accumulates.</t>
  </si>
  <si>
    <t>PRODUCTION AND LOCAL SHARE THE SAME METERED QUOTAS</t>
  </si>
  <si>
    <t>Local celery (2 workers + 2 beats) was killed on 13 Aug and the dev app repointed at production, so exactly one scheduler now spends TheRundown's 5,000/month. Running local beat alongside production double-spends it.</t>
  </si>
  <si>
    <t>EXCEPTION TAKEN to 'no new leagues until measurement lands': WNBA</t>
  </si>
  <si>
    <t>user request</t>
  </si>
  <si>
    <t>Recorded as an exception, not a precedent. The argument for it: a second basketball competition TESTS whether the NBA model generalises rather than merely widening coverage. Cost was near zero - no collection, no retrain, one adapter namespace switch. The HOLD otherwise stands.</t>
  </si>
  <si>
    <t>WNBA calibration against WNBA outcomes is UNMEASURED</t>
  </si>
  <si>
    <t>WNBA live</t>
  </si>
  <si>
    <t>The weights are NBA's. WNBA pace, scoring level and home advantage differ, so calibration may be off in either direction; the two priced fixtures both had the model BELOW the market, which is at least not the overconfidence failure mode. Needs settled WNBA fixtures to accumulate before anything can be said. A dedicated model is possible but small: ~312 games a season against NBA's ~1,230, on a 12-feature vector.</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</si>
  <si>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</si>
  <si>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</si>
  <si>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</si>
  <si>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</si>
  <si>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</si>
  <si>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</si>
  <si>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</si>
  <si>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</si>
  <si>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</si>
  <si>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</si>
  <si>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</si>
  <si>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</si>
  <si>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</si>
  <si>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</si>
  <si>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</si>
  <si>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</si>
  <si>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</si>
  <si>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</si>
  <si>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</si>
  <si>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</si>
  <si>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</si>
  <si>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</si>
  <si>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</si>
  <si>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</si>
  <si>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</si>
  <si>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</si>
  <si>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</si>
  <si>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</si>
  <si>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</si>
  <si>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</si>
  <si>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</si>
  <si>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</si>
  <si>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</si>
  <si>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</si>
  <si>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</si>
  <si>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</si>
  <si>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</si>
  <si>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</si>
  <si>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</si>
  <si>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</si>
  <si>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</si>
  <si>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</si>
  <si>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</si>
  <si>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</si>
  <si>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</si>
  <si>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</si>
  <si>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</si>
  <si>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</si>
  <si>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</si>
  <si>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</si>
  <si>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</si>
  <si>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</si>
  <si>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</si>
  <si>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</si>
  <si>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</si>
  <si>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</si>
  <si>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</si>
  <si>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</si>
  <si>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</si>
  <si>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</si>
  <si>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</si>
  <si>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</si>
  <si>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</si>
  <si>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</si>
  <si>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</si>
  <si>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</si>
  <si>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</si>
  <si>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</si>
  <si>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</si>
  <si>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</si>
  <si>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</si>
  <si>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</si>
  <si>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</si>
  <si>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</si>
  <si>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</si>
  <si>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</si>
  <si>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</si>
  <si>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</si>
  <si>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</si>
  <si>
    <t>13 Aug: PRODUCTION IS NOW LIVE AND SHARES EVERY QUOTA ABOVE. The figures here were read from a single local machine. Render's beat is now the only scheduler that should be running - local celery was stopped the same day, because two schedulers against the same providers double-spend metered quota and TheRundown is 5,000 per MONTH.</t>
  </si>
  <si>
    <t>13 Aug: BallDontLie /wnba/v1 confirmed live on the SAME key as NBA -- 200, mid-season, history past 2024. /season_averages is a 404 and /standings + /player_injuries 401, so WNBA carries no player-level data at all. TheRundown covers WNBA at sport_id 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</si>
</sst>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90"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s>
  <fills count="76">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12">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3" fillId="39" borderId="12" xfId="0" applyFont="1" applyFill="1" applyBorder="1" applyAlignment="1">
      <alignment horizontal="left" vertical="center"/>
    </xf>
    <xf numFmtId="0" fontId="45" fillId="40" borderId="13" xfId="0" applyFont="1" applyFill="1" applyBorder="1" applyAlignment="1">
      <alignment horizontal="left" vertical="center"/>
    </xf>
    <xf numFmtId="0" fontId="46" fillId="40" borderId="13" xfId="0" applyFont="1" applyFill="1" applyBorder="1" applyAlignment="1">
      <alignment horizontal="left" vertical="center"/>
    </xf>
    <xf numFmtId="0" fontId="47" fillId="41" borderId="13" xfId="0" applyFont="1" applyFill="1" applyBorder="1" applyAlignment="1">
      <alignment horizontal="center" vertical="center"/>
    </xf>
    <xf numFmtId="0" fontId="46" fillId="40" borderId="13" xfId="0" applyFont="1" applyFill="1" applyBorder="1" applyAlignment="1">
      <alignment horizontal="center" vertical="center"/>
    </xf>
    <xf numFmtId="164" fontId="46" fillId="40" borderId="13" xfId="0" applyNumberFormat="1" applyFont="1" applyFill="1" applyBorder="1" applyAlignment="1">
      <alignment horizontal="center" vertical="center"/>
    </xf>
    <xf numFmtId="0" fontId="46" fillId="41" borderId="13" xfId="0" applyFont="1" applyFill="1" applyBorder="1" applyAlignment="1">
      <alignment horizontal="left" vertical="center"/>
    </xf>
    <xf numFmtId="0" fontId="45" fillId="42" borderId="13" xfId="0" applyFont="1" applyFill="1" applyBorder="1" applyAlignment="1">
      <alignment horizontal="left" vertical="center"/>
    </xf>
    <xf numFmtId="0" fontId="46" fillId="42" borderId="13" xfId="0" applyFont="1" applyFill="1" applyBorder="1" applyAlignment="1">
      <alignment horizontal="left" vertical="center"/>
    </xf>
    <xf numFmtId="0" fontId="46" fillId="42" borderId="13" xfId="0" applyFont="1" applyFill="1" applyBorder="1" applyAlignment="1">
      <alignment horizontal="center" vertical="center"/>
    </xf>
    <xf numFmtId="164" fontId="46" fillId="42" borderId="13" xfId="0" applyNumberFormat="1" applyFont="1" applyFill="1" applyBorder="1" applyAlignment="1">
      <alignment horizontal="center" vertical="center"/>
    </xf>
    <xf numFmtId="0" fontId="46" fillId="43" borderId="13" xfId="0" applyFont="1" applyFill="1" applyBorder="1" applyAlignment="1">
      <alignment horizontal="left" vertical="center"/>
    </xf>
    <xf numFmtId="0" fontId="47" fillId="44" borderId="13" xfId="0" applyFont="1" applyFill="1" applyBorder="1" applyAlignment="1">
      <alignment horizontal="center" vertical="center"/>
    </xf>
    <xf numFmtId="0" fontId="46" fillId="44" borderId="13" xfId="0" applyFont="1" applyFill="1" applyBorder="1" applyAlignment="1">
      <alignment horizontal="left" vertical="center"/>
    </xf>
    <xf numFmtId="0" fontId="45" fillId="42" borderId="13" xfId="0" applyFont="1" applyFill="1" applyBorder="1" applyAlignment="1">
      <alignment horizontal="left" vertical="center" wrapText="1"/>
    </xf>
    <xf numFmtId="0" fontId="46" fillId="42" borderId="13" xfId="0" applyFont="1" applyFill="1" applyBorder="1" applyAlignment="1">
      <alignment horizontal="left" vertical="center" wrapText="1"/>
    </xf>
    <xf numFmtId="0" fontId="45" fillId="40"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9" fillId="45" borderId="14" xfId="0" applyFont="1" applyFill="1" applyBorder="1" applyAlignment="1">
      <alignment horizontal="left" vertical="center"/>
    </xf>
    <xf numFmtId="0" fontId="50" fillId="45" borderId="14" xfId="0" applyFont="1" applyFill="1" applyBorder="1" applyAlignment="1">
      <alignment horizontal="left" vertical="center"/>
    </xf>
    <xf numFmtId="0" fontId="50" fillId="45" borderId="14" xfId="0" applyFont="1" applyFill="1" applyBorder="1" applyAlignment="1">
      <alignment horizontal="center" vertical="center"/>
    </xf>
    <xf numFmtId="164" fontId="50" fillId="45" borderId="14" xfId="0" applyNumberFormat="1" applyFont="1" applyFill="1" applyBorder="1" applyAlignment="1">
      <alignment horizontal="center" vertical="center"/>
    </xf>
    <xf numFmtId="0" fontId="50" fillId="46" borderId="14" xfId="0" applyFont="1" applyFill="1" applyBorder="1" applyAlignment="1">
      <alignment horizontal="left" vertical="center"/>
    </xf>
    <xf numFmtId="0" fontId="49" fillId="47" borderId="14" xfId="0" applyFont="1" applyFill="1" applyBorder="1" applyAlignment="1">
      <alignment horizontal="left" vertical="center"/>
    </xf>
    <xf numFmtId="0" fontId="50" fillId="47" borderId="14" xfId="0" applyFont="1" applyFill="1" applyBorder="1" applyAlignment="1">
      <alignment horizontal="left" vertical="center"/>
    </xf>
    <xf numFmtId="0" fontId="50" fillId="47" borderId="14" xfId="0" applyFont="1" applyFill="1" applyBorder="1" applyAlignment="1">
      <alignment horizontal="center" vertical="center"/>
    </xf>
    <xf numFmtId="164" fontId="50" fillId="47" borderId="14" xfId="0" applyNumberFormat="1" applyFont="1" applyFill="1" applyBorder="1" applyAlignment="1">
      <alignment horizontal="center" vertical="center"/>
    </xf>
    <xf numFmtId="0" fontId="49" fillId="47" borderId="14" xfId="0" applyFont="1" applyFill="1" applyBorder="1" applyAlignment="1">
      <alignment horizontal="left" vertical="center" wrapText="1"/>
    </xf>
    <xf numFmtId="0" fontId="51" fillId="48" borderId="14" xfId="0" applyFont="1" applyFill="1" applyBorder="1" applyAlignment="1">
      <alignment horizontal="center" vertical="center"/>
    </xf>
    <xf numFmtId="0" fontId="50" fillId="47" borderId="14" xfId="0" applyFont="1" applyFill="1" applyBorder="1" applyAlignment="1">
      <alignment horizontal="left" vertical="center" wrapText="1"/>
    </xf>
    <xf numFmtId="0" fontId="49" fillId="45" borderId="14" xfId="0" applyFont="1" applyFill="1" applyBorder="1" applyAlignment="1">
      <alignment horizontal="left" vertical="center" wrapText="1"/>
    </xf>
    <xf numFmtId="0" fontId="51" fillId="49" borderId="14" xfId="0" applyFont="1" applyFill="1" applyBorder="1" applyAlignment="1">
      <alignment horizontal="center" vertical="center"/>
    </xf>
    <xf numFmtId="0" fontId="50" fillId="45" borderId="14" xfId="0" applyFont="1" applyFill="1" applyBorder="1" applyAlignment="1">
      <alignment horizontal="left" vertical="center" wrapText="1"/>
    </xf>
    <xf numFmtId="0" fontId="53" fillId="50" borderId="15" xfId="0" applyFont="1" applyFill="1" applyBorder="1" applyAlignment="1">
      <alignment horizontal="left" vertical="center" wrapText="1"/>
    </xf>
    <xf numFmtId="0" fontId="54" fillId="51" borderId="15" xfId="0" applyFont="1" applyFill="1" applyBorder="1" applyAlignment="1">
      <alignment horizontal="left" vertical="center"/>
    </xf>
    <xf numFmtId="0" fontId="53" fillId="51" borderId="15" xfId="0" applyFont="1" applyFill="1" applyBorder="1" applyAlignment="1">
      <alignment horizontal="left" vertical="center"/>
    </xf>
    <xf numFmtId="0" fontId="55" fillId="52" borderId="15" xfId="0" applyFont="1" applyFill="1" applyBorder="1" applyAlignment="1">
      <alignment horizontal="center" vertical="center"/>
    </xf>
    <xf numFmtId="0" fontId="53" fillId="51" borderId="15" xfId="0" applyFont="1" applyFill="1" applyBorder="1" applyAlignment="1">
      <alignment horizontal="center" vertical="center"/>
    </xf>
    <xf numFmtId="164" fontId="53" fillId="51" borderId="15" xfId="0" applyNumberFormat="1" applyFont="1" applyFill="1" applyBorder="1" applyAlignment="1">
      <alignment horizontal="center" vertical="center"/>
    </xf>
    <xf numFmtId="0" fontId="53" fillId="52" borderId="15" xfId="0" applyFont="1" applyFill="1" applyBorder="1" applyAlignment="1">
      <alignment horizontal="left" vertical="center"/>
    </xf>
    <xf numFmtId="0" fontId="54" fillId="51" borderId="15" xfId="0" applyFont="1" applyFill="1" applyBorder="1" applyAlignment="1">
      <alignment horizontal="left" vertical="center" wrapText="1"/>
    </xf>
    <xf numFmtId="0" fontId="55" fillId="53" borderId="15" xfId="0" applyFont="1" applyFill="1" applyBorder="1" applyAlignment="1">
      <alignment horizontal="center" vertical="center"/>
    </xf>
    <xf numFmtId="0" fontId="53" fillId="51" borderId="15" xfId="0" applyFont="1" applyFill="1" applyBorder="1" applyAlignment="1">
      <alignment horizontal="left" vertical="center" wrapText="1"/>
    </xf>
    <xf numFmtId="0" fontId="57" fillId="54" borderId="16" xfId="0" applyFont="1" applyFill="1" applyBorder="1" applyAlignment="1">
      <alignment horizontal="left" vertical="center"/>
    </xf>
    <xf numFmtId="0" fontId="58" fillId="54" borderId="16" xfId="0" applyFont="1" applyFill="1" applyBorder="1" applyAlignment="1">
      <alignment horizontal="left" vertical="center"/>
    </xf>
    <xf numFmtId="0" fontId="58" fillId="54" borderId="16" xfId="0" applyFont="1" applyFill="1" applyBorder="1" applyAlignment="1">
      <alignment horizontal="center" vertical="center"/>
    </xf>
    <xf numFmtId="164" fontId="58" fillId="54" borderId="16" xfId="0" applyNumberFormat="1" applyFont="1" applyFill="1" applyBorder="1" applyAlignment="1">
      <alignment horizontal="center" vertical="center"/>
    </xf>
    <xf numFmtId="0" fontId="58" fillId="55" borderId="16" xfId="0" applyFont="1" applyFill="1" applyBorder="1" applyAlignment="1">
      <alignment horizontal="left" vertical="center"/>
    </xf>
    <xf numFmtId="0" fontId="57" fillId="54" borderId="16" xfId="0" applyFont="1" applyFill="1" applyBorder="1" applyAlignment="1">
      <alignment horizontal="left" vertical="center" wrapText="1"/>
    </xf>
    <xf numFmtId="0" fontId="59" fillId="56" borderId="16" xfId="0" applyFont="1" applyFill="1" applyBorder="1" applyAlignment="1">
      <alignment horizontal="center" vertical="center"/>
    </xf>
    <xf numFmtId="0" fontId="58" fillId="54" borderId="16" xfId="0" applyFont="1" applyFill="1" applyBorder="1" applyAlignment="1">
      <alignment horizontal="left" vertical="center" wrapText="1"/>
    </xf>
    <xf numFmtId="0" fontId="57" fillId="57" borderId="16" xfId="0" applyFont="1" applyFill="1" applyBorder="1" applyAlignment="1">
      <alignment horizontal="left" vertical="center" wrapText="1"/>
    </xf>
    <xf numFmtId="0" fontId="58" fillId="57" borderId="16" xfId="0" applyFont="1" applyFill="1" applyBorder="1" applyAlignment="1">
      <alignment horizontal="center" vertical="center"/>
    </xf>
    <xf numFmtId="0" fontId="59" fillId="58" borderId="16" xfId="0" applyFont="1" applyFill="1" applyBorder="1" applyAlignment="1">
      <alignment horizontal="center" vertical="center"/>
    </xf>
    <xf numFmtId="0" fontId="58" fillId="57" borderId="16" xfId="0" applyFont="1" applyFill="1" applyBorder="1" applyAlignment="1">
      <alignment horizontal="left" vertical="center" wrapText="1"/>
    </xf>
    <xf numFmtId="0" fontId="61" fillId="59" borderId="17" xfId="0" applyFont="1" applyFill="1" applyBorder="1" applyAlignment="1">
      <alignment horizontal="left" vertical="center"/>
    </xf>
    <xf numFmtId="0" fontId="62" fillId="59" borderId="17" xfId="0" applyFont="1" applyFill="1" applyBorder="1" applyAlignment="1">
      <alignment horizontal="left" vertical="center"/>
    </xf>
    <xf numFmtId="0" fontId="63" fillId="60" borderId="17" xfId="0" applyFont="1" applyFill="1" applyBorder="1" applyAlignment="1">
      <alignment horizontal="center" vertical="center"/>
    </xf>
    <xf numFmtId="0" fontId="62" fillId="59" borderId="17" xfId="0" applyFont="1" applyFill="1" applyBorder="1" applyAlignment="1">
      <alignment horizontal="center" vertical="center"/>
    </xf>
    <xf numFmtId="164" fontId="62" fillId="59" borderId="17" xfId="0" applyNumberFormat="1" applyFont="1" applyFill="1" applyBorder="1" applyAlignment="1">
      <alignment horizontal="center" vertical="center"/>
    </xf>
    <xf numFmtId="0" fontId="62" fillId="60" borderId="17" xfId="0" applyFont="1" applyFill="1" applyBorder="1" applyAlignment="1">
      <alignment horizontal="left" vertical="center"/>
    </xf>
    <xf numFmtId="0" fontId="61" fillId="61" borderId="17" xfId="0" applyFont="1" applyFill="1" applyBorder="1" applyAlignment="1">
      <alignment horizontal="left" vertical="center"/>
    </xf>
    <xf numFmtId="0" fontId="62" fillId="61" borderId="17" xfId="0" applyFont="1" applyFill="1" applyBorder="1" applyAlignment="1">
      <alignment horizontal="left" vertical="center"/>
    </xf>
    <xf numFmtId="0" fontId="62" fillId="61" borderId="17" xfId="0" applyFont="1" applyFill="1" applyBorder="1" applyAlignment="1">
      <alignment horizontal="center" vertical="center"/>
    </xf>
    <xf numFmtId="164" fontId="62" fillId="61" borderId="17" xfId="0" applyNumberFormat="1" applyFont="1" applyFill="1" applyBorder="1" applyAlignment="1">
      <alignment horizontal="center" vertical="center"/>
    </xf>
    <xf numFmtId="0" fontId="62" fillId="62" borderId="17" xfId="0" applyFont="1" applyFill="1" applyBorder="1" applyAlignment="1">
      <alignment horizontal="left" vertical="center"/>
    </xf>
    <xf numFmtId="0" fontId="63" fillId="63" borderId="17" xfId="0" applyFont="1" applyFill="1" applyBorder="1" applyAlignment="1">
      <alignment horizontal="center" vertical="center"/>
    </xf>
    <xf numFmtId="0" fontId="62" fillId="63" borderId="17" xfId="0" applyFont="1" applyFill="1" applyBorder="1" applyAlignment="1">
      <alignment horizontal="left" vertical="center"/>
    </xf>
    <xf numFmtId="0" fontId="61" fillId="61" borderId="17" xfId="0" applyFont="1" applyFill="1" applyBorder="1" applyAlignment="1">
      <alignment horizontal="left" vertical="center" wrapText="1"/>
    </xf>
    <xf numFmtId="0" fontId="62" fillId="61" borderId="17" xfId="0" applyFont="1" applyFill="1" applyBorder="1" applyAlignment="1">
      <alignment horizontal="left" vertical="center" wrapText="1"/>
    </xf>
    <xf numFmtId="0" fontId="61" fillId="59"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5" fillId="64" borderId="18" xfId="0" applyFont="1" applyFill="1" applyBorder="1" applyAlignment="1">
      <alignment horizontal="left" vertical="center"/>
    </xf>
    <xf numFmtId="0" fontId="66" fillId="64" borderId="18" xfId="0" applyFont="1" applyFill="1" applyBorder="1" applyAlignment="1">
      <alignment horizontal="left" vertical="center"/>
    </xf>
    <xf numFmtId="0" fontId="66" fillId="64" borderId="18" xfId="0" applyFont="1" applyFill="1" applyBorder="1" applyAlignment="1">
      <alignment horizontal="center" vertical="center"/>
    </xf>
    <xf numFmtId="164" fontId="66" fillId="64" borderId="18" xfId="0" applyNumberFormat="1" applyFont="1" applyFill="1" applyBorder="1" applyAlignment="1">
      <alignment horizontal="center" vertical="center"/>
    </xf>
    <xf numFmtId="0" fontId="66" fillId="65" borderId="18" xfId="0" applyFont="1" applyFill="1" applyBorder="1" applyAlignment="1">
      <alignment horizontal="left" vertical="center"/>
    </xf>
    <xf numFmtId="0" fontId="65" fillId="66"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7" borderId="18" xfId="0" applyFont="1" applyFill="1" applyBorder="1" applyAlignment="1">
      <alignment horizontal="center" vertical="center"/>
    </xf>
    <xf numFmtId="0" fontId="66" fillId="66" borderId="18" xfId="0" applyFont="1" applyFill="1" applyBorder="1" applyAlignment="1">
      <alignment horizontal="center" vertical="center"/>
    </xf>
    <xf numFmtId="164" fontId="66" fillId="66" borderId="18" xfId="0" applyNumberFormat="1" applyFont="1" applyFill="1" applyBorder="1" applyAlignment="1">
      <alignment horizontal="center" vertical="center"/>
    </xf>
    <xf numFmtId="0" fontId="66" fillId="67" borderId="18" xfId="0" applyFont="1" applyFill="1" applyBorder="1" applyAlignment="1">
      <alignment horizontal="left" vertical="center"/>
    </xf>
    <xf numFmtId="0" fontId="67" fillId="68" borderId="18" xfId="0" applyFont="1" applyFill="1" applyBorder="1" applyAlignment="1">
      <alignment horizontal="center" vertical="center"/>
    </xf>
    <xf numFmtId="0" fontId="66" fillId="68" borderId="18" xfId="0" applyFont="1" applyFill="1" applyBorder="1" applyAlignment="1">
      <alignment horizontal="left" vertical="center"/>
    </xf>
    <xf numFmtId="0" fontId="66" fillId="69" borderId="18" xfId="0" applyFont="1" applyFill="1" applyBorder="1" applyAlignment="1">
      <alignment horizontal="left" vertical="center"/>
    </xf>
    <xf numFmtId="0" fontId="65" fillId="64" borderId="18" xfId="0" applyFont="1" applyFill="1" applyBorder="1" applyAlignment="1">
      <alignment horizontal="left" vertical="center" wrapText="1"/>
    </xf>
    <xf numFmtId="0" fontId="66" fillId="64" borderId="18" xfId="0" applyFont="1" applyFill="1" applyBorder="1" applyAlignment="1">
      <alignment horizontal="left" vertical="center" wrapText="1"/>
    </xf>
    <xf numFmtId="0" fontId="65" fillId="66"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165" fontId="0" fillId="0" borderId="0" xfId="0" applyNumberFormat="1"/>
    <xf numFmtId="0" fontId="69" fillId="0" borderId="0" xfId="0" applyFont="1"/>
    <xf numFmtId="0" fontId="70" fillId="0" borderId="0" xfId="0" applyFont="1"/>
    <xf numFmtId="0" fontId="71" fillId="70" borderId="0" xfId="0" applyFont="1" applyFill="1" applyAlignment="1">
      <alignment vertical="center" wrapText="1"/>
    </xf>
    <xf numFmtId="0" fontId="72" fillId="0" borderId="0" xfId="0" applyFont="1" applyAlignment="1">
      <alignment vertical="top" wrapText="1"/>
    </xf>
    <xf numFmtId="0" fontId="0" fillId="0" borderId="0" xfId="0" applyAlignment="1">
      <alignment vertical="top" wrapText="1"/>
    </xf>
    <xf numFmtId="0" fontId="72" fillId="71" borderId="0" xfId="0" applyFont="1" applyFill="1" applyAlignment="1">
      <alignment vertical="top" wrapText="1"/>
    </xf>
    <xf numFmtId="0" fontId="72" fillId="72" borderId="0" xfId="0" applyFont="1" applyFill="1" applyAlignment="1">
      <alignment vertical="top" wrapText="1"/>
    </xf>
    <xf numFmtId="0" fontId="72" fillId="73" borderId="0" xfId="0" applyFont="1" applyFill="1" applyAlignment="1">
      <alignment vertical="top" wrapText="1"/>
    </xf>
    <xf numFmtId="0" fontId="73" fillId="0" borderId="0" xfId="0" applyFont="1"/>
    <xf numFmtId="0" fontId="75" fillId="70" borderId="0" xfId="0" applyFont="1" applyFill="1" applyAlignment="1">
      <alignment vertical="center"/>
    </xf>
    <xf numFmtId="0" fontId="76" fillId="69" borderId="0" xfId="0" applyFont="1" applyFill="1" applyAlignment="1">
      <alignment horizontal="center" vertical="top"/>
    </xf>
    <xf numFmtId="0" fontId="76" fillId="68" borderId="0" xfId="0" applyFont="1" applyFill="1" applyAlignment="1">
      <alignment horizontal="center" vertical="top"/>
    </xf>
    <xf numFmtId="0" fontId="76" fillId="67" borderId="0" xfId="0" applyFont="1" applyFill="1" applyAlignment="1">
      <alignment horizontal="center" vertical="top"/>
    </xf>
    <xf numFmtId="0" fontId="76" fillId="8" borderId="0" xfId="0" applyFont="1" applyFill="1" applyAlignment="1">
      <alignment horizontal="center" vertical="top"/>
    </xf>
    <xf numFmtId="0" fontId="76" fillId="74" borderId="0" xfId="0" applyFont="1" applyFill="1" applyAlignment="1">
      <alignment horizontal="center" vertical="top"/>
    </xf>
    <xf numFmtId="0" fontId="76" fillId="75" borderId="0" xfId="0" applyFont="1" applyFill="1" applyAlignment="1">
      <alignment horizontal="center" vertical="top"/>
    </xf>
    <xf numFmtId="0" fontId="77" fillId="0" borderId="0" xfId="0" applyFont="1"/>
    <xf numFmtId="0" fontId="78" fillId="65" borderId="0" xfId="0" applyFont="1" applyFill="1" applyAlignment="1">
      <alignment horizontal="center" vertical="top"/>
    </xf>
    <xf numFmtId="0" fontId="78" fillId="69" borderId="0" xfId="0" applyFont="1" applyFill="1" applyAlignment="1">
      <alignment horizontal="center" vertical="top"/>
    </xf>
    <xf numFmtId="0" fontId="78" fillId="67" borderId="0" xfId="0" applyFont="1" applyFill="1" applyAlignment="1">
      <alignment horizontal="center" vertical="top"/>
    </xf>
    <xf numFmtId="0" fontId="79" fillId="67" borderId="0" xfId="0" applyFont="1" applyFill="1" applyAlignment="1">
      <alignment horizontal="center" vertical="top"/>
    </xf>
    <xf numFmtId="0" fontId="79" fillId="65"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8" borderId="0" xfId="0" applyFont="1" applyFill="1" applyAlignment="1">
      <alignment horizontal="center" vertical="top"/>
    </xf>
    <xf numFmtId="0" fontId="82" fillId="65" borderId="0" xfId="0" applyFont="1" applyFill="1" applyAlignment="1">
      <alignment horizontal="center" vertical="top"/>
    </xf>
    <xf numFmtId="0" fontId="83" fillId="65" borderId="0" xfId="0" applyFont="1" applyFill="1" applyAlignment="1">
      <alignment horizontal="center" vertical="top"/>
    </xf>
    <xf numFmtId="0" fontId="84" fillId="65" borderId="1" xfId="0" applyFont="1" applyFill="1" applyBorder="1" applyAlignment="1">
      <alignment horizontal="center" vertical="top"/>
    </xf>
    <xf numFmtId="0" fontId="7" fillId="5" borderId="1" xfId="0" applyFont="1" applyFill="1" applyBorder="1" applyAlignment="1">
      <alignment vertical="top" wrapText="1"/>
    </xf>
    <xf numFmtId="0" fontId="7" fillId="7" borderId="1" xfId="0" applyFont="1" applyFill="1" applyBorder="1" applyAlignment="1">
      <alignment vertical="top" wrapText="1"/>
    </xf>
    <xf numFmtId="0" fontId="84" fillId="65" borderId="7" xfId="0" applyFont="1" applyFill="1" applyBorder="1" applyAlignment="1">
      <alignment horizontal="center" vertical="top"/>
    </xf>
    <xf numFmtId="0" fontId="25" fillId="16" borderId="7" xfId="0" applyFont="1" applyFill="1" applyBorder="1" applyAlignment="1">
      <alignment vertical="top" wrapText="1"/>
    </xf>
    <xf numFmtId="0" fontId="25" fillId="18" borderId="7" xfId="0" applyFont="1" applyFill="1" applyBorder="1" applyAlignment="1">
      <alignment vertical="top" wrapText="1"/>
    </xf>
    <xf numFmtId="0" fontId="84" fillId="65" borderId="8" xfId="0" applyFont="1" applyFill="1" applyBorder="1" applyAlignment="1">
      <alignment horizontal="center" vertical="top"/>
    </xf>
    <xf numFmtId="0" fontId="29" fillId="20" borderId="8" xfId="0" applyFont="1" applyFill="1" applyBorder="1" applyAlignment="1">
      <alignment vertical="top" wrapText="1"/>
    </xf>
    <xf numFmtId="0" fontId="29" fillId="22" borderId="8" xfId="0" applyFont="1" applyFill="1" applyBorder="1" applyAlignment="1">
      <alignment vertical="top" wrapText="1"/>
    </xf>
    <xf numFmtId="0" fontId="84" fillId="65" borderId="9" xfId="0" applyFont="1" applyFill="1" applyBorder="1" applyAlignment="1">
      <alignment horizontal="center" vertical="top"/>
    </xf>
    <xf numFmtId="0" fontId="33" fillId="25" borderId="9" xfId="0" applyFont="1" applyFill="1" applyBorder="1" applyAlignment="1">
      <alignment vertical="top" wrapText="1"/>
    </xf>
    <xf numFmtId="0" fontId="84" fillId="65" borderId="10" xfId="0" applyFont="1" applyFill="1" applyBorder="1" applyAlignment="1">
      <alignment horizontal="center" vertical="top"/>
    </xf>
    <xf numFmtId="0" fontId="37" fillId="28" borderId="10" xfId="0" applyFont="1" applyFill="1" applyBorder="1" applyAlignment="1">
      <alignment vertical="top" wrapText="1"/>
    </xf>
    <xf numFmtId="0" fontId="37" fillId="30" borderId="10" xfId="0" applyFont="1" applyFill="1" applyBorder="1" applyAlignment="1">
      <alignment vertical="top" wrapText="1"/>
    </xf>
    <xf numFmtId="0" fontId="84" fillId="65" borderId="11" xfId="0" applyFont="1" applyFill="1" applyBorder="1" applyAlignment="1">
      <alignment horizontal="center" vertical="top"/>
    </xf>
    <xf numFmtId="0" fontId="41" fillId="32" borderId="11" xfId="0" applyFont="1" applyFill="1" applyBorder="1" applyAlignment="1">
      <alignment vertical="top" wrapText="1"/>
    </xf>
    <xf numFmtId="0" fontId="41" fillId="34" borderId="11" xfId="0" applyFont="1" applyFill="1" applyBorder="1" applyAlignment="1">
      <alignment vertical="top" wrapText="1"/>
    </xf>
    <xf numFmtId="0" fontId="84" fillId="65" borderId="12" xfId="0" applyFont="1" applyFill="1" applyBorder="1" applyAlignment="1">
      <alignment horizontal="center" vertical="top"/>
    </xf>
    <xf numFmtId="0" fontId="44" fillId="36" borderId="12" xfId="0" applyFont="1" applyFill="1" applyBorder="1" applyAlignment="1">
      <alignment vertical="top" wrapText="1"/>
    </xf>
    <xf numFmtId="0" fontId="44" fillId="38" borderId="12" xfId="0" applyFont="1" applyFill="1" applyBorder="1" applyAlignment="1">
      <alignment vertical="top" wrapText="1"/>
    </xf>
    <xf numFmtId="0" fontId="48" fillId="40" borderId="13" xfId="0" applyFont="1" applyFill="1" applyBorder="1" applyAlignment="1">
      <alignment vertical="top" wrapText="1"/>
    </xf>
    <xf numFmtId="0" fontId="84" fillId="65" borderId="13" xfId="0" applyFont="1" applyFill="1" applyBorder="1" applyAlignment="1">
      <alignment horizontal="center" vertical="top"/>
    </xf>
    <xf numFmtId="0" fontId="48" fillId="42" borderId="13" xfId="0" applyFont="1" applyFill="1" applyBorder="1" applyAlignment="1">
      <alignment vertical="top" wrapText="1"/>
    </xf>
    <xf numFmtId="0" fontId="84" fillId="65" borderId="14" xfId="0" applyFont="1" applyFill="1" applyBorder="1" applyAlignment="1">
      <alignment horizontal="center" vertical="top"/>
    </xf>
    <xf numFmtId="0" fontId="52" fillId="45" borderId="14" xfId="0" applyFont="1" applyFill="1" applyBorder="1" applyAlignment="1">
      <alignment vertical="top" wrapText="1"/>
    </xf>
    <xf numFmtId="0" fontId="52" fillId="47" borderId="14" xfId="0" applyFont="1" applyFill="1" applyBorder="1" applyAlignment="1">
      <alignment vertical="top" wrapText="1"/>
    </xf>
    <xf numFmtId="0" fontId="56" fillId="51" borderId="15" xfId="0" applyFont="1" applyFill="1" applyBorder="1" applyAlignment="1">
      <alignment vertical="top" wrapText="1"/>
    </xf>
    <xf numFmtId="0" fontId="84" fillId="65" borderId="16" xfId="0" applyFont="1" applyFill="1" applyBorder="1" applyAlignment="1">
      <alignment horizontal="center" vertical="top"/>
    </xf>
    <xf numFmtId="0" fontId="60" fillId="54" borderId="16" xfId="0" applyFont="1" applyFill="1" applyBorder="1" applyAlignment="1">
      <alignment vertical="top" wrapText="1"/>
    </xf>
    <xf numFmtId="0" fontId="64" fillId="59" borderId="17" xfId="0" applyFont="1" applyFill="1" applyBorder="1" applyAlignment="1">
      <alignment vertical="top" wrapText="1"/>
    </xf>
    <xf numFmtId="0" fontId="84" fillId="65" borderId="17" xfId="0" applyFont="1" applyFill="1" applyBorder="1" applyAlignment="1">
      <alignment horizontal="center" vertical="top"/>
    </xf>
    <xf numFmtId="0" fontId="64" fillId="61" borderId="17" xfId="0" applyFont="1" applyFill="1" applyBorder="1" applyAlignment="1">
      <alignment vertical="top" wrapText="1"/>
    </xf>
    <xf numFmtId="0" fontId="84" fillId="65" borderId="18" xfId="0" applyFont="1" applyFill="1" applyBorder="1" applyAlignment="1">
      <alignment horizontal="center" vertical="top"/>
    </xf>
    <xf numFmtId="0" fontId="68" fillId="64" borderId="18" xfId="0" applyFont="1" applyFill="1" applyBorder="1" applyAlignment="1">
      <alignment vertical="top" wrapText="1"/>
    </xf>
    <xf numFmtId="0" fontId="68" fillId="66" borderId="18" xfId="0" applyFont="1" applyFill="1" applyBorder="1" applyAlignment="1">
      <alignment vertical="top" wrapText="1"/>
    </xf>
    <xf numFmtId="0" fontId="84" fillId="65" borderId="0" xfId="0" applyFont="1" applyFill="1" applyAlignment="1">
      <alignment horizontal="center" vertical="top"/>
    </xf>
    <xf numFmtId="0" fontId="85" fillId="0" borderId="0" xfId="0" applyFont="1"/>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3" fillId="3" borderId="0" xfId="0" applyFont="1" applyFill="1" applyAlignment="1">
      <alignment horizontal="left" vertical="center" indent="1"/>
    </xf>
    <xf numFmtId="0" fontId="0" fillId="0" borderId="0" xfId="0" applyAlignment="1">
      <alignment wrapText="1"/>
    </xf>
    <xf numFmtId="0" fontId="86" fillId="65" borderId="0" xfId="0" applyFont="1" applyFill="1" applyAlignment="1">
      <alignment horizontal="center" vertical="top"/>
    </xf>
    <xf numFmtId="0" fontId="87" fillId="65" borderId="0" xfId="0" applyFont="1" applyFill="1" applyAlignment="1">
      <alignment horizontal="center" vertical="top"/>
    </xf>
    <xf numFmtId="0" fontId="88" fillId="65" borderId="0" xfId="0" applyFont="1" applyFill="1" applyAlignment="1">
      <alignment horizontal="center" vertical="top"/>
    </xf>
    <xf numFmtId="0" fontId="89" fillId="65" borderId="0" xfId="0" applyFont="1" applyFill="1" applyAlignment="1">
      <alignment horizontal="center" vertical="top"/>
    </xf>
    <xf numFmtId="0" fontId="11" fillId="2" borderId="18" xfId="0" applyFont="1" applyFill="1" applyBorder="1" applyAlignment="1">
      <alignment horizontal="left" vertical="center"/>
    </xf>
    <xf numFmtId="0" fontId="0" fillId="0" borderId="2" xfId="0" applyBorder="1"/>
    <xf numFmtId="0" fontId="0" fillId="0" borderId="3" xfId="0" applyBorder="1"/>
    <xf numFmtId="0" fontId="2" fillId="3" borderId="18" xfId="0" applyFont="1" applyFill="1" applyBorder="1" applyAlignment="1">
      <alignment horizontal="left" vertical="center"/>
    </xf>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74" fillId="0" borderId="0" xfId="0" applyFont="1" applyAlignment="1">
      <alignment vertical="top" wrapText="1"/>
    </xf>
    <xf numFmtId="0" fontId="70"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73"/>
  <sheetViews>
    <sheetView workbookViewId="0">
      <pane xSplit="7" ySplit="4" topLeftCell="H199" activePane="bottomRight" state="frozen"/>
      <selection pane="topRight"/>
      <selection pane="bottomLeft"/>
      <selection pane="bottomRight" activeCell="I154" sqref="I154"/>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86" t="s">
        <v>210</v>
      </c>
      <c r="B1" s="283"/>
      <c r="C1" s="283"/>
      <c r="D1" s="283"/>
      <c r="E1" s="283"/>
      <c r="F1" s="283"/>
      <c r="G1" s="283"/>
      <c r="H1" s="283"/>
      <c r="I1" s="283"/>
      <c r="J1" s="283"/>
      <c r="K1" s="283"/>
      <c r="L1" s="283"/>
      <c r="M1" s="283"/>
      <c r="N1" s="283"/>
      <c r="O1" s="283"/>
      <c r="P1" s="283"/>
      <c r="Q1" s="284"/>
    </row>
    <row r="2" spans="1:18" ht="18" customHeight="1" x14ac:dyDescent="0.55000000000000004">
      <c r="A2" s="285" t="s">
        <v>211</v>
      </c>
      <c r="B2" s="283"/>
      <c r="C2" s="283"/>
      <c r="D2" s="283"/>
      <c r="E2" s="283"/>
      <c r="F2" s="283"/>
      <c r="G2" s="283"/>
      <c r="H2" s="283"/>
      <c r="I2" s="283"/>
      <c r="J2" s="283"/>
      <c r="K2" s="283"/>
      <c r="L2" s="283"/>
      <c r="M2" s="283"/>
      <c r="N2" s="283"/>
      <c r="O2" s="283"/>
      <c r="P2" s="283"/>
      <c r="Q2" s="284"/>
    </row>
    <row r="4" spans="1:18" x14ac:dyDescent="0.55000000000000004">
      <c r="A4" s="1" t="s">
        <v>212</v>
      </c>
      <c r="B4" s="1" t="s">
        <v>213</v>
      </c>
      <c r="C4" s="1" t="s">
        <v>4</v>
      </c>
      <c r="D4" s="1" t="s">
        <v>214</v>
      </c>
      <c r="E4" s="1" t="s">
        <v>215</v>
      </c>
      <c r="F4" s="1" t="s">
        <v>216</v>
      </c>
      <c r="G4" s="1" t="s">
        <v>217</v>
      </c>
      <c r="H4" s="2" t="s">
        <v>218</v>
      </c>
      <c r="I4" s="2" t="s">
        <v>219</v>
      </c>
      <c r="J4" s="2" t="s">
        <v>220</v>
      </c>
      <c r="K4" s="2" t="s">
        <v>221</v>
      </c>
      <c r="L4" s="2" t="s">
        <v>222</v>
      </c>
      <c r="M4" s="2" t="s">
        <v>223</v>
      </c>
      <c r="N4" s="2" t="s">
        <v>224</v>
      </c>
      <c r="O4" s="2" t="s">
        <v>225</v>
      </c>
      <c r="P4" s="2" t="s">
        <v>226</v>
      </c>
      <c r="Q4" s="2" t="s">
        <v>227</v>
      </c>
      <c r="R4" s="40" t="s">
        <v>228</v>
      </c>
    </row>
    <row r="5" spans="1:18" x14ac:dyDescent="0.55000000000000004">
      <c r="A5" s="3" t="s">
        <v>229</v>
      </c>
      <c r="B5" s="4" t="s">
        <v>230</v>
      </c>
      <c r="C5" s="237" t="s">
        <v>231</v>
      </c>
      <c r="D5" s="6" t="s">
        <v>232</v>
      </c>
      <c r="E5" s="7">
        <v>46231</v>
      </c>
      <c r="F5" s="7">
        <v>46231</v>
      </c>
      <c r="G5" s="238" t="s">
        <v>233</v>
      </c>
      <c r="H5" s="8"/>
      <c r="I5" s="9"/>
      <c r="J5" s="9"/>
      <c r="K5" s="9"/>
      <c r="L5" s="9"/>
      <c r="M5" s="9"/>
      <c r="N5" s="9"/>
      <c r="O5" s="9"/>
      <c r="P5" s="9"/>
      <c r="Q5" s="9"/>
      <c r="R5" t="str">
        <f>$A5</f>
        <v>E1 Foundation</v>
      </c>
    </row>
    <row r="6" spans="1:18" x14ac:dyDescent="0.55000000000000004">
      <c r="A6" s="10"/>
      <c r="B6" s="10" t="s">
        <v>234</v>
      </c>
      <c r="C6" s="237" t="s">
        <v>231</v>
      </c>
      <c r="D6" s="11" t="s">
        <v>232</v>
      </c>
      <c r="E6" s="12">
        <v>46231</v>
      </c>
      <c r="F6" s="12">
        <v>46232</v>
      </c>
      <c r="G6" s="239" t="s">
        <v>235</v>
      </c>
      <c r="H6" s="8"/>
      <c r="I6" s="13"/>
      <c r="J6" s="13"/>
      <c r="K6" s="13"/>
      <c r="L6" s="13"/>
      <c r="M6" s="13"/>
      <c r="N6" s="13"/>
      <c r="O6" s="13"/>
      <c r="P6" s="13"/>
      <c r="Q6" s="13"/>
      <c r="R6" t="str">
        <f t="shared" ref="R6:R69" si="0">IF($A6&lt;&gt;"",$A6,R5)</f>
        <v>E1 Foundation</v>
      </c>
    </row>
    <row r="7" spans="1:18" x14ac:dyDescent="0.55000000000000004">
      <c r="A7" s="4"/>
      <c r="B7" s="4" t="s">
        <v>236</v>
      </c>
      <c r="C7" s="237" t="s">
        <v>231</v>
      </c>
      <c r="D7" s="6" t="s">
        <v>232</v>
      </c>
      <c r="E7" s="7">
        <v>46231</v>
      </c>
      <c r="F7" s="7">
        <v>46231</v>
      </c>
      <c r="G7" s="238" t="s">
        <v>237</v>
      </c>
      <c r="H7" s="8"/>
      <c r="I7" s="9"/>
      <c r="J7" s="9"/>
      <c r="K7" s="9"/>
      <c r="L7" s="9"/>
      <c r="M7" s="9"/>
      <c r="N7" s="9"/>
      <c r="O7" s="9"/>
      <c r="P7" s="9"/>
      <c r="Q7" s="9"/>
      <c r="R7" t="str">
        <f t="shared" si="0"/>
        <v>E1 Foundation</v>
      </c>
    </row>
    <row r="8" spans="1:18" x14ac:dyDescent="0.55000000000000004">
      <c r="A8" s="10"/>
      <c r="B8" s="10" t="s">
        <v>238</v>
      </c>
      <c r="C8" s="237" t="s">
        <v>231</v>
      </c>
      <c r="D8" s="11" t="s">
        <v>232</v>
      </c>
      <c r="E8" s="12">
        <v>46233</v>
      </c>
      <c r="F8" s="12">
        <v>46233</v>
      </c>
      <c r="G8" s="239" t="s">
        <v>239</v>
      </c>
      <c r="H8" s="8"/>
      <c r="I8" s="13"/>
      <c r="J8" s="13"/>
      <c r="K8" s="13"/>
      <c r="L8" s="13"/>
      <c r="M8" s="13"/>
      <c r="N8" s="13"/>
      <c r="O8" s="13"/>
      <c r="P8" s="13"/>
      <c r="Q8" s="13"/>
      <c r="R8" t="str">
        <f t="shared" si="0"/>
        <v>E1 Foundation</v>
      </c>
    </row>
    <row r="9" spans="1:18" x14ac:dyDescent="0.55000000000000004">
      <c r="A9" s="3" t="s">
        <v>240</v>
      </c>
      <c r="B9" s="4" t="s">
        <v>241</v>
      </c>
      <c r="C9" s="237" t="s">
        <v>231</v>
      </c>
      <c r="D9" s="6" t="s">
        <v>242</v>
      </c>
      <c r="E9" s="7">
        <v>46231</v>
      </c>
      <c r="F9" s="7">
        <v>46231</v>
      </c>
      <c r="G9" s="238" t="s">
        <v>243</v>
      </c>
      <c r="H9" s="8"/>
      <c r="I9" s="9"/>
      <c r="J9" s="9"/>
      <c r="K9" s="9"/>
      <c r="L9" s="9"/>
      <c r="M9" s="9"/>
      <c r="N9" s="9"/>
      <c r="O9" s="9"/>
      <c r="P9" s="9"/>
      <c r="Q9" s="9"/>
      <c r="R9" t="str">
        <f t="shared" si="0"/>
        <v>E2 Ingestion</v>
      </c>
    </row>
    <row r="10" spans="1:18" x14ac:dyDescent="0.55000000000000004">
      <c r="A10" s="10"/>
      <c r="B10" s="10" t="s">
        <v>244</v>
      </c>
      <c r="C10" s="237" t="s">
        <v>231</v>
      </c>
      <c r="D10" s="11" t="s">
        <v>242</v>
      </c>
      <c r="E10" s="12">
        <v>46232</v>
      </c>
      <c r="F10" s="12">
        <v>46232</v>
      </c>
      <c r="G10" s="239" t="s">
        <v>245</v>
      </c>
      <c r="H10" s="8"/>
      <c r="I10" s="13"/>
      <c r="J10" s="13"/>
      <c r="K10" s="13"/>
      <c r="L10" s="13"/>
      <c r="M10" s="13"/>
      <c r="N10" s="13"/>
      <c r="O10" s="13"/>
      <c r="P10" s="13"/>
      <c r="Q10" s="13"/>
      <c r="R10" t="str">
        <f t="shared" si="0"/>
        <v>E2 Ingestion</v>
      </c>
    </row>
    <row r="11" spans="1:18" x14ac:dyDescent="0.55000000000000004">
      <c r="A11" s="4"/>
      <c r="B11" s="4" t="s">
        <v>246</v>
      </c>
      <c r="C11" s="237" t="s">
        <v>231</v>
      </c>
      <c r="D11" s="6" t="s">
        <v>242</v>
      </c>
      <c r="E11" s="7">
        <v>46232</v>
      </c>
      <c r="F11" s="7">
        <v>46233</v>
      </c>
      <c r="G11" s="238" t="s">
        <v>247</v>
      </c>
      <c r="H11" s="8"/>
      <c r="I11" s="9"/>
      <c r="J11" s="9"/>
      <c r="K11" s="9"/>
      <c r="L11" s="9"/>
      <c r="M11" s="9"/>
      <c r="N11" s="9"/>
      <c r="O11" s="9"/>
      <c r="P11" s="9"/>
      <c r="Q11" s="9"/>
      <c r="R11" t="str">
        <f t="shared" si="0"/>
        <v>E2 Ingestion</v>
      </c>
    </row>
    <row r="12" spans="1:18" x14ac:dyDescent="0.55000000000000004">
      <c r="A12" s="10"/>
      <c r="B12" s="10" t="s">
        <v>248</v>
      </c>
      <c r="C12" s="237" t="s">
        <v>231</v>
      </c>
      <c r="D12" s="11" t="s">
        <v>242</v>
      </c>
      <c r="E12" s="12">
        <v>46233</v>
      </c>
      <c r="F12" s="12">
        <v>46234</v>
      </c>
      <c r="G12" s="239" t="s">
        <v>249</v>
      </c>
      <c r="H12" s="8"/>
      <c r="I12" s="13"/>
      <c r="J12" s="13"/>
      <c r="K12" s="13"/>
      <c r="L12" s="13"/>
      <c r="M12" s="13"/>
      <c r="N12" s="13"/>
      <c r="O12" s="13"/>
      <c r="P12" s="13"/>
      <c r="Q12" s="13"/>
      <c r="R12" t="str">
        <f t="shared" si="0"/>
        <v>E2 Ingestion</v>
      </c>
    </row>
    <row r="13" spans="1:18" x14ac:dyDescent="0.55000000000000004">
      <c r="A13" s="4"/>
      <c r="B13" s="4" t="s">
        <v>250</v>
      </c>
      <c r="C13" s="237" t="s">
        <v>231</v>
      </c>
      <c r="D13" s="6" t="s">
        <v>242</v>
      </c>
      <c r="E13" s="7">
        <v>46236</v>
      </c>
      <c r="F13" s="7">
        <v>46237</v>
      </c>
      <c r="G13" s="238" t="s">
        <v>251</v>
      </c>
      <c r="H13" s="8"/>
      <c r="I13" s="8"/>
      <c r="J13" s="9"/>
      <c r="K13" s="9"/>
      <c r="L13" s="9"/>
      <c r="M13" s="9"/>
      <c r="N13" s="9"/>
      <c r="O13" s="9"/>
      <c r="P13" s="9"/>
      <c r="Q13" s="9"/>
      <c r="R13" t="str">
        <f t="shared" si="0"/>
        <v>E2 Ingestion</v>
      </c>
    </row>
    <row r="14" spans="1:18" x14ac:dyDescent="0.55000000000000004">
      <c r="A14" s="14" t="s">
        <v>252</v>
      </c>
      <c r="B14" s="10" t="s">
        <v>253</v>
      </c>
      <c r="C14" s="237" t="s">
        <v>231</v>
      </c>
      <c r="D14" s="11" t="s">
        <v>254</v>
      </c>
      <c r="E14" s="12">
        <v>46231</v>
      </c>
      <c r="F14" s="12">
        <v>46232</v>
      </c>
      <c r="G14" s="239" t="s">
        <v>255</v>
      </c>
      <c r="H14" s="8"/>
      <c r="I14" s="13"/>
      <c r="J14" s="13"/>
      <c r="K14" s="13"/>
      <c r="L14" s="13"/>
      <c r="M14" s="13"/>
      <c r="N14" s="13"/>
      <c r="O14" s="13"/>
      <c r="P14" s="13"/>
      <c r="Q14" s="13"/>
      <c r="R14" t="str">
        <f t="shared" si="0"/>
        <v>E3 ML NBA</v>
      </c>
    </row>
    <row r="15" spans="1:18" x14ac:dyDescent="0.55000000000000004">
      <c r="A15" s="4"/>
      <c r="B15" s="4" t="s">
        <v>256</v>
      </c>
      <c r="C15" s="237" t="s">
        <v>231</v>
      </c>
      <c r="D15" s="6" t="s">
        <v>254</v>
      </c>
      <c r="E15" s="7">
        <v>46232</v>
      </c>
      <c r="F15" s="7">
        <v>46232</v>
      </c>
      <c r="G15" s="238" t="s">
        <v>257</v>
      </c>
      <c r="H15" s="8"/>
      <c r="I15" s="9"/>
      <c r="J15" s="9"/>
      <c r="K15" s="9"/>
      <c r="L15" s="9"/>
      <c r="M15" s="9"/>
      <c r="N15" s="9"/>
      <c r="O15" s="9"/>
      <c r="P15" s="9"/>
      <c r="Q15" s="9"/>
      <c r="R15" t="str">
        <f t="shared" si="0"/>
        <v>E3 ML NBA</v>
      </c>
    </row>
    <row r="16" spans="1:18" x14ac:dyDescent="0.55000000000000004">
      <c r="A16" s="10"/>
      <c r="B16" s="10" t="s">
        <v>258</v>
      </c>
      <c r="C16" s="237" t="s">
        <v>231</v>
      </c>
      <c r="D16" s="11" t="s">
        <v>254</v>
      </c>
      <c r="E16" s="12">
        <v>46232</v>
      </c>
      <c r="F16" s="12">
        <v>46233</v>
      </c>
      <c r="G16" s="239" t="s">
        <v>259</v>
      </c>
      <c r="H16" s="8"/>
      <c r="I16" s="13"/>
      <c r="J16" s="13"/>
      <c r="K16" s="13"/>
      <c r="L16" s="13"/>
      <c r="M16" s="13"/>
      <c r="N16" s="13"/>
      <c r="O16" s="13"/>
      <c r="P16" s="13"/>
      <c r="Q16" s="13"/>
      <c r="R16" t="str">
        <f t="shared" si="0"/>
        <v>E3 ML NBA</v>
      </c>
    </row>
    <row r="17" spans="1:18" x14ac:dyDescent="0.55000000000000004">
      <c r="A17" s="3" t="s">
        <v>260</v>
      </c>
      <c r="B17" s="4" t="s">
        <v>261</v>
      </c>
      <c r="C17" s="237" t="s">
        <v>231</v>
      </c>
      <c r="D17" s="6" t="s">
        <v>254</v>
      </c>
      <c r="E17" s="7">
        <v>46232</v>
      </c>
      <c r="F17" s="7">
        <v>46233</v>
      </c>
      <c r="G17" s="238" t="s">
        <v>262</v>
      </c>
      <c r="H17" s="8"/>
      <c r="I17" s="9"/>
      <c r="J17" s="9"/>
      <c r="K17" s="9"/>
      <c r="L17" s="9"/>
      <c r="M17" s="9"/>
      <c r="N17" s="9"/>
      <c r="O17" s="9"/>
      <c r="P17" s="9"/>
      <c r="Q17" s="9"/>
      <c r="R17" t="str">
        <f t="shared" si="0"/>
        <v>E4 ML Football</v>
      </c>
    </row>
    <row r="18" spans="1:18" x14ac:dyDescent="0.55000000000000004">
      <c r="A18" s="10"/>
      <c r="B18" s="10" t="s">
        <v>263</v>
      </c>
      <c r="C18" s="237" t="s">
        <v>231</v>
      </c>
      <c r="D18" s="11" t="s">
        <v>254</v>
      </c>
      <c r="E18" s="12">
        <v>46233</v>
      </c>
      <c r="F18" s="12">
        <v>46233</v>
      </c>
      <c r="G18" s="239" t="s">
        <v>264</v>
      </c>
      <c r="H18" s="8"/>
      <c r="I18" s="13"/>
      <c r="J18" s="13"/>
      <c r="K18" s="13"/>
      <c r="L18" s="13"/>
      <c r="M18" s="13"/>
      <c r="N18" s="13"/>
      <c r="O18" s="13"/>
      <c r="P18" s="13"/>
      <c r="Q18" s="13"/>
      <c r="R18" t="str">
        <f t="shared" si="0"/>
        <v>E4 ML Football</v>
      </c>
    </row>
    <row r="19" spans="1:18" x14ac:dyDescent="0.55000000000000004">
      <c r="A19" s="4"/>
      <c r="B19" s="4" t="s">
        <v>265</v>
      </c>
      <c r="C19" s="237" t="s">
        <v>231</v>
      </c>
      <c r="D19" s="6" t="s">
        <v>254</v>
      </c>
      <c r="E19" s="7">
        <v>46233</v>
      </c>
      <c r="F19" s="7">
        <v>46233</v>
      </c>
      <c r="G19" s="238" t="s">
        <v>266</v>
      </c>
      <c r="H19" s="8"/>
      <c r="I19" s="9"/>
      <c r="J19" s="9"/>
      <c r="K19" s="9"/>
      <c r="L19" s="9"/>
      <c r="M19" s="9"/>
      <c r="N19" s="9"/>
      <c r="O19" s="9"/>
      <c r="P19" s="9"/>
      <c r="Q19" s="9"/>
      <c r="R19" t="str">
        <f t="shared" si="0"/>
        <v>E4 ML Football</v>
      </c>
    </row>
    <row r="20" spans="1:18" x14ac:dyDescent="0.55000000000000004">
      <c r="A20" s="10"/>
      <c r="B20" s="10" t="s">
        <v>267</v>
      </c>
      <c r="C20" s="237" t="s">
        <v>231</v>
      </c>
      <c r="D20" s="11" t="s">
        <v>254</v>
      </c>
      <c r="E20" s="12">
        <v>46236</v>
      </c>
      <c r="F20" s="12">
        <v>46236</v>
      </c>
      <c r="G20" s="239" t="s">
        <v>268</v>
      </c>
      <c r="H20" s="8"/>
      <c r="I20" s="13"/>
      <c r="J20" s="13"/>
      <c r="K20" s="13"/>
      <c r="L20" s="13"/>
      <c r="M20" s="13"/>
      <c r="N20" s="13"/>
      <c r="O20" s="13"/>
      <c r="P20" s="13"/>
      <c r="Q20" s="13"/>
      <c r="R20" t="str">
        <f t="shared" si="0"/>
        <v>E4 ML Football</v>
      </c>
    </row>
    <row r="21" spans="1:18" x14ac:dyDescent="0.55000000000000004">
      <c r="A21" s="4"/>
      <c r="B21" s="4" t="s">
        <v>269</v>
      </c>
      <c r="C21" s="237" t="s">
        <v>231</v>
      </c>
      <c r="D21" s="6" t="s">
        <v>254</v>
      </c>
      <c r="E21" s="7">
        <v>46234</v>
      </c>
      <c r="F21" s="7">
        <v>46234</v>
      </c>
      <c r="G21" s="238" t="s">
        <v>270</v>
      </c>
      <c r="H21" s="8"/>
      <c r="I21" s="9"/>
      <c r="J21" s="9"/>
      <c r="K21" s="9"/>
      <c r="L21" s="9"/>
      <c r="M21" s="9"/>
      <c r="N21" s="9"/>
      <c r="O21" s="9"/>
      <c r="P21" s="9"/>
      <c r="Q21" s="9"/>
      <c r="R21" t="str">
        <f t="shared" si="0"/>
        <v>E4 ML Football</v>
      </c>
    </row>
    <row r="22" spans="1:18" x14ac:dyDescent="0.55000000000000004">
      <c r="A22" s="14" t="s">
        <v>271</v>
      </c>
      <c r="B22" s="10" t="s">
        <v>272</v>
      </c>
      <c r="C22" s="237" t="s">
        <v>231</v>
      </c>
      <c r="D22" s="11" t="s">
        <v>254</v>
      </c>
      <c r="E22" s="12">
        <v>46235</v>
      </c>
      <c r="F22" s="12">
        <v>46235</v>
      </c>
      <c r="G22" s="239" t="s">
        <v>273</v>
      </c>
      <c r="H22" s="8"/>
      <c r="I22" s="13"/>
      <c r="J22" s="13"/>
      <c r="K22" s="13"/>
      <c r="L22" s="13"/>
      <c r="M22" s="13"/>
      <c r="N22" s="13"/>
      <c r="O22" s="13"/>
      <c r="P22" s="13"/>
      <c r="Q22" s="13"/>
      <c r="R22" t="str">
        <f t="shared" si="0"/>
        <v>E5 ML Tennis</v>
      </c>
    </row>
    <row r="23" spans="1:18" x14ac:dyDescent="0.55000000000000004">
      <c r="A23" s="4"/>
      <c r="B23" s="4" t="s">
        <v>274</v>
      </c>
      <c r="C23" s="237" t="s">
        <v>231</v>
      </c>
      <c r="D23" s="6" t="s">
        <v>254</v>
      </c>
      <c r="E23" s="7">
        <v>46235</v>
      </c>
      <c r="F23" s="7">
        <v>46235</v>
      </c>
      <c r="G23" s="238" t="s">
        <v>275</v>
      </c>
      <c r="H23" s="8"/>
      <c r="I23" s="9"/>
      <c r="J23" s="9"/>
      <c r="K23" s="9"/>
      <c r="L23" s="9"/>
      <c r="M23" s="9"/>
      <c r="N23" s="9"/>
      <c r="O23" s="9"/>
      <c r="P23" s="9"/>
      <c r="Q23" s="9"/>
      <c r="R23" t="str">
        <f t="shared" si="0"/>
        <v>E5 ML Tennis</v>
      </c>
    </row>
    <row r="24" spans="1:18" x14ac:dyDescent="0.55000000000000004">
      <c r="A24" s="10"/>
      <c r="B24" s="10" t="s">
        <v>276</v>
      </c>
      <c r="C24" s="237" t="s">
        <v>231</v>
      </c>
      <c r="D24" s="11" t="s">
        <v>254</v>
      </c>
      <c r="E24" s="12">
        <v>46235</v>
      </c>
      <c r="F24" s="12">
        <v>46235</v>
      </c>
      <c r="G24" s="239" t="s">
        <v>277</v>
      </c>
      <c r="H24" s="8"/>
      <c r="I24" s="13"/>
      <c r="J24" s="13"/>
      <c r="K24" s="13"/>
      <c r="L24" s="13"/>
      <c r="M24" s="13"/>
      <c r="N24" s="13"/>
      <c r="O24" s="13"/>
      <c r="P24" s="13"/>
      <c r="Q24" s="13"/>
      <c r="R24" t="str">
        <f t="shared" si="0"/>
        <v>E5 ML Tennis</v>
      </c>
    </row>
    <row r="25" spans="1:18" x14ac:dyDescent="0.55000000000000004">
      <c r="A25" s="4"/>
      <c r="B25" s="4" t="s">
        <v>278</v>
      </c>
      <c r="C25" s="237" t="s">
        <v>231</v>
      </c>
      <c r="D25" s="6" t="s">
        <v>254</v>
      </c>
      <c r="E25" s="7">
        <v>46236</v>
      </c>
      <c r="F25" s="7">
        <v>46236</v>
      </c>
      <c r="G25" s="238" t="s">
        <v>279</v>
      </c>
      <c r="H25" s="8"/>
      <c r="I25" s="9"/>
      <c r="J25" s="9"/>
      <c r="K25" s="9"/>
      <c r="L25" s="9"/>
      <c r="M25" s="9"/>
      <c r="N25" s="9"/>
      <c r="O25" s="9"/>
      <c r="P25" s="9"/>
      <c r="Q25" s="9"/>
      <c r="R25" t="str">
        <f t="shared" si="0"/>
        <v>E5 ML Tennis</v>
      </c>
    </row>
    <row r="26" spans="1:18" x14ac:dyDescent="0.55000000000000004">
      <c r="A26" s="10"/>
      <c r="B26" s="10" t="s">
        <v>280</v>
      </c>
      <c r="C26" s="237" t="s">
        <v>231</v>
      </c>
      <c r="D26" s="11" t="s">
        <v>242</v>
      </c>
      <c r="E26" s="12">
        <v>46237</v>
      </c>
      <c r="F26" s="12">
        <v>46237</v>
      </c>
      <c r="G26" s="239" t="s">
        <v>281</v>
      </c>
      <c r="H26" s="13"/>
      <c r="I26" s="8"/>
      <c r="J26" s="13"/>
      <c r="K26" s="13"/>
      <c r="L26" s="13"/>
      <c r="M26" s="13"/>
      <c r="N26" s="13"/>
      <c r="O26" s="13"/>
      <c r="P26" s="13"/>
      <c r="Q26" s="13"/>
      <c r="R26" t="str">
        <f t="shared" si="0"/>
        <v>E5 ML Tennis</v>
      </c>
    </row>
    <row r="27" spans="1:18" x14ac:dyDescent="0.55000000000000004">
      <c r="A27" s="3" t="s">
        <v>282</v>
      </c>
      <c r="B27" s="4" t="s">
        <v>283</v>
      </c>
      <c r="C27" s="237" t="s">
        <v>231</v>
      </c>
      <c r="D27" s="6" t="s">
        <v>284</v>
      </c>
      <c r="E27" s="7">
        <v>46232</v>
      </c>
      <c r="F27" s="7">
        <v>46233</v>
      </c>
      <c r="G27" s="238" t="s">
        <v>285</v>
      </c>
      <c r="H27" s="8"/>
      <c r="I27" s="9"/>
      <c r="J27" s="9"/>
      <c r="K27" s="9"/>
      <c r="L27" s="9"/>
      <c r="M27" s="9"/>
      <c r="N27" s="9"/>
      <c r="O27" s="9"/>
      <c r="P27" s="9"/>
      <c r="Q27" s="9"/>
      <c r="R27" t="str">
        <f t="shared" si="0"/>
        <v>E6 Picks</v>
      </c>
    </row>
    <row r="28" spans="1:18" x14ac:dyDescent="0.55000000000000004">
      <c r="A28" s="10"/>
      <c r="B28" s="10" t="s">
        <v>286</v>
      </c>
      <c r="C28" s="237" t="s">
        <v>231</v>
      </c>
      <c r="D28" s="11" t="s">
        <v>284</v>
      </c>
      <c r="E28" s="12">
        <v>46234</v>
      </c>
      <c r="F28" s="12">
        <v>46235</v>
      </c>
      <c r="G28" s="239" t="s">
        <v>287</v>
      </c>
      <c r="H28" s="8"/>
      <c r="I28" s="13"/>
      <c r="J28" s="13"/>
      <c r="K28" s="13"/>
      <c r="L28" s="13"/>
      <c r="M28" s="13"/>
      <c r="N28" s="13"/>
      <c r="O28" s="13"/>
      <c r="P28" s="13"/>
      <c r="Q28" s="13"/>
      <c r="R28" t="str">
        <f t="shared" si="0"/>
        <v>E6 Picks</v>
      </c>
    </row>
    <row r="29" spans="1:18" x14ac:dyDescent="0.55000000000000004">
      <c r="A29" s="4"/>
      <c r="B29" s="4" t="s">
        <v>288</v>
      </c>
      <c r="C29" s="237" t="s">
        <v>231</v>
      </c>
      <c r="D29" s="6" t="s">
        <v>284</v>
      </c>
      <c r="E29" s="7">
        <v>46236</v>
      </c>
      <c r="F29" s="7">
        <v>46236</v>
      </c>
      <c r="G29" s="238" t="s">
        <v>289</v>
      </c>
      <c r="H29" s="8"/>
      <c r="I29" s="9"/>
      <c r="J29" s="9"/>
      <c r="K29" s="9"/>
      <c r="L29" s="9"/>
      <c r="M29" s="9"/>
      <c r="N29" s="9"/>
      <c r="O29" s="9"/>
      <c r="P29" s="9"/>
      <c r="Q29" s="9"/>
      <c r="R29" t="str">
        <f t="shared" si="0"/>
        <v>E6 Picks</v>
      </c>
    </row>
    <row r="30" spans="1:18" x14ac:dyDescent="0.55000000000000004">
      <c r="A30" s="10"/>
      <c r="B30" s="10" t="s">
        <v>290</v>
      </c>
      <c r="C30" s="237" t="s">
        <v>231</v>
      </c>
      <c r="D30" s="11" t="s">
        <v>284</v>
      </c>
      <c r="E30" s="12">
        <v>46236</v>
      </c>
      <c r="F30" s="12">
        <v>46236</v>
      </c>
      <c r="G30" s="239" t="s">
        <v>291</v>
      </c>
      <c r="H30" s="8"/>
      <c r="I30" s="13"/>
      <c r="J30" s="13"/>
      <c r="K30" s="13"/>
      <c r="L30" s="13"/>
      <c r="M30" s="13"/>
      <c r="N30" s="13"/>
      <c r="O30" s="13"/>
      <c r="P30" s="13"/>
      <c r="Q30" s="13"/>
      <c r="R30" t="str">
        <f t="shared" si="0"/>
        <v>E6 Picks</v>
      </c>
    </row>
    <row r="31" spans="1:18" x14ac:dyDescent="0.55000000000000004">
      <c r="A31" s="3" t="s">
        <v>292</v>
      </c>
      <c r="B31" s="4" t="s">
        <v>293</v>
      </c>
      <c r="C31" s="237" t="s">
        <v>231</v>
      </c>
      <c r="D31" s="6" t="s">
        <v>294</v>
      </c>
      <c r="E31" s="7">
        <v>46233</v>
      </c>
      <c r="F31" s="7">
        <v>46234</v>
      </c>
      <c r="G31" s="238" t="s">
        <v>295</v>
      </c>
      <c r="H31" s="8"/>
      <c r="I31" s="9"/>
      <c r="J31" s="9"/>
      <c r="K31" s="9"/>
      <c r="L31" s="9"/>
      <c r="M31" s="9"/>
      <c r="N31" s="9"/>
      <c r="O31" s="9"/>
      <c r="P31" s="9"/>
      <c r="Q31" s="9"/>
      <c r="R31" t="str">
        <f t="shared" si="0"/>
        <v>E7 Mobile</v>
      </c>
    </row>
    <row r="32" spans="1:18" x14ac:dyDescent="0.55000000000000004">
      <c r="A32" s="10"/>
      <c r="B32" s="10" t="s">
        <v>296</v>
      </c>
      <c r="C32" s="237" t="s">
        <v>231</v>
      </c>
      <c r="D32" s="11" t="s">
        <v>294</v>
      </c>
      <c r="E32" s="12">
        <v>46234</v>
      </c>
      <c r="F32" s="12">
        <v>46234</v>
      </c>
      <c r="G32" s="239" t="s">
        <v>297</v>
      </c>
      <c r="H32" s="8"/>
      <c r="I32" s="13"/>
      <c r="J32" s="13"/>
      <c r="K32" s="13"/>
      <c r="L32" s="13"/>
      <c r="M32" s="13"/>
      <c r="N32" s="13"/>
      <c r="O32" s="13"/>
      <c r="P32" s="13"/>
      <c r="Q32" s="13"/>
      <c r="R32" t="str">
        <f t="shared" si="0"/>
        <v>E7 Mobile</v>
      </c>
    </row>
    <row r="33" spans="1:18" x14ac:dyDescent="0.55000000000000004">
      <c r="A33" s="4"/>
      <c r="B33" s="4" t="s">
        <v>298</v>
      </c>
      <c r="C33" s="237" t="s">
        <v>231</v>
      </c>
      <c r="D33" s="6" t="s">
        <v>294</v>
      </c>
      <c r="E33" s="7">
        <v>46235</v>
      </c>
      <c r="F33" s="7">
        <v>46236</v>
      </c>
      <c r="G33" s="238" t="s">
        <v>299</v>
      </c>
      <c r="H33" s="8"/>
      <c r="I33" s="9"/>
      <c r="J33" s="9"/>
      <c r="K33" s="9"/>
      <c r="L33" s="9"/>
      <c r="M33" s="9"/>
      <c r="N33" s="9"/>
      <c r="O33" s="9"/>
      <c r="P33" s="9"/>
      <c r="Q33" s="9"/>
      <c r="R33" t="str">
        <f t="shared" si="0"/>
        <v>E7 Mobile</v>
      </c>
    </row>
    <row r="34" spans="1:18" x14ac:dyDescent="0.55000000000000004">
      <c r="A34" s="10"/>
      <c r="B34" s="10" t="s">
        <v>300</v>
      </c>
      <c r="C34" s="237" t="s">
        <v>231</v>
      </c>
      <c r="D34" s="11" t="s">
        <v>294</v>
      </c>
      <c r="E34" s="12">
        <v>46237</v>
      </c>
      <c r="F34" s="12">
        <v>46237</v>
      </c>
      <c r="G34" s="239" t="s">
        <v>301</v>
      </c>
      <c r="H34" s="13"/>
      <c r="I34" s="8"/>
      <c r="J34" s="13"/>
      <c r="K34" s="13"/>
      <c r="L34" s="13"/>
      <c r="M34" s="13"/>
      <c r="N34" s="13"/>
      <c r="O34" s="13"/>
      <c r="P34" s="13"/>
      <c r="Q34" s="13"/>
      <c r="R34" t="str">
        <f t="shared" si="0"/>
        <v>E7 Mobile</v>
      </c>
    </row>
    <row r="35" spans="1:18" x14ac:dyDescent="0.55000000000000004">
      <c r="A35" s="4"/>
      <c r="B35" s="4" t="s">
        <v>302</v>
      </c>
      <c r="C35" s="237" t="s">
        <v>231</v>
      </c>
      <c r="D35" s="6" t="s">
        <v>294</v>
      </c>
      <c r="E35" s="7">
        <v>46237</v>
      </c>
      <c r="F35" s="7">
        <v>46237</v>
      </c>
      <c r="G35" s="238" t="s">
        <v>303</v>
      </c>
      <c r="H35" s="9"/>
      <c r="I35" s="8"/>
      <c r="J35" s="9"/>
      <c r="K35" s="9"/>
      <c r="L35" s="9"/>
      <c r="M35" s="9"/>
      <c r="N35" s="9"/>
      <c r="O35" s="9"/>
      <c r="P35" s="9"/>
      <c r="Q35" s="9"/>
      <c r="R35" t="str">
        <f t="shared" si="0"/>
        <v>E7 Mobile</v>
      </c>
    </row>
    <row r="36" spans="1:18" x14ac:dyDescent="0.55000000000000004">
      <c r="A36" s="10"/>
      <c r="B36" s="10" t="s">
        <v>304</v>
      </c>
      <c r="C36" s="237" t="s">
        <v>231</v>
      </c>
      <c r="D36" s="11" t="s">
        <v>294</v>
      </c>
      <c r="E36" s="12">
        <v>46238</v>
      </c>
      <c r="F36" s="12">
        <v>46238</v>
      </c>
      <c r="G36" s="239" t="s">
        <v>305</v>
      </c>
      <c r="H36" s="13"/>
      <c r="I36" s="8"/>
      <c r="J36" s="13"/>
      <c r="K36" s="13"/>
      <c r="L36" s="13"/>
      <c r="M36" s="13"/>
      <c r="N36" s="13"/>
      <c r="O36" s="13"/>
      <c r="P36" s="13"/>
      <c r="Q36" s="13"/>
      <c r="R36" t="str">
        <f t="shared" si="0"/>
        <v>E7 Mobile</v>
      </c>
    </row>
    <row r="37" spans="1:18" x14ac:dyDescent="0.55000000000000004">
      <c r="A37" s="4"/>
      <c r="B37" s="4" t="s">
        <v>306</v>
      </c>
      <c r="C37" s="237" t="s">
        <v>231</v>
      </c>
      <c r="D37" s="6" t="s">
        <v>294</v>
      </c>
      <c r="E37" s="7">
        <v>46238</v>
      </c>
      <c r="F37" s="7">
        <v>46238</v>
      </c>
      <c r="G37" s="238" t="s">
        <v>307</v>
      </c>
      <c r="H37" s="9"/>
      <c r="I37" s="8"/>
      <c r="J37" s="9"/>
      <c r="K37" s="9"/>
      <c r="L37" s="9"/>
      <c r="M37" s="9"/>
      <c r="N37" s="9"/>
      <c r="O37" s="9"/>
      <c r="P37" s="9"/>
      <c r="Q37" s="9"/>
      <c r="R37" t="str">
        <f t="shared" si="0"/>
        <v>E7 Mobile</v>
      </c>
    </row>
    <row r="38" spans="1:18" x14ac:dyDescent="0.55000000000000004">
      <c r="A38" s="14" t="s">
        <v>308</v>
      </c>
      <c r="B38" s="10" t="s">
        <v>309</v>
      </c>
      <c r="C38" s="237" t="s">
        <v>231</v>
      </c>
      <c r="D38" s="11" t="s">
        <v>254</v>
      </c>
      <c r="E38" s="12">
        <v>46236</v>
      </c>
      <c r="F38" s="12">
        <v>46236</v>
      </c>
      <c r="G38" s="239" t="s">
        <v>310</v>
      </c>
      <c r="H38" s="8"/>
      <c r="I38" s="13"/>
      <c r="J38" s="13"/>
      <c r="K38" s="13"/>
      <c r="L38" s="13"/>
      <c r="M38" s="13"/>
      <c r="N38" s="13"/>
      <c r="O38" s="13"/>
      <c r="P38" s="13"/>
      <c r="Q38" s="13"/>
      <c r="R38" t="str">
        <f t="shared" si="0"/>
        <v>E8 Model Quality</v>
      </c>
    </row>
    <row r="39" spans="1:18" x14ac:dyDescent="0.55000000000000004">
      <c r="A39" s="4"/>
      <c r="B39" s="4" t="s">
        <v>311</v>
      </c>
      <c r="C39" s="237" t="s">
        <v>231</v>
      </c>
      <c r="D39" s="6" t="s">
        <v>254</v>
      </c>
      <c r="E39" s="7">
        <v>46236</v>
      </c>
      <c r="F39" s="7">
        <v>46236</v>
      </c>
      <c r="G39" s="238" t="s">
        <v>312</v>
      </c>
      <c r="H39" s="8"/>
      <c r="I39" s="9"/>
      <c r="J39" s="9"/>
      <c r="K39" s="9"/>
      <c r="L39" s="9"/>
      <c r="M39" s="9"/>
      <c r="N39" s="9"/>
      <c r="O39" s="9"/>
      <c r="P39" s="9"/>
      <c r="Q39" s="9"/>
      <c r="R39" t="str">
        <f t="shared" si="0"/>
        <v>E8 Model Quality</v>
      </c>
    </row>
    <row r="40" spans="1:18" x14ac:dyDescent="0.55000000000000004">
      <c r="A40" s="10"/>
      <c r="B40" s="10" t="s">
        <v>313</v>
      </c>
      <c r="C40" s="237" t="s">
        <v>231</v>
      </c>
      <c r="D40" s="11" t="s">
        <v>254</v>
      </c>
      <c r="E40" s="12">
        <v>46237</v>
      </c>
      <c r="F40" s="12">
        <v>46237</v>
      </c>
      <c r="G40" s="239" t="s">
        <v>314</v>
      </c>
      <c r="H40" s="13"/>
      <c r="I40" s="8"/>
      <c r="J40" s="13"/>
      <c r="K40" s="13"/>
      <c r="L40" s="13"/>
      <c r="M40" s="13"/>
      <c r="N40" s="13"/>
      <c r="O40" s="13"/>
      <c r="P40" s="13"/>
      <c r="Q40" s="13"/>
      <c r="R40" t="str">
        <f t="shared" si="0"/>
        <v>E8 Model Quality</v>
      </c>
    </row>
    <row r="41" spans="1:18" x14ac:dyDescent="0.55000000000000004">
      <c r="A41" s="4"/>
      <c r="B41" s="4" t="s">
        <v>315</v>
      </c>
      <c r="C41" s="237" t="s">
        <v>231</v>
      </c>
      <c r="D41" s="6" t="s">
        <v>254</v>
      </c>
      <c r="E41" s="7">
        <v>46237</v>
      </c>
      <c r="F41" s="7">
        <v>46238</v>
      </c>
      <c r="G41" s="238" t="s">
        <v>316</v>
      </c>
      <c r="H41" s="9"/>
      <c r="I41" s="16"/>
      <c r="J41" s="9"/>
      <c r="K41" s="9"/>
      <c r="L41" s="9"/>
      <c r="M41" s="9"/>
      <c r="N41" s="9"/>
      <c r="O41" s="9"/>
      <c r="P41" s="9"/>
      <c r="Q41" s="9"/>
      <c r="R41" t="str">
        <f t="shared" si="0"/>
        <v>E8 Model Quality</v>
      </c>
    </row>
    <row r="42" spans="1:18" x14ac:dyDescent="0.55000000000000004">
      <c r="A42" s="10"/>
      <c r="B42" s="10" t="s">
        <v>317</v>
      </c>
      <c r="C42" s="237" t="s">
        <v>231</v>
      </c>
      <c r="D42" s="11" t="s">
        <v>254</v>
      </c>
      <c r="E42" s="12">
        <v>46238</v>
      </c>
      <c r="F42" s="12">
        <v>46239</v>
      </c>
      <c r="G42" s="239" t="s">
        <v>318</v>
      </c>
      <c r="H42" s="13"/>
      <c r="I42" s="18"/>
      <c r="J42" s="13"/>
      <c r="K42" s="13"/>
      <c r="L42" s="13"/>
      <c r="M42" s="13"/>
      <c r="N42" s="13"/>
      <c r="O42" s="13"/>
      <c r="P42" s="13"/>
      <c r="Q42" s="13"/>
      <c r="R42" t="str">
        <f t="shared" si="0"/>
        <v>E8 Model Quality</v>
      </c>
    </row>
    <row r="43" spans="1:18" x14ac:dyDescent="0.55000000000000004">
      <c r="A43" s="4"/>
      <c r="B43" s="4" t="s">
        <v>319</v>
      </c>
      <c r="C43" s="237" t="s">
        <v>231</v>
      </c>
      <c r="D43" s="6" t="s">
        <v>254</v>
      </c>
      <c r="E43" s="7">
        <v>46239</v>
      </c>
      <c r="F43" s="7">
        <v>46241</v>
      </c>
      <c r="G43" s="238" t="s">
        <v>320</v>
      </c>
      <c r="H43" s="9"/>
      <c r="I43" s="18"/>
      <c r="J43" s="9"/>
      <c r="K43" s="9"/>
      <c r="L43" s="9"/>
      <c r="M43" s="9"/>
      <c r="N43" s="9"/>
      <c r="O43" s="9"/>
      <c r="P43" s="9"/>
      <c r="Q43" s="9"/>
      <c r="R43" t="str">
        <f t="shared" si="0"/>
        <v>E8 Model Quality</v>
      </c>
    </row>
    <row r="44" spans="1:18" x14ac:dyDescent="0.55000000000000004">
      <c r="A44" s="10"/>
      <c r="B44" s="10" t="s">
        <v>321</v>
      </c>
      <c r="C44" s="237" t="s">
        <v>231</v>
      </c>
      <c r="D44" s="11" t="s">
        <v>254</v>
      </c>
      <c r="E44" s="12">
        <v>46240</v>
      </c>
      <c r="F44" s="12">
        <v>46243</v>
      </c>
      <c r="G44" s="239" t="s">
        <v>322</v>
      </c>
      <c r="H44" s="13"/>
      <c r="I44" s="18"/>
      <c r="J44" s="13"/>
      <c r="K44" s="13"/>
      <c r="L44" s="13"/>
      <c r="M44" s="13"/>
      <c r="N44" s="13"/>
      <c r="O44" s="13"/>
      <c r="P44" s="13"/>
      <c r="Q44" s="13"/>
      <c r="R44" t="str">
        <f t="shared" si="0"/>
        <v>E8 Model Quality</v>
      </c>
    </row>
    <row r="45" spans="1:18" x14ac:dyDescent="0.55000000000000004">
      <c r="A45" s="4"/>
      <c r="B45" s="4" t="s">
        <v>323</v>
      </c>
      <c r="C45" s="237" t="s">
        <v>231</v>
      </c>
      <c r="D45" s="6" t="s">
        <v>254</v>
      </c>
      <c r="E45" s="7">
        <v>46241</v>
      </c>
      <c r="F45" s="7">
        <v>46244</v>
      </c>
      <c r="G45" s="238" t="s">
        <v>324</v>
      </c>
      <c r="H45" s="9"/>
      <c r="I45" s="18"/>
      <c r="J45" s="18"/>
      <c r="K45" s="9"/>
      <c r="L45" s="9"/>
      <c r="M45" s="9"/>
      <c r="N45" s="9"/>
      <c r="O45" s="9"/>
      <c r="P45" s="9"/>
      <c r="Q45" s="9"/>
      <c r="R45" t="str">
        <f t="shared" si="0"/>
        <v>E8 Model Quality</v>
      </c>
    </row>
    <row r="46" spans="1:18" x14ac:dyDescent="0.55000000000000004">
      <c r="A46" s="10"/>
      <c r="B46" s="10" t="s">
        <v>325</v>
      </c>
      <c r="C46" s="237" t="s">
        <v>231</v>
      </c>
      <c r="D46" s="11" t="s">
        <v>254</v>
      </c>
      <c r="E46" s="12">
        <v>46244</v>
      </c>
      <c r="F46" s="12">
        <v>46244</v>
      </c>
      <c r="G46" s="239" t="s">
        <v>326</v>
      </c>
      <c r="H46" s="13"/>
      <c r="I46" s="13"/>
      <c r="J46" s="20" t="s">
        <v>327</v>
      </c>
      <c r="K46" s="13"/>
      <c r="L46" s="13"/>
      <c r="M46" s="13"/>
      <c r="N46" s="13"/>
      <c r="O46" s="13"/>
      <c r="P46" s="13"/>
      <c r="Q46" s="13"/>
      <c r="R46" t="str">
        <f t="shared" si="0"/>
        <v>E8 Model Quality</v>
      </c>
    </row>
    <row r="47" spans="1:18" x14ac:dyDescent="0.55000000000000004">
      <c r="A47" s="4"/>
      <c r="B47" s="4" t="s">
        <v>328</v>
      </c>
      <c r="C47" s="237" t="s">
        <v>231</v>
      </c>
      <c r="D47" s="6" t="s">
        <v>254</v>
      </c>
      <c r="E47" s="7">
        <v>46237</v>
      </c>
      <c r="F47" s="7">
        <v>46238</v>
      </c>
      <c r="G47" s="238" t="s">
        <v>329</v>
      </c>
      <c r="H47" s="9"/>
      <c r="I47" s="8"/>
      <c r="J47" s="9"/>
      <c r="K47" s="9"/>
      <c r="L47" s="9"/>
      <c r="M47" s="9"/>
      <c r="N47" s="9"/>
      <c r="O47" s="9"/>
      <c r="P47" s="9"/>
      <c r="Q47" s="9"/>
      <c r="R47" t="str">
        <f t="shared" si="0"/>
        <v>E8 Model Quality</v>
      </c>
    </row>
    <row r="48" spans="1:18" x14ac:dyDescent="0.55000000000000004">
      <c r="A48" s="10"/>
      <c r="B48" s="10" t="s">
        <v>330</v>
      </c>
      <c r="C48" s="237" t="s">
        <v>231</v>
      </c>
      <c r="D48" s="11" t="s">
        <v>254</v>
      </c>
      <c r="E48" s="12">
        <v>46238</v>
      </c>
      <c r="F48" s="12">
        <v>46238</v>
      </c>
      <c r="G48" s="239" t="s">
        <v>331</v>
      </c>
      <c r="H48" s="13"/>
      <c r="I48" s="8"/>
      <c r="J48" s="13"/>
      <c r="K48" s="13"/>
      <c r="L48" s="13"/>
      <c r="M48" s="13"/>
      <c r="N48" s="13"/>
      <c r="O48" s="13"/>
      <c r="P48" s="13"/>
      <c r="Q48" s="13"/>
      <c r="R48" t="str">
        <f t="shared" si="0"/>
        <v>E8 Model Quality</v>
      </c>
    </row>
    <row r="49" spans="1:18" x14ac:dyDescent="0.55000000000000004">
      <c r="A49" s="4"/>
      <c r="B49" s="4" t="s">
        <v>332</v>
      </c>
      <c r="C49" s="237" t="s">
        <v>231</v>
      </c>
      <c r="D49" s="6" t="s">
        <v>254</v>
      </c>
      <c r="E49" s="7">
        <v>46238</v>
      </c>
      <c r="F49" s="7">
        <v>46238</v>
      </c>
      <c r="G49" s="238" t="s">
        <v>333</v>
      </c>
      <c r="H49" s="9"/>
      <c r="I49" s="8"/>
      <c r="J49" s="9"/>
      <c r="K49" s="9"/>
      <c r="L49" s="9"/>
      <c r="M49" s="9"/>
      <c r="N49" s="9"/>
      <c r="O49" s="9"/>
      <c r="P49" s="9"/>
      <c r="Q49" s="9"/>
      <c r="R49" t="str">
        <f t="shared" si="0"/>
        <v>E8 Model Quality</v>
      </c>
    </row>
    <row r="50" spans="1:18" x14ac:dyDescent="0.55000000000000004">
      <c r="A50" s="10"/>
      <c r="B50" s="10" t="s">
        <v>334</v>
      </c>
      <c r="C50" s="237" t="s">
        <v>231</v>
      </c>
      <c r="D50" s="11" t="s">
        <v>254</v>
      </c>
      <c r="E50" s="12">
        <v>46238</v>
      </c>
      <c r="F50" s="12">
        <v>46238</v>
      </c>
      <c r="G50" s="239" t="s">
        <v>335</v>
      </c>
      <c r="H50" s="13"/>
      <c r="I50" s="8"/>
      <c r="J50" s="13"/>
      <c r="K50" s="13"/>
      <c r="L50" s="13"/>
      <c r="M50" s="13"/>
      <c r="N50" s="13"/>
      <c r="O50" s="13"/>
      <c r="P50" s="13"/>
      <c r="Q50" s="13"/>
      <c r="R50" t="str">
        <f t="shared" si="0"/>
        <v>E8 Model Quality</v>
      </c>
    </row>
    <row r="51" spans="1:18" x14ac:dyDescent="0.55000000000000004">
      <c r="A51" s="4"/>
      <c r="B51" s="4" t="s">
        <v>336</v>
      </c>
      <c r="C51" s="17" t="s">
        <v>16</v>
      </c>
      <c r="D51" s="6" t="s">
        <v>254</v>
      </c>
      <c r="E51" s="7">
        <v>46239</v>
      </c>
      <c r="F51" s="7">
        <v>46242</v>
      </c>
      <c r="G51" s="238" t="s">
        <v>337</v>
      </c>
      <c r="H51" s="9"/>
      <c r="I51" s="18"/>
      <c r="J51" s="9"/>
      <c r="K51" s="9"/>
      <c r="L51" s="9"/>
      <c r="M51" s="9"/>
      <c r="N51" s="9"/>
      <c r="O51" s="9"/>
      <c r="P51" s="9"/>
      <c r="Q51" s="9"/>
      <c r="R51" t="str">
        <f t="shared" si="0"/>
        <v>E8 Model Quality</v>
      </c>
    </row>
    <row r="52" spans="1:18" ht="21" customHeight="1" x14ac:dyDescent="0.55000000000000004">
      <c r="A52" s="14" t="s">
        <v>338</v>
      </c>
      <c r="B52" s="10" t="s">
        <v>339</v>
      </c>
      <c r="C52" s="237" t="s">
        <v>231</v>
      </c>
      <c r="D52" s="11" t="s">
        <v>242</v>
      </c>
      <c r="E52" s="12">
        <v>46244</v>
      </c>
      <c r="F52" s="12">
        <v>46245</v>
      </c>
      <c r="G52" s="239" t="s">
        <v>340</v>
      </c>
      <c r="H52" s="13"/>
      <c r="I52" s="13"/>
      <c r="J52" s="18"/>
      <c r="K52" s="13"/>
      <c r="L52" s="13"/>
      <c r="M52" s="13"/>
      <c r="N52" s="13"/>
      <c r="O52" s="13"/>
      <c r="P52" s="13"/>
      <c r="Q52" s="13"/>
      <c r="R52" t="str">
        <f t="shared" si="0"/>
        <v>E9 Data Ops</v>
      </c>
    </row>
    <row r="53" spans="1:18" x14ac:dyDescent="0.55000000000000004">
      <c r="A53" s="4"/>
      <c r="B53" s="4" t="s">
        <v>341</v>
      </c>
      <c r="C53" s="17" t="s">
        <v>16</v>
      </c>
      <c r="D53" s="6" t="s">
        <v>242</v>
      </c>
      <c r="E53" s="7">
        <v>46239</v>
      </c>
      <c r="F53" s="7">
        <v>46240</v>
      </c>
      <c r="G53" s="238" t="s">
        <v>342</v>
      </c>
      <c r="H53" s="9"/>
      <c r="I53" s="18"/>
      <c r="J53" s="9"/>
      <c r="K53" s="9"/>
      <c r="L53" s="9"/>
      <c r="M53" s="9"/>
      <c r="N53" s="9"/>
      <c r="O53" s="9"/>
      <c r="P53" s="9"/>
      <c r="Q53" s="9"/>
      <c r="R53" t="str">
        <f t="shared" si="0"/>
        <v>E9 Data Ops</v>
      </c>
    </row>
    <row r="54" spans="1:18" x14ac:dyDescent="0.55000000000000004">
      <c r="A54" s="10"/>
      <c r="B54" s="10" t="s">
        <v>343</v>
      </c>
      <c r="C54" s="237" t="s">
        <v>231</v>
      </c>
      <c r="D54" s="11" t="s">
        <v>242</v>
      </c>
      <c r="E54" s="12">
        <v>46255</v>
      </c>
      <c r="F54" s="12">
        <v>46255</v>
      </c>
      <c r="G54" s="239" t="s">
        <v>344</v>
      </c>
      <c r="H54" s="13"/>
      <c r="I54" s="13"/>
      <c r="J54" s="13"/>
      <c r="K54" s="20" t="s">
        <v>327</v>
      </c>
      <c r="L54" s="13"/>
      <c r="M54" s="13"/>
      <c r="N54" s="13"/>
      <c r="O54" s="13"/>
      <c r="P54" s="13"/>
      <c r="Q54" s="13"/>
      <c r="R54" t="str">
        <f t="shared" si="0"/>
        <v>E9 Data Ops</v>
      </c>
    </row>
    <row r="55" spans="1:18" x14ac:dyDescent="0.55000000000000004">
      <c r="A55" s="4"/>
      <c r="B55" s="4" t="s">
        <v>345</v>
      </c>
      <c r="C55" s="19" t="s">
        <v>346</v>
      </c>
      <c r="D55" s="6" t="s">
        <v>242</v>
      </c>
      <c r="E55" s="7">
        <v>46255</v>
      </c>
      <c r="F55" s="7">
        <v>46255</v>
      </c>
      <c r="G55" s="238" t="s">
        <v>347</v>
      </c>
      <c r="H55" s="9"/>
      <c r="I55" s="9"/>
      <c r="J55" s="9"/>
      <c r="K55" s="20" t="s">
        <v>327</v>
      </c>
      <c r="L55" s="9"/>
      <c r="M55" s="9"/>
      <c r="N55" s="9"/>
      <c r="O55" s="9"/>
      <c r="P55" s="9"/>
      <c r="Q55" s="9"/>
      <c r="R55" t="str">
        <f t="shared" si="0"/>
        <v>E9 Data Ops</v>
      </c>
    </row>
    <row r="56" spans="1:18" x14ac:dyDescent="0.55000000000000004">
      <c r="A56" s="10"/>
      <c r="B56" s="10" t="s">
        <v>97</v>
      </c>
      <c r="C56" s="19" t="s">
        <v>346</v>
      </c>
      <c r="D56" s="11" t="s">
        <v>242</v>
      </c>
      <c r="E56" s="12">
        <v>46263</v>
      </c>
      <c r="F56" s="12">
        <v>46263</v>
      </c>
      <c r="G56" s="239" t="s">
        <v>348</v>
      </c>
      <c r="H56" s="13"/>
      <c r="I56" s="13"/>
      <c r="J56" s="13"/>
      <c r="K56" s="13"/>
      <c r="L56" s="20" t="s">
        <v>327</v>
      </c>
      <c r="M56" s="13"/>
      <c r="N56" s="13"/>
      <c r="O56" s="13"/>
      <c r="P56" s="13"/>
      <c r="Q56" s="13"/>
      <c r="R56" t="str">
        <f t="shared" si="0"/>
        <v>E9 Data Ops</v>
      </c>
    </row>
    <row r="57" spans="1:18" ht="21" customHeight="1" x14ac:dyDescent="0.55000000000000004">
      <c r="A57" s="4"/>
      <c r="B57" s="4" t="s">
        <v>349</v>
      </c>
      <c r="C57" s="237" t="s">
        <v>231</v>
      </c>
      <c r="D57" s="6" t="s">
        <v>284</v>
      </c>
      <c r="E57" s="7">
        <v>46238</v>
      </c>
      <c r="F57" s="7">
        <v>46238</v>
      </c>
      <c r="G57" s="238" t="s">
        <v>350</v>
      </c>
      <c r="H57" s="9"/>
      <c r="I57" s="18"/>
      <c r="J57" s="9"/>
      <c r="K57" s="9"/>
      <c r="L57" s="9"/>
      <c r="M57" s="9"/>
      <c r="N57" s="9"/>
      <c r="O57" s="9"/>
      <c r="P57" s="9"/>
      <c r="Q57" s="9"/>
      <c r="R57" t="str">
        <f t="shared" si="0"/>
        <v>E9 Data Ops</v>
      </c>
    </row>
    <row r="58" spans="1:18" x14ac:dyDescent="0.55000000000000004">
      <c r="A58" s="10"/>
      <c r="B58" s="10" t="s">
        <v>351</v>
      </c>
      <c r="C58" s="21" t="s">
        <v>352</v>
      </c>
      <c r="D58" s="11" t="s">
        <v>254</v>
      </c>
      <c r="E58" s="12">
        <v>46246</v>
      </c>
      <c r="F58" s="12">
        <v>46249</v>
      </c>
      <c r="G58" s="239" t="s">
        <v>353</v>
      </c>
      <c r="H58" s="13"/>
      <c r="I58" s="13"/>
      <c r="J58" s="22"/>
      <c r="K58" s="13"/>
      <c r="L58" s="13"/>
      <c r="M58" s="13"/>
      <c r="N58" s="13"/>
      <c r="O58" s="13"/>
      <c r="P58" s="13"/>
      <c r="Q58" s="13"/>
      <c r="R58" t="str">
        <f t="shared" si="0"/>
        <v>E9 Data Ops</v>
      </c>
    </row>
    <row r="59" spans="1:18" ht="21" customHeight="1" x14ac:dyDescent="0.55000000000000004">
      <c r="A59" s="4"/>
      <c r="B59" s="4" t="s">
        <v>354</v>
      </c>
      <c r="C59" s="237" t="s">
        <v>231</v>
      </c>
      <c r="D59" s="6" t="s">
        <v>242</v>
      </c>
      <c r="E59" s="7">
        <v>46249</v>
      </c>
      <c r="F59" s="7">
        <v>46252</v>
      </c>
      <c r="G59" s="238" t="s">
        <v>355</v>
      </c>
      <c r="H59" s="9"/>
      <c r="I59" s="9"/>
      <c r="J59" s="22"/>
      <c r="K59" s="22"/>
      <c r="L59" s="9"/>
      <c r="M59" s="9"/>
      <c r="N59" s="9"/>
      <c r="O59" s="9"/>
      <c r="P59" s="9"/>
      <c r="Q59" s="9"/>
      <c r="R59" t="str">
        <f t="shared" si="0"/>
        <v>E9 Data Ops</v>
      </c>
    </row>
    <row r="60" spans="1:18" x14ac:dyDescent="0.55000000000000004">
      <c r="A60" s="10"/>
      <c r="B60" s="10" t="s">
        <v>356</v>
      </c>
      <c r="C60" s="237" t="s">
        <v>231</v>
      </c>
      <c r="D60" s="11" t="s">
        <v>242</v>
      </c>
      <c r="E60" s="12">
        <v>46237</v>
      </c>
      <c r="F60" s="12">
        <v>46238</v>
      </c>
      <c r="G60" s="239" t="s">
        <v>357</v>
      </c>
      <c r="H60" s="13"/>
      <c r="I60" s="8"/>
      <c r="J60" s="13"/>
      <c r="K60" s="13"/>
      <c r="L60" s="13"/>
      <c r="M60" s="13"/>
      <c r="N60" s="13"/>
      <c r="O60" s="13"/>
      <c r="P60" s="13"/>
      <c r="Q60" s="13"/>
      <c r="R60" t="str">
        <f t="shared" si="0"/>
        <v>E9 Data Ops</v>
      </c>
    </row>
    <row r="61" spans="1:18" x14ac:dyDescent="0.55000000000000004">
      <c r="A61" s="4"/>
      <c r="B61" s="4" t="s">
        <v>358</v>
      </c>
      <c r="C61" s="237" t="s">
        <v>231</v>
      </c>
      <c r="D61" s="6" t="s">
        <v>284</v>
      </c>
      <c r="E61" s="7">
        <v>46237</v>
      </c>
      <c r="F61" s="7">
        <v>46238</v>
      </c>
      <c r="G61" s="238" t="s">
        <v>359</v>
      </c>
      <c r="H61" s="9"/>
      <c r="I61" s="8"/>
      <c r="J61" s="9"/>
      <c r="K61" s="9"/>
      <c r="L61" s="9"/>
      <c r="M61" s="9"/>
      <c r="N61" s="9"/>
      <c r="O61" s="9"/>
      <c r="P61" s="9"/>
      <c r="Q61" s="9"/>
      <c r="R61" t="str">
        <f t="shared" si="0"/>
        <v>E9 Data Ops</v>
      </c>
    </row>
    <row r="62" spans="1:18" x14ac:dyDescent="0.55000000000000004">
      <c r="A62" s="10"/>
      <c r="B62" s="10" t="s">
        <v>360</v>
      </c>
      <c r="C62" s="237" t="s">
        <v>231</v>
      </c>
      <c r="D62" s="11" t="s">
        <v>232</v>
      </c>
      <c r="E62" s="12">
        <v>46239</v>
      </c>
      <c r="F62" s="12">
        <v>46239</v>
      </c>
      <c r="G62" s="239" t="s">
        <v>361</v>
      </c>
      <c r="H62" s="13"/>
      <c r="I62" s="18"/>
      <c r="J62" s="13"/>
      <c r="K62" s="13"/>
      <c r="L62" s="13"/>
      <c r="M62" s="13"/>
      <c r="N62" s="13"/>
      <c r="O62" s="13"/>
      <c r="P62" s="13"/>
      <c r="Q62" s="13"/>
      <c r="R62" t="str">
        <f t="shared" si="0"/>
        <v>E9 Data Ops</v>
      </c>
    </row>
    <row r="63" spans="1:18" x14ac:dyDescent="0.55000000000000004">
      <c r="A63" s="4"/>
      <c r="B63" s="4" t="s">
        <v>362</v>
      </c>
      <c r="C63" s="237" t="s">
        <v>231</v>
      </c>
      <c r="D63" s="6" t="s">
        <v>232</v>
      </c>
      <c r="E63" s="7">
        <v>46239</v>
      </c>
      <c r="F63" s="7">
        <v>46240</v>
      </c>
      <c r="G63" s="238" t="s">
        <v>363</v>
      </c>
      <c r="H63" s="9"/>
      <c r="I63" s="18"/>
      <c r="J63" s="9"/>
      <c r="K63" s="9"/>
      <c r="L63" s="9"/>
      <c r="M63" s="9"/>
      <c r="N63" s="9"/>
      <c r="O63" s="9"/>
      <c r="P63" s="9"/>
      <c r="Q63" s="9"/>
      <c r="R63" t="str">
        <f t="shared" si="0"/>
        <v>E9 Data Ops</v>
      </c>
    </row>
    <row r="64" spans="1:18" x14ac:dyDescent="0.55000000000000004">
      <c r="A64" s="10"/>
      <c r="B64" s="10" t="s">
        <v>364</v>
      </c>
      <c r="C64" s="237" t="s">
        <v>231</v>
      </c>
      <c r="D64" s="11" t="s">
        <v>232</v>
      </c>
      <c r="E64" s="12">
        <v>46240</v>
      </c>
      <c r="F64" s="12">
        <v>46240</v>
      </c>
      <c r="G64" s="239" t="s">
        <v>365</v>
      </c>
      <c r="H64" s="13"/>
      <c r="I64" s="18"/>
      <c r="J64" s="13"/>
      <c r="K64" s="13"/>
      <c r="L64" s="13"/>
      <c r="M64" s="13"/>
      <c r="N64" s="13"/>
      <c r="O64" s="13"/>
      <c r="P64" s="13"/>
      <c r="Q64" s="13"/>
      <c r="R64" t="str">
        <f t="shared" si="0"/>
        <v>E9 Data Ops</v>
      </c>
    </row>
    <row r="65" spans="1:18" x14ac:dyDescent="0.55000000000000004">
      <c r="A65" s="4"/>
      <c r="B65" s="4" t="s">
        <v>366</v>
      </c>
      <c r="C65" s="19" t="s">
        <v>346</v>
      </c>
      <c r="D65" s="6" t="s">
        <v>367</v>
      </c>
      <c r="E65" s="7">
        <v>46246</v>
      </c>
      <c r="F65" s="7">
        <v>46246</v>
      </c>
      <c r="G65" s="238" t="s">
        <v>368</v>
      </c>
      <c r="H65" s="9"/>
      <c r="I65" s="9"/>
      <c r="J65" s="20" t="s">
        <v>327</v>
      </c>
      <c r="K65" s="9"/>
      <c r="L65" s="9"/>
      <c r="M65" s="9"/>
      <c r="N65" s="9"/>
      <c r="O65" s="9"/>
      <c r="P65" s="9"/>
      <c r="Q65" s="9"/>
      <c r="R65" t="str">
        <f t="shared" si="0"/>
        <v>E9 Data Ops</v>
      </c>
    </row>
    <row r="66" spans="1:18" x14ac:dyDescent="0.55000000000000004">
      <c r="A66" s="14" t="s">
        <v>369</v>
      </c>
      <c r="B66" s="10" t="s">
        <v>370</v>
      </c>
      <c r="C66" s="237" t="s">
        <v>231</v>
      </c>
      <c r="D66" s="11" t="s">
        <v>232</v>
      </c>
      <c r="E66" s="12">
        <v>46245</v>
      </c>
      <c r="F66" s="12">
        <v>46245</v>
      </c>
      <c r="G66" s="239" t="s">
        <v>371</v>
      </c>
      <c r="H66" s="13"/>
      <c r="I66" s="13"/>
      <c r="J66" s="18"/>
      <c r="K66" s="13"/>
      <c r="L66" s="13"/>
      <c r="M66" s="13"/>
      <c r="N66" s="13"/>
      <c r="O66" s="13"/>
      <c r="P66" s="13"/>
      <c r="Q66" s="13"/>
      <c r="R66" t="str">
        <f t="shared" si="0"/>
        <v>E10 Deploy</v>
      </c>
    </row>
    <row r="67" spans="1:18" x14ac:dyDescent="0.55000000000000004">
      <c r="A67" s="4"/>
      <c r="B67" s="4" t="s">
        <v>372</v>
      </c>
      <c r="C67" s="237" t="s">
        <v>231</v>
      </c>
      <c r="D67" s="6" t="s">
        <v>232</v>
      </c>
      <c r="E67" s="7">
        <v>46245</v>
      </c>
      <c r="F67" s="7">
        <v>46248</v>
      </c>
      <c r="G67" s="238" t="s">
        <v>373</v>
      </c>
      <c r="H67" s="9"/>
      <c r="I67" s="9"/>
      <c r="J67" s="18"/>
      <c r="K67" s="9"/>
      <c r="L67" s="9"/>
      <c r="M67" s="9"/>
      <c r="N67" s="9"/>
      <c r="O67" s="9"/>
      <c r="P67" s="9"/>
      <c r="Q67" s="9"/>
      <c r="R67" t="str">
        <f t="shared" si="0"/>
        <v>E10 Deploy</v>
      </c>
    </row>
    <row r="68" spans="1:18" ht="21" customHeight="1" x14ac:dyDescent="0.55000000000000004">
      <c r="A68" s="10"/>
      <c r="B68" s="10" t="s">
        <v>374</v>
      </c>
      <c r="C68" s="237" t="s">
        <v>231</v>
      </c>
      <c r="D68" s="11" t="s">
        <v>232</v>
      </c>
      <c r="E68" s="12">
        <v>46247</v>
      </c>
      <c r="F68" s="12">
        <v>46249</v>
      </c>
      <c r="G68" s="239" t="s">
        <v>375</v>
      </c>
      <c r="H68" s="13"/>
      <c r="I68" s="13"/>
      <c r="J68" s="18"/>
      <c r="K68" s="13"/>
      <c r="L68" s="13"/>
      <c r="M68" s="13"/>
      <c r="N68" s="13"/>
      <c r="O68" s="13"/>
      <c r="P68" s="13"/>
      <c r="Q68" s="13"/>
      <c r="R68" t="str">
        <f t="shared" si="0"/>
        <v>E10 Deploy</v>
      </c>
    </row>
    <row r="69" spans="1:18" ht="31.5" customHeight="1" x14ac:dyDescent="0.55000000000000004">
      <c r="A69" s="4"/>
      <c r="B69" s="4" t="s">
        <v>376</v>
      </c>
      <c r="C69" s="237" t="s">
        <v>231</v>
      </c>
      <c r="D69" s="6" t="s">
        <v>232</v>
      </c>
      <c r="E69" s="7">
        <v>46248</v>
      </c>
      <c r="F69" s="7">
        <v>46252</v>
      </c>
      <c r="G69" s="238" t="s">
        <v>377</v>
      </c>
      <c r="H69" s="9"/>
      <c r="I69" s="9"/>
      <c r="J69" s="18"/>
      <c r="K69" s="18"/>
      <c r="L69" s="9"/>
      <c r="M69" s="9"/>
      <c r="N69" s="9"/>
      <c r="O69" s="9"/>
      <c r="P69" s="9"/>
      <c r="Q69" s="9"/>
      <c r="R69" t="str">
        <f t="shared" si="0"/>
        <v>E10 Deploy</v>
      </c>
    </row>
    <row r="70" spans="1:18" x14ac:dyDescent="0.55000000000000004">
      <c r="A70" s="10"/>
      <c r="B70" s="10" t="s">
        <v>378</v>
      </c>
      <c r="C70" s="237" t="s">
        <v>231</v>
      </c>
      <c r="D70" s="11" t="s">
        <v>232</v>
      </c>
      <c r="E70" s="12">
        <v>46251</v>
      </c>
      <c r="F70" s="12">
        <v>46255</v>
      </c>
      <c r="G70" s="239" t="s">
        <v>379</v>
      </c>
      <c r="H70" s="13"/>
      <c r="I70" s="13"/>
      <c r="J70" s="13"/>
      <c r="K70" s="18"/>
      <c r="L70" s="13"/>
      <c r="M70" s="13"/>
      <c r="N70" s="13"/>
      <c r="O70" s="13"/>
      <c r="P70" s="13"/>
      <c r="Q70" s="13"/>
      <c r="R70" t="str">
        <f t="shared" ref="R70:R133" si="1">IF($A70&lt;&gt;"",$A70,R69)</f>
        <v>E10 Deploy</v>
      </c>
    </row>
    <row r="71" spans="1:18" x14ac:dyDescent="0.55000000000000004">
      <c r="A71" s="4"/>
      <c r="B71" s="4" t="s">
        <v>380</v>
      </c>
      <c r="C71" s="237" t="s">
        <v>231</v>
      </c>
      <c r="D71" s="6" t="s">
        <v>284</v>
      </c>
      <c r="E71" s="7">
        <v>46252</v>
      </c>
      <c r="F71" s="7">
        <v>46255</v>
      </c>
      <c r="G71" s="238" t="s">
        <v>381</v>
      </c>
      <c r="H71" s="9"/>
      <c r="I71" s="9"/>
      <c r="J71" s="9"/>
      <c r="K71" s="18"/>
      <c r="L71" s="9"/>
      <c r="M71" s="9"/>
      <c r="N71" s="9"/>
      <c r="O71" s="9"/>
      <c r="P71" s="9"/>
      <c r="Q71" s="9"/>
      <c r="R71" t="str">
        <f t="shared" si="1"/>
        <v>E10 Deploy</v>
      </c>
    </row>
    <row r="72" spans="1:18" x14ac:dyDescent="0.55000000000000004">
      <c r="A72" s="10"/>
      <c r="B72" s="10" t="s">
        <v>382</v>
      </c>
      <c r="C72" s="237" t="s">
        <v>231</v>
      </c>
      <c r="D72" s="11" t="s">
        <v>294</v>
      </c>
      <c r="E72" s="12">
        <v>46253</v>
      </c>
      <c r="F72" s="12">
        <v>46258</v>
      </c>
      <c r="G72" s="239" t="s">
        <v>383</v>
      </c>
      <c r="H72" s="13"/>
      <c r="I72" s="13"/>
      <c r="J72" s="13"/>
      <c r="K72" s="18"/>
      <c r="L72" s="18"/>
      <c r="M72" s="13"/>
      <c r="N72" s="13"/>
      <c r="O72" s="13"/>
      <c r="P72" s="13"/>
      <c r="Q72" s="13"/>
      <c r="R72" t="str">
        <f t="shared" si="1"/>
        <v>E10 Deploy</v>
      </c>
    </row>
    <row r="73" spans="1:18" ht="21" customHeight="1" x14ac:dyDescent="0.55000000000000004">
      <c r="A73" s="4"/>
      <c r="B73" s="4" t="s">
        <v>384</v>
      </c>
      <c r="C73" s="237" t="s">
        <v>231</v>
      </c>
      <c r="D73" s="6" t="s">
        <v>294</v>
      </c>
      <c r="E73" s="7">
        <v>46258</v>
      </c>
      <c r="F73" s="7">
        <v>46261</v>
      </c>
      <c r="G73" s="238" t="s">
        <v>385</v>
      </c>
      <c r="H73" s="9"/>
      <c r="I73" s="9"/>
      <c r="J73" s="9"/>
      <c r="K73" s="9"/>
      <c r="L73" s="18"/>
      <c r="M73" s="9"/>
      <c r="N73" s="9"/>
      <c r="O73" s="9"/>
      <c r="P73" s="9"/>
      <c r="Q73" s="9"/>
      <c r="R73" t="str">
        <f t="shared" si="1"/>
        <v>E10 Deploy</v>
      </c>
    </row>
    <row r="74" spans="1:18" x14ac:dyDescent="0.55000000000000004">
      <c r="A74" s="10"/>
      <c r="B74" s="10" t="s">
        <v>386</v>
      </c>
      <c r="C74" s="17" t="s">
        <v>16</v>
      </c>
      <c r="D74" s="11" t="s">
        <v>294</v>
      </c>
      <c r="E74" s="12">
        <v>46259</v>
      </c>
      <c r="F74" s="12">
        <v>46261</v>
      </c>
      <c r="G74" s="239" t="s">
        <v>387</v>
      </c>
      <c r="H74" s="13"/>
      <c r="I74" s="13"/>
      <c r="J74" s="13"/>
      <c r="K74" s="13"/>
      <c r="L74" s="18"/>
      <c r="M74" s="13"/>
      <c r="N74" s="13"/>
      <c r="O74" s="13"/>
      <c r="P74" s="13"/>
      <c r="Q74" s="13"/>
      <c r="R74" t="str">
        <f t="shared" si="1"/>
        <v>E10 Deploy</v>
      </c>
    </row>
    <row r="75" spans="1:18" ht="21" customHeight="1" x14ac:dyDescent="0.55000000000000004">
      <c r="A75" s="4"/>
      <c r="B75" s="4" t="s">
        <v>388</v>
      </c>
      <c r="C75" s="237" t="s">
        <v>231</v>
      </c>
      <c r="D75" s="6" t="s">
        <v>232</v>
      </c>
      <c r="E75" s="7">
        <v>46269</v>
      </c>
      <c r="F75" s="7">
        <v>46269</v>
      </c>
      <c r="G75" s="238" t="s">
        <v>389</v>
      </c>
      <c r="H75" s="9"/>
      <c r="I75" s="9"/>
      <c r="J75" s="9"/>
      <c r="K75" s="9"/>
      <c r="L75" s="9"/>
      <c r="M75" s="20" t="s">
        <v>327</v>
      </c>
      <c r="N75" s="9"/>
      <c r="O75" s="9"/>
      <c r="P75" s="9"/>
      <c r="Q75" s="9"/>
      <c r="R75" t="str">
        <f t="shared" si="1"/>
        <v>E10 Deploy</v>
      </c>
    </row>
    <row r="76" spans="1:18" x14ac:dyDescent="0.55000000000000004">
      <c r="A76" s="10"/>
      <c r="B76" s="10" t="s">
        <v>390</v>
      </c>
      <c r="C76" s="17" t="s">
        <v>16</v>
      </c>
      <c r="D76" s="11" t="s">
        <v>367</v>
      </c>
      <c r="E76" s="12">
        <v>46272</v>
      </c>
      <c r="F76" s="12">
        <v>46283</v>
      </c>
      <c r="G76" s="239" t="s">
        <v>391</v>
      </c>
      <c r="H76" s="13"/>
      <c r="I76" s="13"/>
      <c r="J76" s="13"/>
      <c r="K76" s="13"/>
      <c r="L76" s="13"/>
      <c r="M76" s="13"/>
      <c r="N76" s="18"/>
      <c r="O76" s="18"/>
      <c r="P76" s="13"/>
      <c r="Q76" s="13"/>
      <c r="R76" t="str">
        <f t="shared" si="1"/>
        <v>E10 Deploy</v>
      </c>
    </row>
    <row r="77" spans="1:18" x14ac:dyDescent="0.55000000000000004">
      <c r="A77" s="4"/>
      <c r="B77" s="4" t="s">
        <v>392</v>
      </c>
      <c r="C77" s="19" t="s">
        <v>346</v>
      </c>
      <c r="D77" s="6" t="s">
        <v>367</v>
      </c>
      <c r="E77" s="7">
        <v>46290</v>
      </c>
      <c r="F77" s="7">
        <v>46290</v>
      </c>
      <c r="G77" s="238" t="s">
        <v>393</v>
      </c>
      <c r="H77" s="9"/>
      <c r="I77" s="9"/>
      <c r="J77" s="9"/>
      <c r="K77" s="9"/>
      <c r="L77" s="9"/>
      <c r="M77" s="9"/>
      <c r="N77" s="9"/>
      <c r="O77" s="9"/>
      <c r="P77" s="20" t="s">
        <v>327</v>
      </c>
      <c r="Q77" s="9"/>
      <c r="R77" t="str">
        <f t="shared" si="1"/>
        <v>E10 Deploy</v>
      </c>
    </row>
    <row r="78" spans="1:18" x14ac:dyDescent="0.55000000000000004">
      <c r="A78" s="10"/>
      <c r="B78" s="10" t="s">
        <v>394</v>
      </c>
      <c r="C78" s="237" t="s">
        <v>231</v>
      </c>
      <c r="D78" s="11" t="s">
        <v>232</v>
      </c>
      <c r="E78" s="12">
        <v>46237</v>
      </c>
      <c r="F78" s="12">
        <v>46237</v>
      </c>
      <c r="G78" s="239" t="s">
        <v>395</v>
      </c>
      <c r="H78" s="13"/>
      <c r="I78" s="8"/>
      <c r="J78" s="13"/>
      <c r="K78" s="13"/>
      <c r="L78" s="13"/>
      <c r="M78" s="13"/>
      <c r="N78" s="13"/>
      <c r="O78" s="13"/>
      <c r="P78" s="13"/>
      <c r="Q78" s="13"/>
      <c r="R78" t="str">
        <f t="shared" si="1"/>
        <v>E10 Deploy</v>
      </c>
    </row>
    <row r="79" spans="1:18" x14ac:dyDescent="0.55000000000000004">
      <c r="A79" s="4"/>
      <c r="B79" s="4" t="s">
        <v>396</v>
      </c>
      <c r="C79" s="237" t="s">
        <v>231</v>
      </c>
      <c r="D79" s="6" t="s">
        <v>367</v>
      </c>
      <c r="E79" s="7">
        <v>46237</v>
      </c>
      <c r="F79" s="7">
        <v>46238</v>
      </c>
      <c r="G79" s="238" t="s">
        <v>397</v>
      </c>
      <c r="H79" s="9"/>
      <c r="I79" s="8"/>
      <c r="J79" s="9"/>
      <c r="K79" s="9"/>
      <c r="L79" s="9"/>
      <c r="M79" s="9"/>
      <c r="N79" s="9"/>
      <c r="O79" s="9"/>
      <c r="P79" s="9"/>
      <c r="Q79" s="9"/>
      <c r="R79" t="str">
        <f t="shared" si="1"/>
        <v>E10 Deploy</v>
      </c>
    </row>
    <row r="80" spans="1:18" x14ac:dyDescent="0.55000000000000004">
      <c r="A80" s="14" t="s">
        <v>398</v>
      </c>
      <c r="B80" s="10" t="s">
        <v>399</v>
      </c>
      <c r="C80" s="237" t="s">
        <v>231</v>
      </c>
      <c r="D80" s="11" t="s">
        <v>232</v>
      </c>
      <c r="E80" s="12">
        <v>46238</v>
      </c>
      <c r="F80" s="12">
        <v>46238</v>
      </c>
      <c r="G80" s="239" t="s">
        <v>400</v>
      </c>
      <c r="H80" s="13"/>
      <c r="I80" s="8"/>
      <c r="J80" s="13"/>
      <c r="K80" s="13"/>
      <c r="L80" s="13"/>
      <c r="M80" s="13"/>
      <c r="N80" s="13"/>
      <c r="O80" s="13"/>
      <c r="P80" s="13"/>
      <c r="Q80" s="13"/>
      <c r="R80" t="str">
        <f t="shared" si="1"/>
        <v>E11 Ops Resilience</v>
      </c>
    </row>
    <row r="81" spans="1:18" x14ac:dyDescent="0.55000000000000004">
      <c r="A81" s="4"/>
      <c r="B81" s="4" t="s">
        <v>401</v>
      </c>
      <c r="C81" s="237" t="s">
        <v>231</v>
      </c>
      <c r="D81" s="6" t="s">
        <v>232</v>
      </c>
      <c r="E81" s="7">
        <v>46238</v>
      </c>
      <c r="F81" s="7">
        <v>46238</v>
      </c>
      <c r="G81" s="238" t="s">
        <v>402</v>
      </c>
      <c r="H81" s="9"/>
      <c r="I81" s="8"/>
      <c r="J81" s="9"/>
      <c r="K81" s="9"/>
      <c r="L81" s="9"/>
      <c r="M81" s="9"/>
      <c r="N81" s="9"/>
      <c r="O81" s="9"/>
      <c r="P81" s="9"/>
      <c r="Q81" s="9"/>
      <c r="R81" t="str">
        <f t="shared" si="1"/>
        <v>E11 Ops Resilience</v>
      </c>
    </row>
    <row r="82" spans="1:18" ht="21" customHeight="1" x14ac:dyDescent="0.55000000000000004">
      <c r="A82" s="10"/>
      <c r="B82" s="10" t="s">
        <v>403</v>
      </c>
      <c r="C82" s="237" t="s">
        <v>231</v>
      </c>
      <c r="D82" s="11" t="s">
        <v>232</v>
      </c>
      <c r="E82" s="12">
        <v>46246</v>
      </c>
      <c r="F82" s="12">
        <v>46247</v>
      </c>
      <c r="G82" s="239" t="s">
        <v>404</v>
      </c>
      <c r="H82" s="13"/>
      <c r="I82" s="13"/>
      <c r="J82" s="18"/>
      <c r="K82" s="13"/>
      <c r="L82" s="13"/>
      <c r="M82" s="13"/>
      <c r="N82" s="13"/>
      <c r="O82" s="13"/>
      <c r="P82" s="13"/>
      <c r="Q82" s="13"/>
      <c r="R82" t="str">
        <f t="shared" si="1"/>
        <v>E11 Ops Resilience</v>
      </c>
    </row>
    <row r="83" spans="1:18" x14ac:dyDescent="0.55000000000000004">
      <c r="A83" s="4"/>
      <c r="B83" s="4" t="s">
        <v>405</v>
      </c>
      <c r="C83" s="17" t="s">
        <v>16</v>
      </c>
      <c r="D83" s="6" t="s">
        <v>232</v>
      </c>
      <c r="E83" s="7">
        <v>46247</v>
      </c>
      <c r="F83" s="7">
        <v>46247</v>
      </c>
      <c r="G83" s="238" t="s">
        <v>406</v>
      </c>
      <c r="H83" s="9"/>
      <c r="I83" s="9"/>
      <c r="J83" s="18"/>
      <c r="K83" s="9"/>
      <c r="L83" s="9"/>
      <c r="M83" s="9"/>
      <c r="N83" s="9"/>
      <c r="O83" s="9"/>
      <c r="P83" s="9"/>
      <c r="Q83" s="9"/>
      <c r="R83" t="str">
        <f t="shared" si="1"/>
        <v>E11 Ops Resilience</v>
      </c>
    </row>
    <row r="84" spans="1:18" x14ac:dyDescent="0.55000000000000004">
      <c r="A84" s="10"/>
      <c r="B84" s="10" t="s">
        <v>407</v>
      </c>
      <c r="C84" s="17" t="s">
        <v>16</v>
      </c>
      <c r="D84" s="11" t="s">
        <v>232</v>
      </c>
      <c r="E84" s="12">
        <v>46248</v>
      </c>
      <c r="F84" s="12">
        <v>46252</v>
      </c>
      <c r="G84" s="239" t="s">
        <v>408</v>
      </c>
      <c r="H84" s="13"/>
      <c r="I84" s="13"/>
      <c r="J84" s="18"/>
      <c r="K84" s="18"/>
      <c r="L84" s="13"/>
      <c r="M84" s="13"/>
      <c r="N84" s="13"/>
      <c r="O84" s="13"/>
      <c r="P84" s="13"/>
      <c r="Q84" s="13"/>
      <c r="R84" t="str">
        <f t="shared" si="1"/>
        <v>E11 Ops Resilience</v>
      </c>
    </row>
    <row r="85" spans="1:18" x14ac:dyDescent="0.55000000000000004">
      <c r="A85" s="4"/>
      <c r="B85" s="4" t="s">
        <v>409</v>
      </c>
      <c r="C85" s="17" t="s">
        <v>16</v>
      </c>
      <c r="D85" s="6" t="s">
        <v>232</v>
      </c>
      <c r="E85" s="7">
        <v>46253</v>
      </c>
      <c r="F85" s="7">
        <v>46254</v>
      </c>
      <c r="G85" s="238" t="s">
        <v>410</v>
      </c>
      <c r="H85" s="9"/>
      <c r="I85" s="9"/>
      <c r="J85" s="9"/>
      <c r="K85" s="18"/>
      <c r="L85" s="9"/>
      <c r="M85" s="9"/>
      <c r="N85" s="9"/>
      <c r="O85" s="9"/>
      <c r="P85" s="9"/>
      <c r="Q85" s="9"/>
      <c r="R85" t="str">
        <f t="shared" si="1"/>
        <v>E11 Ops Resilience</v>
      </c>
    </row>
    <row r="86" spans="1:18" x14ac:dyDescent="0.55000000000000004">
      <c r="A86" s="14" t="s">
        <v>308</v>
      </c>
      <c r="B86" s="10" t="s">
        <v>411</v>
      </c>
      <c r="C86" s="237" t="s">
        <v>231</v>
      </c>
      <c r="D86" s="11" t="s">
        <v>254</v>
      </c>
      <c r="E86" s="12">
        <v>46238</v>
      </c>
      <c r="F86" s="12">
        <v>46238</v>
      </c>
      <c r="G86" s="239" t="s">
        <v>412</v>
      </c>
      <c r="H86" s="10"/>
      <c r="I86" s="37"/>
      <c r="J86" s="10"/>
      <c r="K86" s="10"/>
      <c r="L86" s="10"/>
      <c r="M86" s="10"/>
      <c r="N86" s="10"/>
      <c r="O86" s="10"/>
      <c r="P86" s="10"/>
      <c r="Q86" s="10"/>
      <c r="R86" t="str">
        <f t="shared" si="1"/>
        <v>E8 Model Quality</v>
      </c>
    </row>
    <row r="87" spans="1:18" x14ac:dyDescent="0.55000000000000004">
      <c r="A87" s="3" t="s">
        <v>308</v>
      </c>
      <c r="B87" s="4" t="s">
        <v>413</v>
      </c>
      <c r="C87" s="237" t="s">
        <v>231</v>
      </c>
      <c r="D87" s="6" t="s">
        <v>254</v>
      </c>
      <c r="E87" s="7">
        <v>46238</v>
      </c>
      <c r="F87" s="7">
        <v>46238</v>
      </c>
      <c r="G87" s="238" t="s">
        <v>414</v>
      </c>
      <c r="H87" s="4"/>
      <c r="I87" s="37"/>
      <c r="J87" s="4"/>
      <c r="K87" s="4"/>
      <c r="L87" s="4"/>
      <c r="M87" s="4"/>
      <c r="N87" s="4"/>
      <c r="O87" s="4"/>
      <c r="P87" s="4"/>
      <c r="Q87" s="4"/>
      <c r="R87" t="str">
        <f t="shared" si="1"/>
        <v>E8 Model Quality</v>
      </c>
    </row>
    <row r="88" spans="1:18" x14ac:dyDescent="0.55000000000000004">
      <c r="A88" s="14" t="s">
        <v>308</v>
      </c>
      <c r="B88" s="10" t="s">
        <v>415</v>
      </c>
      <c r="C88" s="237" t="s">
        <v>231</v>
      </c>
      <c r="D88" s="11" t="s">
        <v>254</v>
      </c>
      <c r="E88" s="12">
        <v>46238</v>
      </c>
      <c r="F88" s="12">
        <v>46238</v>
      </c>
      <c r="G88" s="239" t="s">
        <v>416</v>
      </c>
      <c r="H88" s="10"/>
      <c r="I88" s="37"/>
      <c r="J88" s="10"/>
      <c r="K88" s="10"/>
      <c r="L88" s="10"/>
      <c r="M88" s="10"/>
      <c r="N88" s="10"/>
      <c r="O88" s="10"/>
      <c r="P88" s="10"/>
      <c r="Q88" s="10"/>
      <c r="R88" t="str">
        <f t="shared" si="1"/>
        <v>E8 Model Quality</v>
      </c>
    </row>
    <row r="89" spans="1:18" x14ac:dyDescent="0.55000000000000004">
      <c r="A89" s="3" t="s">
        <v>308</v>
      </c>
      <c r="B89" s="4" t="s">
        <v>417</v>
      </c>
      <c r="C89" s="237" t="s">
        <v>231</v>
      </c>
      <c r="D89" s="6" t="s">
        <v>254</v>
      </c>
      <c r="E89" s="7">
        <v>46238</v>
      </c>
      <c r="F89" s="7">
        <v>46238</v>
      </c>
      <c r="G89" s="238" t="s">
        <v>418</v>
      </c>
      <c r="H89" s="4"/>
      <c r="I89" s="37"/>
      <c r="J89" s="4"/>
      <c r="K89" s="4"/>
      <c r="L89" s="4"/>
      <c r="M89" s="4"/>
      <c r="N89" s="4"/>
      <c r="O89" s="4"/>
      <c r="P89" s="4"/>
      <c r="Q89" s="4"/>
      <c r="R89" t="str">
        <f t="shared" si="1"/>
        <v>E8 Model Quality</v>
      </c>
    </row>
    <row r="90" spans="1:18" x14ac:dyDescent="0.55000000000000004">
      <c r="A90" s="14" t="s">
        <v>308</v>
      </c>
      <c r="B90" s="10" t="s">
        <v>419</v>
      </c>
      <c r="C90" s="237" t="s">
        <v>231</v>
      </c>
      <c r="D90" s="11" t="s">
        <v>254</v>
      </c>
      <c r="E90" s="12">
        <v>46238</v>
      </c>
      <c r="F90" s="12">
        <v>46238</v>
      </c>
      <c r="G90" s="239" t="s">
        <v>420</v>
      </c>
      <c r="H90" s="10"/>
      <c r="I90" s="37"/>
      <c r="J90" s="10"/>
      <c r="K90" s="10"/>
      <c r="L90" s="10"/>
      <c r="M90" s="10"/>
      <c r="N90" s="10"/>
      <c r="O90" s="10"/>
      <c r="P90" s="10"/>
      <c r="Q90" s="10"/>
      <c r="R90" t="str">
        <f t="shared" si="1"/>
        <v>E8 Model Quality</v>
      </c>
    </row>
    <row r="91" spans="1:18" x14ac:dyDescent="0.55000000000000004">
      <c r="A91" s="3" t="s">
        <v>308</v>
      </c>
      <c r="B91" s="4" t="s">
        <v>421</v>
      </c>
      <c r="C91" s="237" t="s">
        <v>231</v>
      </c>
      <c r="D91" s="6" t="s">
        <v>254</v>
      </c>
      <c r="E91" s="7">
        <v>46238</v>
      </c>
      <c r="F91" s="7">
        <v>46238</v>
      </c>
      <c r="G91" s="238" t="s">
        <v>422</v>
      </c>
      <c r="H91" s="4"/>
      <c r="I91" s="37"/>
      <c r="J91" s="4"/>
      <c r="K91" s="4"/>
      <c r="L91" s="4"/>
      <c r="M91" s="4"/>
      <c r="N91" s="4"/>
      <c r="O91" s="4"/>
      <c r="P91" s="4"/>
      <c r="Q91" s="4"/>
      <c r="R91" t="str">
        <f t="shared" si="1"/>
        <v>E8 Model Quality</v>
      </c>
    </row>
    <row r="92" spans="1:18" x14ac:dyDescent="0.55000000000000004">
      <c r="A92" s="14" t="s">
        <v>398</v>
      </c>
      <c r="B92" s="10" t="s">
        <v>423</v>
      </c>
      <c r="C92" s="237" t="s">
        <v>231</v>
      </c>
      <c r="D92" s="11" t="s">
        <v>232</v>
      </c>
      <c r="E92" s="12">
        <v>46238</v>
      </c>
      <c r="F92" s="12">
        <v>46238</v>
      </c>
      <c r="G92" s="239" t="s">
        <v>424</v>
      </c>
      <c r="H92" s="10"/>
      <c r="I92" s="37"/>
      <c r="J92" s="10"/>
      <c r="K92" s="10"/>
      <c r="L92" s="10"/>
      <c r="M92" s="10"/>
      <c r="N92" s="10"/>
      <c r="O92" s="10"/>
      <c r="P92" s="10"/>
      <c r="Q92" s="10"/>
      <c r="R92" t="str">
        <f t="shared" si="1"/>
        <v>E11 Ops Resilience</v>
      </c>
    </row>
    <row r="93" spans="1:18" x14ac:dyDescent="0.55000000000000004">
      <c r="A93" s="3" t="s">
        <v>338</v>
      </c>
      <c r="B93" s="4" t="s">
        <v>425</v>
      </c>
      <c r="C93" s="17" t="s">
        <v>16</v>
      </c>
      <c r="D93" s="6" t="s">
        <v>284</v>
      </c>
      <c r="E93" s="7">
        <v>46239</v>
      </c>
      <c r="F93" s="7">
        <v>46239</v>
      </c>
      <c r="G93" s="238" t="s">
        <v>426</v>
      </c>
      <c r="H93" s="4"/>
      <c r="I93" s="39"/>
      <c r="J93" s="4"/>
      <c r="K93" s="4"/>
      <c r="L93" s="4"/>
      <c r="M93" s="4"/>
      <c r="N93" s="4"/>
      <c r="O93" s="4"/>
      <c r="P93" s="4"/>
      <c r="Q93" s="4"/>
      <c r="R93" t="str">
        <f t="shared" si="1"/>
        <v>E9 Data Ops</v>
      </c>
    </row>
    <row r="94" spans="1:18" x14ac:dyDescent="0.55000000000000004">
      <c r="A94" s="14" t="s">
        <v>338</v>
      </c>
      <c r="B94" s="10" t="s">
        <v>427</v>
      </c>
      <c r="C94" s="237" t="s">
        <v>231</v>
      </c>
      <c r="D94" s="11" t="s">
        <v>232</v>
      </c>
      <c r="E94" s="12">
        <v>46239</v>
      </c>
      <c r="F94" s="12">
        <v>46239</v>
      </c>
      <c r="G94" s="239" t="s">
        <v>428</v>
      </c>
      <c r="H94" s="10"/>
      <c r="I94" s="37"/>
      <c r="J94" s="10"/>
      <c r="K94" s="10"/>
      <c r="L94" s="10"/>
      <c r="M94" s="10"/>
      <c r="N94" s="10"/>
      <c r="O94" s="10"/>
      <c r="P94" s="10"/>
      <c r="Q94" s="10"/>
      <c r="R94" t="str">
        <f t="shared" si="1"/>
        <v>E9 Data Ops</v>
      </c>
    </row>
    <row r="95" spans="1:18" x14ac:dyDescent="0.55000000000000004">
      <c r="A95" s="3" t="s">
        <v>308</v>
      </c>
      <c r="B95" s="4" t="s">
        <v>429</v>
      </c>
      <c r="C95" s="17" t="s">
        <v>16</v>
      </c>
      <c r="D95" s="6" t="s">
        <v>242</v>
      </c>
      <c r="E95" s="7">
        <v>46240</v>
      </c>
      <c r="F95" s="7">
        <v>46240</v>
      </c>
      <c r="G95" s="238" t="s">
        <v>430</v>
      </c>
      <c r="H95" s="4"/>
      <c r="I95" s="39"/>
      <c r="J95" s="4"/>
      <c r="K95" s="4"/>
      <c r="L95" s="4"/>
      <c r="M95" s="4"/>
      <c r="N95" s="4"/>
      <c r="O95" s="4"/>
      <c r="P95" s="4"/>
      <c r="Q95" s="4"/>
      <c r="R95" t="str">
        <f t="shared" si="1"/>
        <v>E8 Model Quality</v>
      </c>
    </row>
    <row r="96" spans="1:18" x14ac:dyDescent="0.55000000000000004">
      <c r="A96" s="14" t="s">
        <v>308</v>
      </c>
      <c r="B96" s="10" t="s">
        <v>431</v>
      </c>
      <c r="C96" s="237" t="s">
        <v>231</v>
      </c>
      <c r="D96" s="11" t="s">
        <v>254</v>
      </c>
      <c r="E96" s="12">
        <v>46238</v>
      </c>
      <c r="F96" s="12">
        <v>46238</v>
      </c>
      <c r="G96" s="239" t="s">
        <v>432</v>
      </c>
      <c r="H96" s="10"/>
      <c r="I96" s="37"/>
      <c r="J96" s="10"/>
      <c r="K96" s="10"/>
      <c r="L96" s="10"/>
      <c r="M96" s="10"/>
      <c r="N96" s="10"/>
      <c r="O96" s="10"/>
      <c r="P96" s="10"/>
      <c r="Q96" s="10"/>
      <c r="R96" t="str">
        <f t="shared" si="1"/>
        <v>E8 Model Quality</v>
      </c>
    </row>
    <row r="97" spans="1:18" x14ac:dyDescent="0.55000000000000004">
      <c r="A97" s="3" t="s">
        <v>308</v>
      </c>
      <c r="B97" s="4" t="s">
        <v>433</v>
      </c>
      <c r="C97" s="237" t="s">
        <v>231</v>
      </c>
      <c r="D97" s="6" t="s">
        <v>242</v>
      </c>
      <c r="E97" s="7">
        <v>46238</v>
      </c>
      <c r="F97" s="7">
        <v>46238</v>
      </c>
      <c r="G97" s="238" t="s">
        <v>434</v>
      </c>
      <c r="H97" s="4"/>
      <c r="I97" s="37"/>
      <c r="J97" s="4"/>
      <c r="K97" s="4"/>
      <c r="L97" s="4"/>
      <c r="M97" s="4"/>
      <c r="N97" s="4"/>
      <c r="O97" s="4"/>
      <c r="P97" s="4"/>
      <c r="Q97" s="4"/>
      <c r="R97" t="str">
        <f t="shared" si="1"/>
        <v>E8 Model Quality</v>
      </c>
    </row>
    <row r="98" spans="1:18" x14ac:dyDescent="0.55000000000000004">
      <c r="A98" s="14" t="s">
        <v>308</v>
      </c>
      <c r="B98" s="10" t="s">
        <v>435</v>
      </c>
      <c r="C98" s="237" t="s">
        <v>231</v>
      </c>
      <c r="D98" s="11" t="s">
        <v>254</v>
      </c>
      <c r="E98" s="12">
        <v>46238</v>
      </c>
      <c r="F98" s="12">
        <v>46238</v>
      </c>
      <c r="G98" s="239" t="s">
        <v>436</v>
      </c>
      <c r="H98" s="10"/>
      <c r="I98" s="37"/>
      <c r="J98" s="10"/>
      <c r="K98" s="10"/>
      <c r="L98" s="10"/>
      <c r="M98" s="10"/>
      <c r="N98" s="10"/>
      <c r="O98" s="10"/>
      <c r="P98" s="10"/>
      <c r="Q98" s="10"/>
      <c r="R98" t="str">
        <f t="shared" si="1"/>
        <v>E8 Model Quality</v>
      </c>
    </row>
    <row r="99" spans="1:18" x14ac:dyDescent="0.55000000000000004">
      <c r="A99" s="3" t="s">
        <v>308</v>
      </c>
      <c r="B99" s="4" t="s">
        <v>437</v>
      </c>
      <c r="C99" s="237" t="s">
        <v>231</v>
      </c>
      <c r="D99" s="6" t="s">
        <v>242</v>
      </c>
      <c r="E99" s="7">
        <v>46238</v>
      </c>
      <c r="F99" s="7">
        <v>46239</v>
      </c>
      <c r="G99" s="238" t="s">
        <v>438</v>
      </c>
      <c r="H99" s="4"/>
      <c r="I99" s="38"/>
      <c r="J99" s="4"/>
      <c r="K99" s="4"/>
      <c r="L99" s="4"/>
      <c r="M99" s="4"/>
      <c r="N99" s="4"/>
      <c r="O99" s="4"/>
      <c r="P99" s="4"/>
      <c r="Q99" s="4"/>
      <c r="R99" t="str">
        <f t="shared" si="1"/>
        <v>E8 Model Quality</v>
      </c>
    </row>
    <row r="100" spans="1:18" x14ac:dyDescent="0.55000000000000004">
      <c r="A100" s="14" t="s">
        <v>308</v>
      </c>
      <c r="B100" s="10" t="s">
        <v>439</v>
      </c>
      <c r="C100" s="237" t="s">
        <v>231</v>
      </c>
      <c r="D100" s="11" t="s">
        <v>254</v>
      </c>
      <c r="E100" s="12">
        <v>46239</v>
      </c>
      <c r="F100" s="12">
        <v>46239</v>
      </c>
      <c r="G100" s="239" t="s">
        <v>440</v>
      </c>
      <c r="H100" s="10"/>
      <c r="I100" s="39"/>
      <c r="J100" s="10"/>
      <c r="K100" s="10"/>
      <c r="L100" s="10"/>
      <c r="M100" s="10"/>
      <c r="N100" s="10"/>
      <c r="O100" s="10"/>
      <c r="P100" s="10"/>
      <c r="Q100" s="10"/>
      <c r="R100" t="str">
        <f t="shared" si="1"/>
        <v>E8 Model Quality</v>
      </c>
    </row>
    <row r="101" spans="1:18" ht="21" customHeight="1" x14ac:dyDescent="0.55000000000000004">
      <c r="A101" s="3" t="s">
        <v>338</v>
      </c>
      <c r="B101" s="4" t="s">
        <v>441</v>
      </c>
      <c r="C101" s="237" t="s">
        <v>231</v>
      </c>
      <c r="D101" s="6" t="s">
        <v>242</v>
      </c>
      <c r="E101" s="7">
        <v>46246</v>
      </c>
      <c r="F101" s="7">
        <v>46248</v>
      </c>
      <c r="G101" s="238" t="s">
        <v>442</v>
      </c>
      <c r="H101" s="4"/>
      <c r="I101" s="4"/>
      <c r="J101" s="39"/>
      <c r="K101" s="4"/>
      <c r="L101" s="4"/>
      <c r="M101" s="4"/>
      <c r="N101" s="4"/>
      <c r="O101" s="4"/>
      <c r="P101" s="4"/>
      <c r="Q101" s="4"/>
      <c r="R101" t="str">
        <f t="shared" si="1"/>
        <v>E9 Data Ops</v>
      </c>
    </row>
    <row r="102" spans="1:18" x14ac:dyDescent="0.55000000000000004">
      <c r="A102" s="14" t="s">
        <v>338</v>
      </c>
      <c r="B102" s="10" t="s">
        <v>443</v>
      </c>
      <c r="C102" s="237" t="s">
        <v>231</v>
      </c>
      <c r="D102" s="11" t="s">
        <v>232</v>
      </c>
      <c r="E102" s="12">
        <v>46239</v>
      </c>
      <c r="F102" s="12">
        <v>46239</v>
      </c>
      <c r="G102" s="239" t="s">
        <v>444</v>
      </c>
      <c r="H102" s="10"/>
      <c r="I102" s="39"/>
      <c r="J102" s="10"/>
      <c r="K102" s="10"/>
      <c r="L102" s="10"/>
      <c r="M102" s="10"/>
      <c r="N102" s="10"/>
      <c r="O102" s="10"/>
      <c r="P102" s="10"/>
      <c r="Q102" s="10"/>
      <c r="R102" t="str">
        <f t="shared" si="1"/>
        <v>E9 Data Ops</v>
      </c>
    </row>
    <row r="103" spans="1:18" x14ac:dyDescent="0.55000000000000004">
      <c r="A103" s="3" t="s">
        <v>398</v>
      </c>
      <c r="B103" s="4" t="s">
        <v>445</v>
      </c>
      <c r="C103" s="237" t="s">
        <v>231</v>
      </c>
      <c r="D103" s="6" t="s">
        <v>232</v>
      </c>
      <c r="E103" s="7">
        <v>46238</v>
      </c>
      <c r="F103" s="7">
        <v>46238</v>
      </c>
      <c r="G103" s="238" t="s">
        <v>446</v>
      </c>
      <c r="H103" s="4"/>
      <c r="I103" s="37"/>
      <c r="J103" s="4"/>
      <c r="K103" s="4"/>
      <c r="L103" s="4"/>
      <c r="M103" s="4"/>
      <c r="N103" s="4"/>
      <c r="O103" s="4"/>
      <c r="P103" s="4"/>
      <c r="Q103" s="4"/>
      <c r="R103" t="str">
        <f t="shared" si="1"/>
        <v>E11 Ops Resilience</v>
      </c>
    </row>
    <row r="104" spans="1:18" x14ac:dyDescent="0.55000000000000004">
      <c r="A104" s="14" t="s">
        <v>271</v>
      </c>
      <c r="B104" s="10" t="s">
        <v>447</v>
      </c>
      <c r="C104" s="237" t="s">
        <v>231</v>
      </c>
      <c r="D104" s="11" t="s">
        <v>284</v>
      </c>
      <c r="E104" s="12">
        <v>46238</v>
      </c>
      <c r="F104" s="12">
        <v>46238</v>
      </c>
      <c r="G104" s="239" t="s">
        <v>448</v>
      </c>
      <c r="H104" s="10"/>
      <c r="I104" s="37"/>
      <c r="J104" s="10"/>
      <c r="K104" s="10"/>
      <c r="L104" s="10"/>
      <c r="M104" s="10"/>
      <c r="N104" s="10"/>
      <c r="O104" s="10"/>
      <c r="P104" s="10"/>
      <c r="Q104" s="10"/>
      <c r="R104" t="str">
        <f t="shared" si="1"/>
        <v>E5 ML Tennis</v>
      </c>
    </row>
    <row r="105" spans="1:18" x14ac:dyDescent="0.55000000000000004">
      <c r="A105" s="3" t="s">
        <v>271</v>
      </c>
      <c r="B105" s="4" t="s">
        <v>449</v>
      </c>
      <c r="C105" s="237" t="s">
        <v>231</v>
      </c>
      <c r="D105" s="6" t="s">
        <v>284</v>
      </c>
      <c r="E105" s="7">
        <v>46238</v>
      </c>
      <c r="F105" s="7">
        <v>46238</v>
      </c>
      <c r="G105" s="238" t="s">
        <v>450</v>
      </c>
      <c r="H105" s="4"/>
      <c r="I105" s="37"/>
      <c r="J105" s="4"/>
      <c r="K105" s="4"/>
      <c r="L105" s="4"/>
      <c r="M105" s="4"/>
      <c r="N105" s="4"/>
      <c r="O105" s="4"/>
      <c r="P105" s="4"/>
      <c r="Q105" s="4"/>
      <c r="R105" t="str">
        <f t="shared" si="1"/>
        <v>E5 ML Tennis</v>
      </c>
    </row>
    <row r="106" spans="1:18" x14ac:dyDescent="0.55000000000000004">
      <c r="A106" s="14" t="s">
        <v>338</v>
      </c>
      <c r="B106" s="10" t="s">
        <v>451</v>
      </c>
      <c r="C106" s="237" t="s">
        <v>231</v>
      </c>
      <c r="D106" s="11" t="s">
        <v>242</v>
      </c>
      <c r="E106" s="12">
        <v>46238</v>
      </c>
      <c r="F106" s="12">
        <v>46238</v>
      </c>
      <c r="G106" s="239" t="s">
        <v>452</v>
      </c>
      <c r="H106" s="10"/>
      <c r="I106" s="37"/>
      <c r="J106" s="10"/>
      <c r="K106" s="10"/>
      <c r="L106" s="10"/>
      <c r="M106" s="10"/>
      <c r="N106" s="10"/>
      <c r="O106" s="10"/>
      <c r="P106" s="10"/>
      <c r="Q106" s="10"/>
      <c r="R106" t="str">
        <f t="shared" si="1"/>
        <v>E9 Data Ops</v>
      </c>
    </row>
    <row r="107" spans="1:18" x14ac:dyDescent="0.55000000000000004">
      <c r="A107" s="3" t="s">
        <v>398</v>
      </c>
      <c r="B107" s="4" t="s">
        <v>453</v>
      </c>
      <c r="C107" s="237" t="s">
        <v>231</v>
      </c>
      <c r="D107" s="6" t="s">
        <v>232</v>
      </c>
      <c r="E107" s="7">
        <v>46238</v>
      </c>
      <c r="F107" s="7">
        <v>46238</v>
      </c>
      <c r="G107" s="238" t="s">
        <v>454</v>
      </c>
      <c r="H107" s="4"/>
      <c r="I107" s="37"/>
      <c r="J107" s="4"/>
      <c r="K107" s="4"/>
      <c r="L107" s="4"/>
      <c r="M107" s="4"/>
      <c r="N107" s="4"/>
      <c r="O107" s="4"/>
      <c r="P107" s="4"/>
      <c r="Q107" s="4"/>
      <c r="R107" t="str">
        <f t="shared" si="1"/>
        <v>E11 Ops Resilience</v>
      </c>
    </row>
    <row r="108" spans="1:18" x14ac:dyDescent="0.55000000000000004">
      <c r="A108" s="44" t="s">
        <v>369</v>
      </c>
      <c r="B108" s="45" t="s">
        <v>455</v>
      </c>
      <c r="C108" s="240" t="s">
        <v>231</v>
      </c>
      <c r="D108" s="46" t="s">
        <v>232</v>
      </c>
      <c r="E108" s="47">
        <v>46238</v>
      </c>
      <c r="F108" s="47">
        <v>46238</v>
      </c>
      <c r="G108" s="241" t="s">
        <v>456</v>
      </c>
      <c r="H108" s="45"/>
      <c r="I108" s="48"/>
      <c r="J108" s="45"/>
      <c r="K108" s="45"/>
      <c r="L108" s="45"/>
      <c r="M108" s="45"/>
      <c r="N108" s="45"/>
      <c r="O108" s="45"/>
      <c r="P108" s="45"/>
      <c r="Q108" s="45"/>
      <c r="R108" t="str">
        <f t="shared" si="1"/>
        <v>E10 Deploy</v>
      </c>
    </row>
    <row r="109" spans="1:18" x14ac:dyDescent="0.55000000000000004">
      <c r="A109" s="49" t="s">
        <v>369</v>
      </c>
      <c r="B109" s="50" t="s">
        <v>457</v>
      </c>
      <c r="C109" s="240" t="s">
        <v>231</v>
      </c>
      <c r="D109" s="51" t="s">
        <v>232</v>
      </c>
      <c r="E109" s="52">
        <v>46238</v>
      </c>
      <c r="F109" s="52">
        <v>46238</v>
      </c>
      <c r="G109" s="242" t="s">
        <v>458</v>
      </c>
      <c r="H109" s="50"/>
      <c r="I109" s="48"/>
      <c r="J109" s="50"/>
      <c r="K109" s="50"/>
      <c r="L109" s="50"/>
      <c r="M109" s="50"/>
      <c r="N109" s="50"/>
      <c r="O109" s="50"/>
      <c r="P109" s="50"/>
      <c r="Q109" s="50"/>
      <c r="R109" t="str">
        <f t="shared" si="1"/>
        <v>E10 Deploy</v>
      </c>
    </row>
    <row r="110" spans="1:18" x14ac:dyDescent="0.55000000000000004">
      <c r="A110" s="44" t="s">
        <v>369</v>
      </c>
      <c r="B110" s="45" t="s">
        <v>459</v>
      </c>
      <c r="C110" s="240" t="s">
        <v>231</v>
      </c>
      <c r="D110" s="46" t="s">
        <v>232</v>
      </c>
      <c r="E110" s="47">
        <v>46238</v>
      </c>
      <c r="F110" s="47">
        <v>46238</v>
      </c>
      <c r="G110" s="241" t="s">
        <v>460</v>
      </c>
      <c r="H110" s="45"/>
      <c r="I110" s="48"/>
      <c r="J110" s="45"/>
      <c r="K110" s="45"/>
      <c r="L110" s="45"/>
      <c r="M110" s="45"/>
      <c r="N110" s="45"/>
      <c r="O110" s="45"/>
      <c r="P110" s="45"/>
      <c r="Q110" s="45"/>
      <c r="R110" t="str">
        <f t="shared" si="1"/>
        <v>E10 Deploy</v>
      </c>
    </row>
    <row r="111" spans="1:18" x14ac:dyDescent="0.55000000000000004">
      <c r="A111" s="49" t="s">
        <v>369</v>
      </c>
      <c r="B111" s="50" t="s">
        <v>461</v>
      </c>
      <c r="C111" s="240" t="s">
        <v>231</v>
      </c>
      <c r="D111" s="51" t="s">
        <v>284</v>
      </c>
      <c r="E111" s="52">
        <v>46238</v>
      </c>
      <c r="F111" s="52">
        <v>46238</v>
      </c>
      <c r="G111" s="242" t="s">
        <v>462</v>
      </c>
      <c r="H111" s="50"/>
      <c r="I111" s="48"/>
      <c r="J111" s="50"/>
      <c r="K111" s="50"/>
      <c r="L111" s="50"/>
      <c r="M111" s="50"/>
      <c r="N111" s="50"/>
      <c r="O111" s="50"/>
      <c r="P111" s="50"/>
      <c r="Q111" s="50"/>
      <c r="R111" t="str">
        <f t="shared" si="1"/>
        <v>E10 Deploy</v>
      </c>
    </row>
    <row r="112" spans="1:18" x14ac:dyDescent="0.55000000000000004">
      <c r="A112" s="58" t="s">
        <v>369</v>
      </c>
      <c r="B112" s="59" t="s">
        <v>463</v>
      </c>
      <c r="C112" s="243" t="s">
        <v>231</v>
      </c>
      <c r="D112" s="60" t="s">
        <v>294</v>
      </c>
      <c r="E112" s="61">
        <v>46238</v>
      </c>
      <c r="F112" s="61">
        <v>46238</v>
      </c>
      <c r="G112" s="244" t="s">
        <v>464</v>
      </c>
      <c r="H112" s="59"/>
      <c r="I112" s="62"/>
      <c r="J112" s="59"/>
      <c r="K112" s="59"/>
      <c r="L112" s="59"/>
      <c r="M112" s="59"/>
      <c r="N112" s="59"/>
      <c r="O112" s="59"/>
      <c r="P112" s="59"/>
      <c r="Q112" s="59"/>
      <c r="R112" t="str">
        <f t="shared" si="1"/>
        <v>E10 Deploy</v>
      </c>
    </row>
    <row r="113" spans="1:18" x14ac:dyDescent="0.55000000000000004">
      <c r="A113" s="63" t="s">
        <v>369</v>
      </c>
      <c r="B113" s="64" t="s">
        <v>465</v>
      </c>
      <c r="C113" s="243" t="s">
        <v>231</v>
      </c>
      <c r="D113" s="65" t="s">
        <v>232</v>
      </c>
      <c r="E113" s="66">
        <v>46238</v>
      </c>
      <c r="F113" s="66">
        <v>46238</v>
      </c>
      <c r="G113" s="245" t="s">
        <v>466</v>
      </c>
      <c r="H113" s="64"/>
      <c r="I113" s="62"/>
      <c r="J113" s="64"/>
      <c r="K113" s="64"/>
      <c r="L113" s="64"/>
      <c r="M113" s="64"/>
      <c r="N113" s="64"/>
      <c r="O113" s="64"/>
      <c r="P113" s="64"/>
      <c r="Q113" s="64"/>
      <c r="R113" t="str">
        <f t="shared" si="1"/>
        <v>E10 Deploy</v>
      </c>
    </row>
    <row r="114" spans="1:18" x14ac:dyDescent="0.55000000000000004">
      <c r="A114" s="58" t="s">
        <v>369</v>
      </c>
      <c r="B114" s="59" t="s">
        <v>467</v>
      </c>
      <c r="C114" s="240" t="s">
        <v>231</v>
      </c>
      <c r="D114" s="60" t="s">
        <v>232</v>
      </c>
      <c r="E114" s="61">
        <v>46238</v>
      </c>
      <c r="F114" s="61">
        <v>46238</v>
      </c>
      <c r="G114" s="244" t="s">
        <v>468</v>
      </c>
      <c r="H114" s="59"/>
      <c r="I114" s="68"/>
      <c r="J114" s="59"/>
      <c r="K114" s="59"/>
      <c r="L114" s="59"/>
      <c r="M114" s="59"/>
      <c r="N114" s="59"/>
      <c r="O114" s="59"/>
      <c r="P114" s="59"/>
      <c r="Q114" s="59"/>
      <c r="R114" t="str">
        <f t="shared" si="1"/>
        <v>E10 Deploy</v>
      </c>
    </row>
    <row r="115" spans="1:18" x14ac:dyDescent="0.55000000000000004">
      <c r="A115" s="63" t="s">
        <v>369</v>
      </c>
      <c r="B115" s="64" t="s">
        <v>469</v>
      </c>
      <c r="C115" s="243" t="s">
        <v>231</v>
      </c>
      <c r="D115" s="65" t="s">
        <v>294</v>
      </c>
      <c r="E115" s="66">
        <v>46239</v>
      </c>
      <c r="F115" s="66">
        <v>46239</v>
      </c>
      <c r="G115" s="245" t="s">
        <v>470</v>
      </c>
      <c r="H115" s="64"/>
      <c r="I115" s="70"/>
      <c r="J115" s="64"/>
      <c r="K115" s="64"/>
      <c r="L115" s="64"/>
      <c r="M115" s="64"/>
      <c r="N115" s="64"/>
      <c r="O115" s="64"/>
      <c r="P115" s="64"/>
      <c r="Q115" s="64"/>
      <c r="R115" t="str">
        <f t="shared" si="1"/>
        <v>E10 Deploy</v>
      </c>
    </row>
    <row r="116" spans="1:18" x14ac:dyDescent="0.55000000000000004">
      <c r="A116" s="73" t="s">
        <v>369</v>
      </c>
      <c r="B116" s="74" t="s">
        <v>471</v>
      </c>
      <c r="C116" s="246" t="s">
        <v>231</v>
      </c>
      <c r="D116" s="75" t="s">
        <v>294</v>
      </c>
      <c r="E116" s="76">
        <v>46238</v>
      </c>
      <c r="F116" s="76">
        <v>46238</v>
      </c>
      <c r="G116" s="247" t="s">
        <v>472</v>
      </c>
      <c r="H116" s="74"/>
      <c r="I116" s="77"/>
      <c r="J116" s="74"/>
      <c r="K116" s="74"/>
      <c r="L116" s="74"/>
      <c r="M116" s="74"/>
      <c r="N116" s="74"/>
      <c r="O116" s="74"/>
      <c r="P116" s="74"/>
      <c r="Q116" s="74"/>
      <c r="R116" t="str">
        <f t="shared" si="1"/>
        <v>E10 Deploy</v>
      </c>
    </row>
    <row r="117" spans="1:18" x14ac:dyDescent="0.55000000000000004">
      <c r="A117" s="81" t="s">
        <v>292</v>
      </c>
      <c r="B117" s="82" t="s">
        <v>473</v>
      </c>
      <c r="C117" s="248" t="s">
        <v>231</v>
      </c>
      <c r="D117" s="83" t="s">
        <v>294</v>
      </c>
      <c r="E117" s="84">
        <v>46238</v>
      </c>
      <c r="F117" s="84">
        <v>46238</v>
      </c>
      <c r="G117" s="249" t="s">
        <v>474</v>
      </c>
      <c r="H117" s="82"/>
      <c r="I117" s="85"/>
      <c r="J117" s="82"/>
      <c r="K117" s="82"/>
      <c r="L117" s="82"/>
      <c r="M117" s="82"/>
      <c r="N117" s="82"/>
      <c r="O117" s="82"/>
      <c r="P117" s="82"/>
      <c r="Q117" s="82"/>
      <c r="R117" t="str">
        <f t="shared" si="1"/>
        <v>E7 Mobile</v>
      </c>
    </row>
    <row r="118" spans="1:18" x14ac:dyDescent="0.55000000000000004">
      <c r="A118" s="86" t="s">
        <v>292</v>
      </c>
      <c r="B118" s="87" t="s">
        <v>475</v>
      </c>
      <c r="C118" s="248" t="s">
        <v>231</v>
      </c>
      <c r="D118" s="88" t="s">
        <v>367</v>
      </c>
      <c r="E118" s="89">
        <v>46238</v>
      </c>
      <c r="F118" s="89">
        <v>46238</v>
      </c>
      <c r="G118" s="250" t="s">
        <v>476</v>
      </c>
      <c r="H118" s="87"/>
      <c r="I118" s="85"/>
      <c r="J118" s="87"/>
      <c r="K118" s="87"/>
      <c r="L118" s="87"/>
      <c r="M118" s="87"/>
      <c r="N118" s="87"/>
      <c r="O118" s="87"/>
      <c r="P118" s="87"/>
      <c r="Q118" s="87"/>
      <c r="R118" t="str">
        <f t="shared" si="1"/>
        <v>E7 Mobile</v>
      </c>
    </row>
    <row r="119" spans="1:18" x14ac:dyDescent="0.55000000000000004">
      <c r="A119" s="81" t="s">
        <v>369</v>
      </c>
      <c r="B119" s="82" t="s">
        <v>477</v>
      </c>
      <c r="C119" s="254" t="s">
        <v>231</v>
      </c>
      <c r="D119" s="83" t="s">
        <v>294</v>
      </c>
      <c r="E119" s="84">
        <v>46239</v>
      </c>
      <c r="F119" s="84">
        <v>46239</v>
      </c>
      <c r="G119" s="249" t="s">
        <v>478</v>
      </c>
      <c r="H119" s="82"/>
      <c r="I119" s="91"/>
      <c r="J119" s="82"/>
      <c r="K119" s="82"/>
      <c r="L119" s="82"/>
      <c r="M119" s="82"/>
      <c r="N119" s="82"/>
      <c r="O119" s="82"/>
      <c r="P119" s="82"/>
      <c r="Q119" s="82"/>
      <c r="R119" t="str">
        <f t="shared" si="1"/>
        <v>E10 Deploy</v>
      </c>
    </row>
    <row r="120" spans="1:18" x14ac:dyDescent="0.55000000000000004">
      <c r="A120" s="86" t="s">
        <v>292</v>
      </c>
      <c r="B120" s="87" t="s">
        <v>479</v>
      </c>
      <c r="C120" s="90" t="s">
        <v>16</v>
      </c>
      <c r="D120" s="88" t="s">
        <v>367</v>
      </c>
      <c r="E120" s="89">
        <v>46244</v>
      </c>
      <c r="F120" s="89">
        <v>46248</v>
      </c>
      <c r="G120" s="250" t="s">
        <v>480</v>
      </c>
      <c r="H120" s="87"/>
      <c r="I120" s="87"/>
      <c r="J120" s="91"/>
      <c r="K120" s="87"/>
      <c r="L120" s="87"/>
      <c r="M120" s="87"/>
      <c r="N120" s="87"/>
      <c r="O120" s="87"/>
      <c r="P120" s="87"/>
      <c r="Q120" s="87"/>
      <c r="R120" t="str">
        <f t="shared" si="1"/>
        <v>E7 Mobile</v>
      </c>
    </row>
    <row r="121" spans="1:18" x14ac:dyDescent="0.55000000000000004">
      <c r="A121" s="95" t="s">
        <v>369</v>
      </c>
      <c r="B121" s="96" t="s">
        <v>481</v>
      </c>
      <c r="C121" s="251" t="s">
        <v>231</v>
      </c>
      <c r="D121" s="97" t="s">
        <v>294</v>
      </c>
      <c r="E121" s="98">
        <v>46238</v>
      </c>
      <c r="F121" s="98">
        <v>46238</v>
      </c>
      <c r="G121" s="252" t="s">
        <v>482</v>
      </c>
      <c r="H121" s="96"/>
      <c r="I121" s="99"/>
      <c r="J121" s="96"/>
      <c r="K121" s="96"/>
      <c r="L121" s="96"/>
      <c r="M121" s="96"/>
      <c r="N121" s="96"/>
      <c r="O121" s="96"/>
      <c r="P121" s="96"/>
      <c r="Q121" s="96"/>
      <c r="R121" t="str">
        <f t="shared" si="1"/>
        <v>E10 Deploy</v>
      </c>
    </row>
    <row r="122" spans="1:18" x14ac:dyDescent="0.55000000000000004">
      <c r="A122" s="100" t="s">
        <v>369</v>
      </c>
      <c r="B122" s="101" t="s">
        <v>483</v>
      </c>
      <c r="C122" s="251" t="s">
        <v>231</v>
      </c>
      <c r="D122" s="102" t="s">
        <v>294</v>
      </c>
      <c r="E122" s="103">
        <v>46238</v>
      </c>
      <c r="F122" s="103">
        <v>46238</v>
      </c>
      <c r="G122" s="253" t="s">
        <v>484</v>
      </c>
      <c r="H122" s="101"/>
      <c r="I122" s="99"/>
      <c r="J122" s="101"/>
      <c r="K122" s="101"/>
      <c r="L122" s="101"/>
      <c r="M122" s="101"/>
      <c r="N122" s="101"/>
      <c r="O122" s="101"/>
      <c r="P122" s="101"/>
      <c r="Q122" s="101"/>
      <c r="R122" t="str">
        <f t="shared" si="1"/>
        <v>E10 Deploy</v>
      </c>
    </row>
    <row r="123" spans="1:18" x14ac:dyDescent="0.55000000000000004">
      <c r="A123" s="95" t="s">
        <v>369</v>
      </c>
      <c r="B123" s="96" t="s">
        <v>485</v>
      </c>
      <c r="C123" s="251" t="s">
        <v>231</v>
      </c>
      <c r="D123" s="97" t="s">
        <v>294</v>
      </c>
      <c r="E123" s="98">
        <v>46239</v>
      </c>
      <c r="F123" s="98">
        <v>46239</v>
      </c>
      <c r="G123" s="252" t="s">
        <v>486</v>
      </c>
      <c r="H123" s="96"/>
      <c r="I123" s="105"/>
      <c r="J123" s="96"/>
      <c r="K123" s="96"/>
      <c r="L123" s="96"/>
      <c r="M123" s="96"/>
      <c r="N123" s="96"/>
      <c r="O123" s="96"/>
      <c r="P123" s="96"/>
      <c r="Q123" s="96"/>
      <c r="R123" t="str">
        <f t="shared" si="1"/>
        <v>E10 Deploy</v>
      </c>
    </row>
    <row r="124" spans="1:18" x14ac:dyDescent="0.55000000000000004">
      <c r="A124" s="100" t="s">
        <v>369</v>
      </c>
      <c r="B124" s="101" t="s">
        <v>487</v>
      </c>
      <c r="C124" s="251" t="s">
        <v>231</v>
      </c>
      <c r="D124" s="102" t="s">
        <v>294</v>
      </c>
      <c r="E124" s="103">
        <v>46239</v>
      </c>
      <c r="F124" s="103">
        <v>46240</v>
      </c>
      <c r="G124" s="253" t="s">
        <v>488</v>
      </c>
      <c r="H124" s="101"/>
      <c r="I124" s="105"/>
      <c r="J124" s="101"/>
      <c r="K124" s="101"/>
      <c r="L124" s="101"/>
      <c r="M124" s="101"/>
      <c r="N124" s="101"/>
      <c r="O124" s="101"/>
      <c r="P124" s="101"/>
      <c r="Q124" s="101"/>
      <c r="R124" t="str">
        <f t="shared" si="1"/>
        <v>E10 Deploy</v>
      </c>
    </row>
    <row r="125" spans="1:18" x14ac:dyDescent="0.55000000000000004">
      <c r="A125" s="110" t="s">
        <v>369</v>
      </c>
      <c r="B125" s="111" t="s">
        <v>489</v>
      </c>
      <c r="C125" s="254" t="s">
        <v>231</v>
      </c>
      <c r="D125" s="112" t="s">
        <v>294</v>
      </c>
      <c r="E125" s="113">
        <v>46238</v>
      </c>
      <c r="F125" s="113">
        <v>46238</v>
      </c>
      <c r="G125" s="255" t="s">
        <v>490</v>
      </c>
      <c r="H125" s="111"/>
      <c r="I125" s="114"/>
      <c r="J125" s="111"/>
      <c r="K125" s="111"/>
      <c r="L125" s="111"/>
      <c r="M125" s="111"/>
      <c r="N125" s="111"/>
      <c r="O125" s="111"/>
      <c r="P125" s="111"/>
      <c r="Q125" s="111"/>
      <c r="R125" t="str">
        <f t="shared" si="1"/>
        <v>E10 Deploy</v>
      </c>
    </row>
    <row r="126" spans="1:18" ht="21" customHeight="1" x14ac:dyDescent="0.55000000000000004">
      <c r="A126" s="115" t="s">
        <v>369</v>
      </c>
      <c r="B126" s="116" t="s">
        <v>491</v>
      </c>
      <c r="C126" s="254" t="s">
        <v>231</v>
      </c>
      <c r="D126" s="117" t="s">
        <v>294</v>
      </c>
      <c r="E126" s="118">
        <v>46239</v>
      </c>
      <c r="F126" s="118">
        <v>46239</v>
      </c>
      <c r="G126" s="256" t="s">
        <v>492</v>
      </c>
      <c r="H126" s="116"/>
      <c r="I126" s="119"/>
      <c r="J126" s="116"/>
      <c r="K126" s="116"/>
      <c r="L126" s="116"/>
      <c r="M126" s="116"/>
      <c r="N126" s="116"/>
      <c r="O126" s="116"/>
      <c r="P126" s="116"/>
      <c r="Q126" s="116"/>
      <c r="R126" t="str">
        <f t="shared" si="1"/>
        <v>E10 Deploy</v>
      </c>
    </row>
    <row r="127" spans="1:18" ht="21" customHeight="1" x14ac:dyDescent="0.55000000000000004">
      <c r="A127" s="120" t="s">
        <v>292</v>
      </c>
      <c r="B127" s="121" t="s">
        <v>493</v>
      </c>
      <c r="C127" s="267" t="s">
        <v>231</v>
      </c>
      <c r="D127" s="123" t="s">
        <v>294</v>
      </c>
      <c r="E127" s="124">
        <v>46239</v>
      </c>
      <c r="F127" s="124">
        <v>46239</v>
      </c>
      <c r="G127" s="257" t="s">
        <v>494</v>
      </c>
      <c r="H127" s="121"/>
      <c r="I127" s="125"/>
      <c r="J127" s="121"/>
      <c r="K127" s="121"/>
      <c r="L127" s="121"/>
      <c r="M127" s="121"/>
      <c r="N127" s="121"/>
      <c r="O127" s="121"/>
      <c r="P127" s="121"/>
      <c r="Q127" s="121"/>
      <c r="R127" t="str">
        <f t="shared" si="1"/>
        <v>E7 Mobile</v>
      </c>
    </row>
    <row r="128" spans="1:18" x14ac:dyDescent="0.55000000000000004">
      <c r="A128" s="126" t="s">
        <v>292</v>
      </c>
      <c r="B128" s="127" t="s">
        <v>495</v>
      </c>
      <c r="C128" s="258" t="s">
        <v>231</v>
      </c>
      <c r="D128" s="128" t="s">
        <v>294</v>
      </c>
      <c r="E128" s="129">
        <v>46239</v>
      </c>
      <c r="F128" s="129">
        <v>46239</v>
      </c>
      <c r="G128" s="259" t="s">
        <v>496</v>
      </c>
      <c r="H128" s="127"/>
      <c r="I128" s="130"/>
      <c r="J128" s="127"/>
      <c r="K128" s="127"/>
      <c r="L128" s="127"/>
      <c r="M128" s="127"/>
      <c r="N128" s="127"/>
      <c r="O128" s="127"/>
      <c r="P128" s="127"/>
      <c r="Q128" s="127"/>
      <c r="R128" t="str">
        <f t="shared" si="1"/>
        <v>E7 Mobile</v>
      </c>
    </row>
    <row r="129" spans="1:18" x14ac:dyDescent="0.55000000000000004">
      <c r="A129" s="120" t="s">
        <v>292</v>
      </c>
      <c r="B129" s="121" t="s">
        <v>497</v>
      </c>
      <c r="C129" s="258" t="s">
        <v>231</v>
      </c>
      <c r="D129" s="123" t="s">
        <v>294</v>
      </c>
      <c r="E129" s="124">
        <v>46239</v>
      </c>
      <c r="F129" s="124">
        <v>46239</v>
      </c>
      <c r="G129" s="257" t="s">
        <v>498</v>
      </c>
      <c r="H129" s="121"/>
      <c r="I129" s="130"/>
      <c r="J129" s="121"/>
      <c r="K129" s="121"/>
      <c r="L129" s="121"/>
      <c r="M129" s="121"/>
      <c r="N129" s="121"/>
      <c r="O129" s="121"/>
      <c r="P129" s="121"/>
      <c r="Q129" s="121"/>
      <c r="R129" t="str">
        <f t="shared" si="1"/>
        <v>E7 Mobile</v>
      </c>
    </row>
    <row r="130" spans="1:18" x14ac:dyDescent="0.55000000000000004">
      <c r="A130" s="126" t="s">
        <v>398</v>
      </c>
      <c r="B130" s="127" t="s">
        <v>499</v>
      </c>
      <c r="C130" s="258" t="s">
        <v>231</v>
      </c>
      <c r="D130" s="128" t="s">
        <v>284</v>
      </c>
      <c r="E130" s="129">
        <v>46239</v>
      </c>
      <c r="F130" s="129">
        <v>46239</v>
      </c>
      <c r="G130" s="259" t="s">
        <v>500</v>
      </c>
      <c r="H130" s="127"/>
      <c r="I130" s="130"/>
      <c r="J130" s="127"/>
      <c r="K130" s="127"/>
      <c r="L130" s="127"/>
      <c r="M130" s="127"/>
      <c r="N130" s="127"/>
      <c r="O130" s="127"/>
      <c r="P130" s="127"/>
      <c r="Q130" s="127"/>
      <c r="R130" t="str">
        <f t="shared" si="1"/>
        <v>E11 Ops Resilience</v>
      </c>
    </row>
    <row r="131" spans="1:18" x14ac:dyDescent="0.55000000000000004">
      <c r="A131" s="120" t="s">
        <v>292</v>
      </c>
      <c r="B131" s="121" t="s">
        <v>501</v>
      </c>
      <c r="C131" s="258" t="s">
        <v>231</v>
      </c>
      <c r="D131" s="123" t="s">
        <v>294</v>
      </c>
      <c r="E131" s="124">
        <v>46239</v>
      </c>
      <c r="F131" s="124">
        <v>46239</v>
      </c>
      <c r="G131" s="257" t="s">
        <v>502</v>
      </c>
      <c r="H131" s="121"/>
      <c r="I131" s="132"/>
      <c r="J131" s="121"/>
      <c r="K131" s="121"/>
      <c r="L131" s="121"/>
      <c r="M131" s="121"/>
      <c r="N131" s="121"/>
      <c r="O131" s="121"/>
      <c r="P131" s="121"/>
      <c r="Q131" s="121"/>
      <c r="R131" t="str">
        <f t="shared" si="1"/>
        <v>E7 Mobile</v>
      </c>
    </row>
    <row r="132" spans="1:18" x14ac:dyDescent="0.55000000000000004">
      <c r="A132" s="126" t="s">
        <v>292</v>
      </c>
      <c r="B132" s="127" t="s">
        <v>503</v>
      </c>
      <c r="C132" s="131" t="s">
        <v>16</v>
      </c>
      <c r="D132" s="128" t="s">
        <v>294</v>
      </c>
      <c r="E132" s="129">
        <v>46240</v>
      </c>
      <c r="F132" s="129">
        <v>46240</v>
      </c>
      <c r="G132" s="259" t="s">
        <v>504</v>
      </c>
      <c r="H132" s="127"/>
      <c r="I132" s="132"/>
      <c r="J132" s="127"/>
      <c r="K132" s="127"/>
      <c r="L132" s="127"/>
      <c r="M132" s="127"/>
      <c r="N132" s="127"/>
      <c r="O132" s="127"/>
      <c r="P132" s="127"/>
      <c r="Q132" s="127"/>
      <c r="R132" t="str">
        <f t="shared" si="1"/>
        <v>E7 Mobile</v>
      </c>
    </row>
    <row r="133" spans="1:18" x14ac:dyDescent="0.55000000000000004">
      <c r="A133" s="137" t="s">
        <v>338</v>
      </c>
      <c r="B133" s="138" t="s">
        <v>505</v>
      </c>
      <c r="C133" s="260" t="s">
        <v>231</v>
      </c>
      <c r="D133" s="139" t="s">
        <v>242</v>
      </c>
      <c r="E133" s="140">
        <v>46239</v>
      </c>
      <c r="F133" s="140">
        <v>46239</v>
      </c>
      <c r="G133" s="261" t="s">
        <v>506</v>
      </c>
      <c r="H133" s="138"/>
      <c r="I133" s="141"/>
      <c r="J133" s="138"/>
      <c r="K133" s="138"/>
      <c r="L133" s="138"/>
      <c r="M133" s="138"/>
      <c r="N133" s="138"/>
      <c r="O133" s="138"/>
      <c r="P133" s="138"/>
      <c r="Q133" s="138"/>
      <c r="R133" t="str">
        <f t="shared" si="1"/>
        <v>E9 Data Ops</v>
      </c>
    </row>
    <row r="134" spans="1:18" x14ac:dyDescent="0.55000000000000004">
      <c r="A134" s="142" t="s">
        <v>338</v>
      </c>
      <c r="B134" s="143" t="s">
        <v>507</v>
      </c>
      <c r="C134" s="260" t="s">
        <v>231</v>
      </c>
      <c r="D134" s="144" t="s">
        <v>242</v>
      </c>
      <c r="E134" s="145">
        <v>46239</v>
      </c>
      <c r="F134" s="145">
        <v>46239</v>
      </c>
      <c r="G134" s="262" t="s">
        <v>508</v>
      </c>
      <c r="H134" s="143"/>
      <c r="I134" s="141"/>
      <c r="J134" s="143"/>
      <c r="K134" s="143"/>
      <c r="L134" s="143"/>
      <c r="M134" s="143"/>
      <c r="N134" s="143"/>
      <c r="O134" s="143"/>
      <c r="P134" s="143"/>
      <c r="Q134" s="143"/>
      <c r="R134" t="str">
        <f t="shared" ref="R134:R197" si="2">IF($A134&lt;&gt;"",$A134,R133)</f>
        <v>E9 Data Ops</v>
      </c>
    </row>
    <row r="135" spans="1:18" x14ac:dyDescent="0.55000000000000004">
      <c r="A135" s="153" t="s">
        <v>338</v>
      </c>
      <c r="B135" s="154" t="s">
        <v>509</v>
      </c>
      <c r="C135" s="155" t="s">
        <v>16</v>
      </c>
      <c r="D135" s="156" t="s">
        <v>242</v>
      </c>
      <c r="E135" s="157">
        <v>46255</v>
      </c>
      <c r="F135" s="157">
        <v>46255</v>
      </c>
      <c r="G135" s="263" t="s">
        <v>510</v>
      </c>
      <c r="H135" s="154"/>
      <c r="I135" s="154"/>
      <c r="J135" s="154"/>
      <c r="K135" s="158"/>
      <c r="L135" s="154"/>
      <c r="M135" s="154"/>
      <c r="N135" s="154"/>
      <c r="O135" s="154"/>
      <c r="P135" s="154"/>
      <c r="Q135" s="154"/>
      <c r="R135" t="str">
        <f t="shared" si="2"/>
        <v>E9 Data Ops</v>
      </c>
    </row>
    <row r="136" spans="1:18" x14ac:dyDescent="0.55000000000000004">
      <c r="A136" s="162" t="s">
        <v>338</v>
      </c>
      <c r="B136" s="163" t="s">
        <v>511</v>
      </c>
      <c r="C136" s="264" t="s">
        <v>231</v>
      </c>
      <c r="D136" s="164" t="s">
        <v>242</v>
      </c>
      <c r="E136" s="165">
        <v>46239</v>
      </c>
      <c r="F136" s="165">
        <v>46239</v>
      </c>
      <c r="G136" s="265" t="s">
        <v>512</v>
      </c>
      <c r="H136" s="163"/>
      <c r="I136" s="166"/>
      <c r="J136" s="163"/>
      <c r="K136" s="163"/>
      <c r="L136" s="163"/>
      <c r="M136" s="163"/>
      <c r="N136" s="163"/>
      <c r="O136" s="163"/>
      <c r="P136" s="163"/>
      <c r="Q136" s="163"/>
      <c r="R136" t="str">
        <f t="shared" si="2"/>
        <v>E9 Data Ops</v>
      </c>
    </row>
    <row r="137" spans="1:18" x14ac:dyDescent="0.55000000000000004">
      <c r="A137" s="174" t="s">
        <v>271</v>
      </c>
      <c r="B137" s="175" t="s">
        <v>513</v>
      </c>
      <c r="C137" s="267" t="s">
        <v>231</v>
      </c>
      <c r="D137" s="177" t="s">
        <v>242</v>
      </c>
      <c r="E137" s="178">
        <v>46239</v>
      </c>
      <c r="F137" s="178">
        <v>46239</v>
      </c>
      <c r="G137" s="266" t="s">
        <v>514</v>
      </c>
      <c r="H137" s="175"/>
      <c r="I137" s="179"/>
      <c r="J137" s="175"/>
      <c r="K137" s="175"/>
      <c r="L137" s="175"/>
      <c r="M137" s="175"/>
      <c r="N137" s="175"/>
      <c r="O137" s="175"/>
      <c r="P137" s="175"/>
      <c r="Q137" s="175"/>
      <c r="R137" t="str">
        <f t="shared" si="2"/>
        <v>E5 ML Tennis</v>
      </c>
    </row>
    <row r="138" spans="1:18" x14ac:dyDescent="0.55000000000000004">
      <c r="A138" s="180" t="s">
        <v>271</v>
      </c>
      <c r="B138" s="181" t="s">
        <v>515</v>
      </c>
      <c r="C138" s="267" t="s">
        <v>231</v>
      </c>
      <c r="D138" s="182" t="s">
        <v>284</v>
      </c>
      <c r="E138" s="183">
        <v>46239</v>
      </c>
      <c r="F138" s="183">
        <v>46239</v>
      </c>
      <c r="G138" s="268" t="s">
        <v>516</v>
      </c>
      <c r="H138" s="181"/>
      <c r="I138" s="184"/>
      <c r="J138" s="181"/>
      <c r="K138" s="181"/>
      <c r="L138" s="181"/>
      <c r="M138" s="181"/>
      <c r="N138" s="181"/>
      <c r="O138" s="181"/>
      <c r="P138" s="181"/>
      <c r="Q138" s="181"/>
      <c r="R138" t="str">
        <f t="shared" si="2"/>
        <v>E5 ML Tennis</v>
      </c>
    </row>
    <row r="139" spans="1:18" x14ac:dyDescent="0.55000000000000004">
      <c r="A139" s="174" t="s">
        <v>271</v>
      </c>
      <c r="B139" s="175" t="s">
        <v>517</v>
      </c>
      <c r="C139" s="267" t="s">
        <v>231</v>
      </c>
      <c r="D139" s="177" t="s">
        <v>284</v>
      </c>
      <c r="E139" s="178">
        <v>46239</v>
      </c>
      <c r="F139" s="178">
        <v>46239</v>
      </c>
      <c r="G139" s="266" t="s">
        <v>518</v>
      </c>
      <c r="H139" s="175"/>
      <c r="I139" s="184"/>
      <c r="J139" s="175"/>
      <c r="K139" s="175"/>
      <c r="L139" s="175"/>
      <c r="M139" s="175"/>
      <c r="N139" s="175"/>
      <c r="O139" s="175"/>
      <c r="P139" s="175"/>
      <c r="Q139" s="175"/>
      <c r="R139" t="str">
        <f t="shared" si="2"/>
        <v>E5 ML Tennis</v>
      </c>
    </row>
    <row r="140" spans="1:18" ht="21" customHeight="1" x14ac:dyDescent="0.55000000000000004">
      <c r="A140" s="180" t="s">
        <v>338</v>
      </c>
      <c r="B140" s="181" t="s">
        <v>519</v>
      </c>
      <c r="C140" s="185" t="s">
        <v>16</v>
      </c>
      <c r="D140" s="182" t="s">
        <v>242</v>
      </c>
      <c r="E140" s="183">
        <v>46242</v>
      </c>
      <c r="F140" s="183">
        <v>46242</v>
      </c>
      <c r="G140" s="268" t="s">
        <v>520</v>
      </c>
      <c r="H140" s="181"/>
      <c r="I140" s="186"/>
      <c r="J140" s="181"/>
      <c r="K140" s="181"/>
      <c r="L140" s="181"/>
      <c r="M140" s="181"/>
      <c r="N140" s="181"/>
      <c r="O140" s="181"/>
      <c r="P140" s="181"/>
      <c r="Q140" s="181"/>
      <c r="R140" t="str">
        <f t="shared" si="2"/>
        <v>E9 Data Ops</v>
      </c>
    </row>
    <row r="141" spans="1:18" x14ac:dyDescent="0.55000000000000004">
      <c r="A141" s="174" t="s">
        <v>338</v>
      </c>
      <c r="B141" s="175" t="s">
        <v>521</v>
      </c>
      <c r="C141" s="267" t="s">
        <v>231</v>
      </c>
      <c r="D141" s="177" t="s">
        <v>232</v>
      </c>
      <c r="E141" s="178">
        <v>46240</v>
      </c>
      <c r="F141" s="178">
        <v>46240</v>
      </c>
      <c r="G141" s="266" t="s">
        <v>522</v>
      </c>
      <c r="H141" s="175"/>
      <c r="I141" s="186"/>
      <c r="J141" s="175"/>
      <c r="K141" s="175"/>
      <c r="L141" s="175"/>
      <c r="M141" s="175"/>
      <c r="N141" s="175"/>
      <c r="O141" s="175"/>
      <c r="P141" s="175"/>
      <c r="Q141" s="175"/>
      <c r="R141" t="str">
        <f t="shared" si="2"/>
        <v>E9 Data Ops</v>
      </c>
    </row>
    <row r="142" spans="1:18" x14ac:dyDescent="0.55000000000000004">
      <c r="A142" s="180" t="s">
        <v>292</v>
      </c>
      <c r="B142" s="181" t="s">
        <v>523</v>
      </c>
      <c r="C142" s="185" t="s">
        <v>16</v>
      </c>
      <c r="D142" s="182" t="s">
        <v>294</v>
      </c>
      <c r="E142" s="183">
        <v>46273</v>
      </c>
      <c r="F142" s="183">
        <v>46277</v>
      </c>
      <c r="G142" s="268" t="s">
        <v>524</v>
      </c>
      <c r="H142" s="181"/>
      <c r="I142" s="181"/>
      <c r="J142" s="181"/>
      <c r="K142" s="181"/>
      <c r="L142" s="181"/>
      <c r="M142" s="181"/>
      <c r="N142" s="186"/>
      <c r="O142" s="181"/>
      <c r="P142" s="181"/>
      <c r="Q142" s="181"/>
      <c r="R142" t="str">
        <f t="shared" si="2"/>
        <v>E7 Mobile</v>
      </c>
    </row>
    <row r="143" spans="1:18" x14ac:dyDescent="0.55000000000000004">
      <c r="A143" s="174" t="s">
        <v>292</v>
      </c>
      <c r="B143" s="175" t="s">
        <v>525</v>
      </c>
      <c r="C143" s="267" t="s">
        <v>231</v>
      </c>
      <c r="D143" s="177" t="s">
        <v>294</v>
      </c>
      <c r="E143" s="178">
        <v>46239</v>
      </c>
      <c r="F143" s="178">
        <v>46239</v>
      </c>
      <c r="G143" s="266" t="s">
        <v>526</v>
      </c>
      <c r="H143" s="175"/>
      <c r="I143" s="184"/>
      <c r="J143" s="175"/>
      <c r="K143" s="175"/>
      <c r="L143" s="175"/>
      <c r="M143" s="175"/>
      <c r="N143" s="175"/>
      <c r="O143" s="175"/>
      <c r="P143" s="175"/>
      <c r="Q143" s="175"/>
      <c r="R143" t="str">
        <f t="shared" si="2"/>
        <v>E7 Mobile</v>
      </c>
    </row>
    <row r="144" spans="1:18" x14ac:dyDescent="0.55000000000000004">
      <c r="A144" s="191" t="s">
        <v>308</v>
      </c>
      <c r="B144" s="192" t="s">
        <v>527</v>
      </c>
      <c r="C144" s="269" t="s">
        <v>231</v>
      </c>
      <c r="D144" s="193" t="s">
        <v>242</v>
      </c>
      <c r="E144" s="194">
        <v>46240</v>
      </c>
      <c r="F144" s="194">
        <v>46240</v>
      </c>
      <c r="G144" s="270" t="s">
        <v>528</v>
      </c>
      <c r="H144" s="192"/>
      <c r="I144" s="195"/>
      <c r="J144" s="192"/>
      <c r="K144" s="192"/>
      <c r="L144" s="192"/>
      <c r="M144" s="192"/>
      <c r="N144" s="192"/>
      <c r="O144" s="192"/>
      <c r="P144" s="192"/>
      <c r="Q144" s="192"/>
      <c r="R144" t="str">
        <f t="shared" si="2"/>
        <v>E8 Model Quality</v>
      </c>
    </row>
    <row r="145" spans="1:18" x14ac:dyDescent="0.55000000000000004">
      <c r="A145" s="196" t="s">
        <v>308</v>
      </c>
      <c r="B145" s="197" t="s">
        <v>529</v>
      </c>
      <c r="C145" s="269" t="s">
        <v>231</v>
      </c>
      <c r="D145" s="199" t="s">
        <v>254</v>
      </c>
      <c r="E145" s="200">
        <v>46240</v>
      </c>
      <c r="F145" s="200">
        <v>46240</v>
      </c>
      <c r="G145" s="271" t="s">
        <v>530</v>
      </c>
      <c r="H145" s="197"/>
      <c r="I145" s="201"/>
      <c r="J145" s="197"/>
      <c r="K145" s="197"/>
      <c r="L145" s="197"/>
      <c r="M145" s="197"/>
      <c r="N145" s="197"/>
      <c r="O145" s="197"/>
      <c r="P145" s="197"/>
      <c r="Q145" s="197"/>
      <c r="R145" t="str">
        <f t="shared" si="2"/>
        <v>E8 Model Quality</v>
      </c>
    </row>
    <row r="146" spans="1:18" x14ac:dyDescent="0.55000000000000004">
      <c r="A146" s="191" t="s">
        <v>271</v>
      </c>
      <c r="B146" s="192" t="s">
        <v>531</v>
      </c>
      <c r="C146" s="269" t="s">
        <v>231</v>
      </c>
      <c r="D146" s="193" t="s">
        <v>284</v>
      </c>
      <c r="E146" s="194">
        <v>46240</v>
      </c>
      <c r="F146" s="194">
        <v>46240</v>
      </c>
      <c r="G146" s="270" t="s">
        <v>532</v>
      </c>
      <c r="H146" s="192"/>
      <c r="I146" s="195"/>
      <c r="J146" s="192"/>
      <c r="K146" s="192"/>
      <c r="L146" s="192"/>
      <c r="M146" s="192"/>
      <c r="N146" s="192"/>
      <c r="O146" s="192"/>
      <c r="P146" s="192"/>
      <c r="Q146" s="192"/>
      <c r="R146" t="str">
        <f t="shared" si="2"/>
        <v>E5 ML Tennis</v>
      </c>
    </row>
    <row r="147" spans="1:18" x14ac:dyDescent="0.55000000000000004">
      <c r="A147" s="196" t="s">
        <v>271</v>
      </c>
      <c r="B147" s="197" t="s">
        <v>533</v>
      </c>
      <c r="C147" s="269" t="s">
        <v>231</v>
      </c>
      <c r="D147" s="199" t="s">
        <v>254</v>
      </c>
      <c r="E147" s="200">
        <v>46240</v>
      </c>
      <c r="F147" s="200">
        <v>46240</v>
      </c>
      <c r="G147" s="271" t="s">
        <v>534</v>
      </c>
      <c r="H147" s="197"/>
      <c r="I147" s="195"/>
      <c r="J147" s="197"/>
      <c r="K147" s="197"/>
      <c r="L147" s="197"/>
      <c r="M147" s="197"/>
      <c r="N147" s="197"/>
      <c r="O147" s="197"/>
      <c r="P147" s="197"/>
      <c r="Q147" s="197"/>
      <c r="R147" t="str">
        <f t="shared" si="2"/>
        <v>E5 ML Tennis</v>
      </c>
    </row>
    <row r="148" spans="1:18" x14ac:dyDescent="0.55000000000000004">
      <c r="A148" s="191" t="s">
        <v>271</v>
      </c>
      <c r="B148" s="192" t="s">
        <v>535</v>
      </c>
      <c r="C148" s="269" t="s">
        <v>231</v>
      </c>
      <c r="D148" s="193" t="s">
        <v>254</v>
      </c>
      <c r="E148" s="194">
        <v>46240</v>
      </c>
      <c r="F148" s="194">
        <v>46240</v>
      </c>
      <c r="G148" s="270" t="s">
        <v>536</v>
      </c>
      <c r="H148" s="192"/>
      <c r="I148" s="195"/>
      <c r="J148" s="192"/>
      <c r="K148" s="192"/>
      <c r="L148" s="192"/>
      <c r="M148" s="192"/>
      <c r="N148" s="192"/>
      <c r="O148" s="192"/>
      <c r="P148" s="192"/>
      <c r="Q148" s="192"/>
      <c r="R148" t="str">
        <f t="shared" si="2"/>
        <v>E5 ML Tennis</v>
      </c>
    </row>
    <row r="149" spans="1:18" ht="21" customHeight="1" x14ac:dyDescent="0.55000000000000004">
      <c r="A149" s="196" t="s">
        <v>271</v>
      </c>
      <c r="B149" s="197" t="s">
        <v>537</v>
      </c>
      <c r="C149" s="269" t="s">
        <v>231</v>
      </c>
      <c r="D149" s="199" t="s">
        <v>254</v>
      </c>
      <c r="E149" s="200">
        <v>46244</v>
      </c>
      <c r="F149" s="200">
        <v>46247</v>
      </c>
      <c r="G149" s="271" t="s">
        <v>538</v>
      </c>
      <c r="H149" s="197"/>
      <c r="I149" s="197"/>
      <c r="J149" s="203"/>
      <c r="K149" s="197"/>
      <c r="L149" s="197"/>
      <c r="M149" s="197"/>
      <c r="N149" s="197"/>
      <c r="O149" s="197"/>
      <c r="P149" s="197"/>
      <c r="Q149" s="197"/>
      <c r="R149" t="str">
        <f t="shared" si="2"/>
        <v>E5 ML Tennis</v>
      </c>
    </row>
    <row r="150" spans="1:18" x14ac:dyDescent="0.55000000000000004">
      <c r="A150" s="191" t="s">
        <v>271</v>
      </c>
      <c r="B150" s="192" t="s">
        <v>539</v>
      </c>
      <c r="C150" s="269" t="s">
        <v>231</v>
      </c>
      <c r="D150" s="193" t="s">
        <v>254</v>
      </c>
      <c r="E150" s="194">
        <v>46247</v>
      </c>
      <c r="F150" s="194">
        <v>46249</v>
      </c>
      <c r="G150" s="270" t="s">
        <v>540</v>
      </c>
      <c r="H150" s="192"/>
      <c r="I150" s="192"/>
      <c r="J150" s="203"/>
      <c r="K150" s="192"/>
      <c r="L150" s="192"/>
      <c r="M150" s="192"/>
      <c r="N150" s="192"/>
      <c r="O150" s="192"/>
      <c r="P150" s="192"/>
      <c r="Q150" s="192"/>
      <c r="R150" t="str">
        <f t="shared" si="2"/>
        <v>E5 ML Tennis</v>
      </c>
    </row>
    <row r="151" spans="1:18" x14ac:dyDescent="0.55000000000000004">
      <c r="A151" s="196" t="s">
        <v>271</v>
      </c>
      <c r="B151" s="197" t="s">
        <v>541</v>
      </c>
      <c r="C151" s="269" t="s">
        <v>231</v>
      </c>
      <c r="D151" s="199" t="s">
        <v>254</v>
      </c>
      <c r="E151" s="200">
        <v>46249</v>
      </c>
      <c r="F151" s="200">
        <v>46252</v>
      </c>
      <c r="G151" s="271" t="s">
        <v>542</v>
      </c>
      <c r="H151" s="197"/>
      <c r="I151" s="197"/>
      <c r="J151" s="203"/>
      <c r="K151" s="203"/>
      <c r="L151" s="197"/>
      <c r="M151" s="197"/>
      <c r="N151" s="197"/>
      <c r="O151" s="197"/>
      <c r="P151" s="197"/>
      <c r="Q151" s="197"/>
      <c r="R151" t="str">
        <f t="shared" si="2"/>
        <v>E5 ML Tennis</v>
      </c>
    </row>
    <row r="152" spans="1:18" x14ac:dyDescent="0.55000000000000004">
      <c r="A152" s="191" t="s">
        <v>271</v>
      </c>
      <c r="B152" s="192" t="s">
        <v>543</v>
      </c>
      <c r="C152" s="269" t="s">
        <v>231</v>
      </c>
      <c r="D152" s="193" t="s">
        <v>284</v>
      </c>
      <c r="E152" s="194">
        <v>46252</v>
      </c>
      <c r="F152" s="194">
        <v>46254</v>
      </c>
      <c r="G152" s="270" t="s">
        <v>544</v>
      </c>
      <c r="H152" s="192"/>
      <c r="I152" s="192"/>
      <c r="J152" s="192"/>
      <c r="K152" s="203"/>
      <c r="L152" s="192"/>
      <c r="M152" s="192"/>
      <c r="N152" s="192"/>
      <c r="O152" s="192"/>
      <c r="P152" s="192"/>
      <c r="Q152" s="192"/>
      <c r="R152" t="str">
        <f t="shared" si="2"/>
        <v>E5 ML Tennis</v>
      </c>
    </row>
    <row r="153" spans="1:18" x14ac:dyDescent="0.55000000000000004">
      <c r="A153" s="196" t="s">
        <v>271</v>
      </c>
      <c r="B153" s="197" t="s">
        <v>545</v>
      </c>
      <c r="C153" s="269" t="s">
        <v>231</v>
      </c>
      <c r="D153" s="199" t="s">
        <v>242</v>
      </c>
      <c r="E153" s="200">
        <v>46254</v>
      </c>
      <c r="F153" s="200">
        <v>46254</v>
      </c>
      <c r="G153" s="271" t="s">
        <v>546</v>
      </c>
      <c r="H153" s="197"/>
      <c r="I153" s="197"/>
      <c r="J153" s="197"/>
      <c r="K153" s="204"/>
      <c r="L153" s="197"/>
      <c r="M153" s="197"/>
      <c r="N153" s="197"/>
      <c r="O153" s="197"/>
      <c r="P153" s="197"/>
      <c r="Q153" s="197"/>
      <c r="R153" t="str">
        <f t="shared" si="2"/>
        <v>E5 ML Tennis</v>
      </c>
    </row>
    <row r="154" spans="1:18" ht="28.8" customHeight="1" x14ac:dyDescent="0.55000000000000004">
      <c r="A154" t="s">
        <v>271</v>
      </c>
      <c r="B154" t="s">
        <v>547</v>
      </c>
      <c r="C154" s="269" t="s">
        <v>231</v>
      </c>
      <c r="D154" t="s">
        <v>242</v>
      </c>
      <c r="E154" s="209">
        <v>46243</v>
      </c>
      <c r="F154" s="209">
        <v>46243</v>
      </c>
      <c r="G154" s="214" t="s">
        <v>548</v>
      </c>
      <c r="I154" t="s">
        <v>549</v>
      </c>
      <c r="R154" t="str">
        <f t="shared" si="2"/>
        <v>E5 ML Tennis</v>
      </c>
    </row>
    <row r="155" spans="1:18" ht="28.8" customHeight="1" x14ac:dyDescent="0.55000000000000004">
      <c r="A155" t="s">
        <v>271</v>
      </c>
      <c r="B155" t="s">
        <v>550</v>
      </c>
      <c r="C155" s="272" t="s">
        <v>231</v>
      </c>
      <c r="D155" t="s">
        <v>242</v>
      </c>
      <c r="E155" s="209">
        <v>46243</v>
      </c>
      <c r="F155" s="209">
        <v>46243</v>
      </c>
      <c r="G155" s="214" t="s">
        <v>551</v>
      </c>
      <c r="I155" t="s">
        <v>549</v>
      </c>
      <c r="R155" t="str">
        <f t="shared" si="2"/>
        <v>E5 ML Tennis</v>
      </c>
    </row>
    <row r="156" spans="1:18" ht="57.6" customHeight="1" x14ac:dyDescent="0.55000000000000004">
      <c r="A156" t="s">
        <v>271</v>
      </c>
      <c r="B156" t="s">
        <v>552</v>
      </c>
      <c r="C156" s="272" t="s">
        <v>231</v>
      </c>
      <c r="D156" t="s">
        <v>254</v>
      </c>
      <c r="E156" s="209">
        <v>46243</v>
      </c>
      <c r="F156" s="209">
        <v>46243</v>
      </c>
      <c r="G156" s="214" t="s">
        <v>553</v>
      </c>
      <c r="I156" t="s">
        <v>549</v>
      </c>
      <c r="R156" t="str">
        <f t="shared" si="2"/>
        <v>E5 ML Tennis</v>
      </c>
    </row>
    <row r="157" spans="1:18" ht="43.2" customHeight="1" x14ac:dyDescent="0.55000000000000004">
      <c r="A157" t="s">
        <v>271</v>
      </c>
      <c r="B157" t="s">
        <v>554</v>
      </c>
      <c r="C157" s="272" t="s">
        <v>231</v>
      </c>
      <c r="D157" t="s">
        <v>242</v>
      </c>
      <c r="E157" s="209">
        <v>46243</v>
      </c>
      <c r="F157" s="209">
        <v>46243</v>
      </c>
      <c r="G157" s="214" t="s">
        <v>555</v>
      </c>
      <c r="I157" t="s">
        <v>549</v>
      </c>
      <c r="R157" t="str">
        <f t="shared" si="2"/>
        <v>E5 ML Tennis</v>
      </c>
    </row>
    <row r="158" spans="1:18" ht="43.2" customHeight="1" x14ac:dyDescent="0.55000000000000004">
      <c r="A158" t="s">
        <v>338</v>
      </c>
      <c r="B158" t="s">
        <v>556</v>
      </c>
      <c r="C158" s="272" t="s">
        <v>231</v>
      </c>
      <c r="D158" t="s">
        <v>242</v>
      </c>
      <c r="E158" s="209">
        <v>46243</v>
      </c>
      <c r="F158" s="209">
        <v>46243</v>
      </c>
      <c r="G158" s="214" t="s">
        <v>557</v>
      </c>
      <c r="I158" t="s">
        <v>549</v>
      </c>
      <c r="R158" t="str">
        <f t="shared" si="2"/>
        <v>E9 Data Ops</v>
      </c>
    </row>
    <row r="159" spans="1:18" ht="28.8" customHeight="1" x14ac:dyDescent="0.55000000000000004">
      <c r="A159" t="s">
        <v>308</v>
      </c>
      <c r="B159" t="s">
        <v>558</v>
      </c>
      <c r="C159" s="272" t="s">
        <v>231</v>
      </c>
      <c r="D159" t="s">
        <v>254</v>
      </c>
      <c r="E159" s="209">
        <v>46243</v>
      </c>
      <c r="F159" s="209">
        <v>46243</v>
      </c>
      <c r="G159" s="214" t="s">
        <v>559</v>
      </c>
      <c r="I159" t="s">
        <v>549</v>
      </c>
      <c r="R159" t="str">
        <f t="shared" si="2"/>
        <v>E8 Model Quality</v>
      </c>
    </row>
    <row r="160" spans="1:18" ht="28.8" customHeight="1" x14ac:dyDescent="0.55000000000000004">
      <c r="A160" t="s">
        <v>369</v>
      </c>
      <c r="B160" t="s">
        <v>560</v>
      </c>
      <c r="C160" s="272" t="s">
        <v>231</v>
      </c>
      <c r="D160" t="s">
        <v>284</v>
      </c>
      <c r="E160" s="209">
        <v>46243</v>
      </c>
      <c r="F160" s="209">
        <v>46243</v>
      </c>
      <c r="G160" s="214" t="s">
        <v>561</v>
      </c>
      <c r="I160" t="s">
        <v>549</v>
      </c>
      <c r="R160" t="str">
        <f t="shared" si="2"/>
        <v>E10 Deploy</v>
      </c>
    </row>
    <row r="161" spans="1:18" ht="43.2" customHeight="1" x14ac:dyDescent="0.55000000000000004">
      <c r="A161" t="s">
        <v>308</v>
      </c>
      <c r="B161" t="s">
        <v>562</v>
      </c>
      <c r="C161" s="272" t="s">
        <v>231</v>
      </c>
      <c r="D161" t="s">
        <v>254</v>
      </c>
      <c r="E161" s="209">
        <v>46243</v>
      </c>
      <c r="F161" s="209">
        <v>46243</v>
      </c>
      <c r="G161" s="214" t="s">
        <v>563</v>
      </c>
      <c r="I161" t="s">
        <v>549</v>
      </c>
      <c r="R161" t="str">
        <f t="shared" si="2"/>
        <v>E8 Model Quality</v>
      </c>
    </row>
    <row r="162" spans="1:18" ht="43.2" customHeight="1" x14ac:dyDescent="0.55000000000000004">
      <c r="A162" t="s">
        <v>308</v>
      </c>
      <c r="B162" t="s">
        <v>564</v>
      </c>
      <c r="C162" s="272" t="s">
        <v>231</v>
      </c>
      <c r="D162" t="s">
        <v>254</v>
      </c>
      <c r="E162" s="209">
        <v>46243</v>
      </c>
      <c r="F162" s="209">
        <v>46243</v>
      </c>
      <c r="G162" s="214" t="s">
        <v>565</v>
      </c>
      <c r="I162" t="s">
        <v>549</v>
      </c>
      <c r="R162" t="str">
        <f t="shared" si="2"/>
        <v>E8 Model Quality</v>
      </c>
    </row>
    <row r="163" spans="1:18" ht="43.2" customHeight="1" x14ac:dyDescent="0.55000000000000004">
      <c r="A163" t="s">
        <v>308</v>
      </c>
      <c r="B163" t="s">
        <v>566</v>
      </c>
      <c r="C163" s="272" t="s">
        <v>231</v>
      </c>
      <c r="D163" t="s">
        <v>254</v>
      </c>
      <c r="E163" s="209">
        <v>46243</v>
      </c>
      <c r="F163" s="209">
        <v>46243</v>
      </c>
      <c r="G163" s="214" t="s">
        <v>567</v>
      </c>
      <c r="I163" t="s">
        <v>549</v>
      </c>
      <c r="R163" t="str">
        <f t="shared" si="2"/>
        <v>E8 Model Quality</v>
      </c>
    </row>
    <row r="164" spans="1:18" ht="28.8" customHeight="1" x14ac:dyDescent="0.55000000000000004">
      <c r="A164" t="s">
        <v>398</v>
      </c>
      <c r="B164" t="s">
        <v>568</v>
      </c>
      <c r="C164" s="272" t="s">
        <v>231</v>
      </c>
      <c r="D164" t="s">
        <v>569</v>
      </c>
      <c r="E164" s="209">
        <v>46243</v>
      </c>
      <c r="F164" s="209">
        <v>46243</v>
      </c>
      <c r="G164" s="214" t="s">
        <v>570</v>
      </c>
      <c r="I164" t="s">
        <v>549</v>
      </c>
      <c r="R164" t="str">
        <f t="shared" si="2"/>
        <v>E11 Ops Resilience</v>
      </c>
    </row>
    <row r="165" spans="1:18" ht="43.2" customHeight="1" x14ac:dyDescent="0.55000000000000004">
      <c r="A165" t="s">
        <v>338</v>
      </c>
      <c r="B165" t="s">
        <v>571</v>
      </c>
      <c r="C165" s="272" t="s">
        <v>231</v>
      </c>
      <c r="D165" t="s">
        <v>242</v>
      </c>
      <c r="E165" s="209">
        <v>46243</v>
      </c>
      <c r="F165" s="209">
        <v>46243</v>
      </c>
      <c r="G165" s="214" t="s">
        <v>572</v>
      </c>
      <c r="I165" t="s">
        <v>549</v>
      </c>
      <c r="R165" t="str">
        <f t="shared" si="2"/>
        <v>E9 Data Ops</v>
      </c>
    </row>
    <row r="166" spans="1:18" ht="28.8" customHeight="1" x14ac:dyDescent="0.55000000000000004">
      <c r="A166" t="s">
        <v>338</v>
      </c>
      <c r="B166" t="s">
        <v>573</v>
      </c>
      <c r="C166" s="272" t="s">
        <v>231</v>
      </c>
      <c r="D166" t="s">
        <v>242</v>
      </c>
      <c r="E166" s="209">
        <v>46243</v>
      </c>
      <c r="F166" s="209">
        <v>46243</v>
      </c>
      <c r="G166" s="214" t="s">
        <v>574</v>
      </c>
      <c r="I166" t="s">
        <v>549</v>
      </c>
      <c r="R166" t="str">
        <f t="shared" si="2"/>
        <v>E9 Data Ops</v>
      </c>
    </row>
    <row r="167" spans="1:18" ht="28.8" customHeight="1" x14ac:dyDescent="0.55000000000000004">
      <c r="A167" t="s">
        <v>338</v>
      </c>
      <c r="B167" t="s">
        <v>575</v>
      </c>
      <c r="C167" s="272" t="s">
        <v>231</v>
      </c>
      <c r="D167" t="s">
        <v>242</v>
      </c>
      <c r="E167" s="209">
        <v>46243</v>
      </c>
      <c r="F167" s="209">
        <v>46247</v>
      </c>
      <c r="G167" s="214" t="s">
        <v>576</v>
      </c>
      <c r="R167" t="str">
        <f t="shared" si="2"/>
        <v>E9 Data Ops</v>
      </c>
    </row>
    <row r="168" spans="1:18" ht="28.8" customHeight="1" x14ac:dyDescent="0.55000000000000004">
      <c r="A168" t="s">
        <v>308</v>
      </c>
      <c r="B168" t="s">
        <v>577</v>
      </c>
      <c r="C168" s="272" t="s">
        <v>231</v>
      </c>
      <c r="D168" t="s">
        <v>254</v>
      </c>
      <c r="E168" s="209">
        <v>46243</v>
      </c>
      <c r="F168" s="209">
        <v>46247</v>
      </c>
      <c r="G168" s="214" t="s">
        <v>578</v>
      </c>
      <c r="R168" t="str">
        <f t="shared" si="2"/>
        <v>E8 Model Quality</v>
      </c>
    </row>
    <row r="169" spans="1:18" ht="43.2" customHeight="1" x14ac:dyDescent="0.55000000000000004">
      <c r="A169" t="s">
        <v>308</v>
      </c>
      <c r="B169" t="s">
        <v>579</v>
      </c>
      <c r="C169" s="185" t="s">
        <v>16</v>
      </c>
      <c r="D169" t="s">
        <v>254</v>
      </c>
      <c r="E169" s="209">
        <v>46243</v>
      </c>
      <c r="G169" s="214" t="s">
        <v>580</v>
      </c>
      <c r="R169" t="str">
        <f t="shared" si="2"/>
        <v>E8 Model Quality</v>
      </c>
    </row>
    <row r="170" spans="1:18" ht="28.8" customHeight="1" x14ac:dyDescent="0.55000000000000004">
      <c r="A170" t="s">
        <v>308</v>
      </c>
      <c r="B170" t="s">
        <v>581</v>
      </c>
      <c r="C170" s="272" t="s">
        <v>231</v>
      </c>
      <c r="D170" t="s">
        <v>254</v>
      </c>
      <c r="E170" s="209">
        <v>46243</v>
      </c>
      <c r="F170" s="209">
        <v>46247</v>
      </c>
      <c r="G170" s="214" t="s">
        <v>582</v>
      </c>
      <c r="R170" t="str">
        <f t="shared" si="2"/>
        <v>E8 Model Quality</v>
      </c>
    </row>
    <row r="171" spans="1:18" ht="28.8" customHeight="1" x14ac:dyDescent="0.55000000000000004">
      <c r="A171" t="s">
        <v>308</v>
      </c>
      <c r="B171" t="s">
        <v>583</v>
      </c>
      <c r="C171" s="272" t="s">
        <v>231</v>
      </c>
      <c r="D171" t="s">
        <v>254</v>
      </c>
      <c r="E171" s="209">
        <v>46243</v>
      </c>
      <c r="F171" s="209">
        <v>46247</v>
      </c>
      <c r="G171" s="214" t="s">
        <v>584</v>
      </c>
      <c r="R171" t="str">
        <f t="shared" si="2"/>
        <v>E8 Model Quality</v>
      </c>
    </row>
    <row r="172" spans="1:18" ht="28.8" customHeight="1" x14ac:dyDescent="0.55000000000000004">
      <c r="A172" t="s">
        <v>308</v>
      </c>
      <c r="B172" t="s">
        <v>585</v>
      </c>
      <c r="C172" s="185" t="s">
        <v>16</v>
      </c>
      <c r="D172" t="s">
        <v>254</v>
      </c>
      <c r="E172" s="209">
        <v>46243</v>
      </c>
      <c r="G172" s="214" t="s">
        <v>586</v>
      </c>
      <c r="R172" t="str">
        <f t="shared" si="2"/>
        <v>E8 Model Quality</v>
      </c>
    </row>
    <row r="173" spans="1:18" ht="28.8" customHeight="1" x14ac:dyDescent="0.55000000000000004">
      <c r="A173" t="s">
        <v>282</v>
      </c>
      <c r="B173" t="s">
        <v>587</v>
      </c>
      <c r="C173" s="185" t="s">
        <v>16</v>
      </c>
      <c r="D173" t="s">
        <v>284</v>
      </c>
      <c r="E173" s="209">
        <v>46243</v>
      </c>
      <c r="G173" s="214" t="s">
        <v>588</v>
      </c>
      <c r="R173" t="str">
        <f t="shared" si="2"/>
        <v>E6 Picks</v>
      </c>
    </row>
    <row r="174" spans="1:18" ht="57.6" customHeight="1" x14ac:dyDescent="0.55000000000000004">
      <c r="A174" t="s">
        <v>338</v>
      </c>
      <c r="B174" t="s">
        <v>589</v>
      </c>
      <c r="C174" s="272" t="s">
        <v>231</v>
      </c>
      <c r="D174" t="s">
        <v>242</v>
      </c>
      <c r="E174" s="209">
        <v>46243</v>
      </c>
      <c r="G174" s="214" t="s">
        <v>590</v>
      </c>
      <c r="R174" t="str">
        <f t="shared" si="2"/>
        <v>E9 Data Ops</v>
      </c>
    </row>
    <row r="175" spans="1:18" ht="28.8" customHeight="1" x14ac:dyDescent="0.55000000000000004">
      <c r="A175" t="s">
        <v>338</v>
      </c>
      <c r="B175" t="s">
        <v>591</v>
      </c>
      <c r="C175" s="185" t="s">
        <v>16</v>
      </c>
      <c r="D175" t="s">
        <v>242</v>
      </c>
      <c r="E175" s="209">
        <v>46243</v>
      </c>
      <c r="G175" s="214" t="s">
        <v>592</v>
      </c>
      <c r="R175" t="str">
        <f t="shared" si="2"/>
        <v>E9 Data Ops</v>
      </c>
    </row>
    <row r="176" spans="1:18" ht="100.8" customHeight="1" x14ac:dyDescent="0.55000000000000004">
      <c r="A176" t="s">
        <v>369</v>
      </c>
      <c r="B176" t="s">
        <v>593</v>
      </c>
      <c r="C176" s="272" t="s">
        <v>231</v>
      </c>
      <c r="D176" t="s">
        <v>284</v>
      </c>
      <c r="E176" s="209">
        <v>46243</v>
      </c>
      <c r="F176" s="209">
        <v>46244</v>
      </c>
      <c r="G176" s="214" t="s">
        <v>594</v>
      </c>
      <c r="R176" t="str">
        <f t="shared" si="2"/>
        <v>E10 Deploy</v>
      </c>
    </row>
    <row r="177" spans="1:18" ht="28.8" customHeight="1" x14ac:dyDescent="0.55000000000000004">
      <c r="A177" t="s">
        <v>398</v>
      </c>
      <c r="B177" t="s">
        <v>595</v>
      </c>
      <c r="C177" s="272" t="s">
        <v>231</v>
      </c>
      <c r="D177" t="s">
        <v>569</v>
      </c>
      <c r="E177" s="209">
        <v>46243</v>
      </c>
      <c r="F177" s="209">
        <v>46247</v>
      </c>
      <c r="G177" s="214" t="s">
        <v>596</v>
      </c>
      <c r="R177" t="str">
        <f t="shared" si="2"/>
        <v>E11 Ops Resilience</v>
      </c>
    </row>
    <row r="178" spans="1:18" ht="28.8" customHeight="1" x14ac:dyDescent="0.55000000000000004">
      <c r="A178" t="s">
        <v>398</v>
      </c>
      <c r="B178" t="s">
        <v>597</v>
      </c>
      <c r="C178" s="272" t="s">
        <v>231</v>
      </c>
      <c r="D178" t="s">
        <v>569</v>
      </c>
      <c r="E178" s="209">
        <v>46243</v>
      </c>
      <c r="F178" s="209">
        <v>46247</v>
      </c>
      <c r="G178" s="214" t="s">
        <v>598</v>
      </c>
      <c r="R178" t="str">
        <f t="shared" si="2"/>
        <v>E11 Ops Resilience</v>
      </c>
    </row>
    <row r="179" spans="1:18" ht="86.4" customHeight="1" x14ac:dyDescent="0.55000000000000004">
      <c r="A179" t="s">
        <v>398</v>
      </c>
      <c r="B179" t="s">
        <v>599</v>
      </c>
      <c r="C179" s="272" t="s">
        <v>231</v>
      </c>
      <c r="D179" t="s">
        <v>569</v>
      </c>
      <c r="E179" s="209">
        <v>46243</v>
      </c>
      <c r="F179" s="209">
        <v>46244</v>
      </c>
      <c r="G179" s="214" t="s">
        <v>600</v>
      </c>
      <c r="R179" t="str">
        <f t="shared" si="2"/>
        <v>E11 Ops Resilience</v>
      </c>
    </row>
    <row r="180" spans="1:18" ht="43.2" customHeight="1" x14ac:dyDescent="0.55000000000000004">
      <c r="A180" t="s">
        <v>338</v>
      </c>
      <c r="B180" t="s">
        <v>601</v>
      </c>
      <c r="C180" s="19" t="s">
        <v>346</v>
      </c>
      <c r="D180" t="s">
        <v>242</v>
      </c>
      <c r="E180" s="209">
        <v>46243</v>
      </c>
      <c r="G180" s="214" t="s">
        <v>602</v>
      </c>
      <c r="R180" t="str">
        <f t="shared" si="2"/>
        <v>E9 Data Ops</v>
      </c>
    </row>
    <row r="181" spans="1:18" ht="28.8" customHeight="1" x14ac:dyDescent="0.55000000000000004">
      <c r="A181" t="s">
        <v>338</v>
      </c>
      <c r="B181" t="s">
        <v>603</v>
      </c>
      <c r="C181" s="272" t="s">
        <v>231</v>
      </c>
      <c r="D181" t="s">
        <v>242</v>
      </c>
      <c r="E181" s="209">
        <v>46244</v>
      </c>
      <c r="F181" s="209">
        <v>46243</v>
      </c>
      <c r="G181" s="214" t="s">
        <v>604</v>
      </c>
      <c r="R181" t="str">
        <f t="shared" si="2"/>
        <v>E9 Data Ops</v>
      </c>
    </row>
    <row r="182" spans="1:18" ht="72" customHeight="1" x14ac:dyDescent="0.55000000000000004">
      <c r="A182" t="s">
        <v>260</v>
      </c>
      <c r="B182" t="s">
        <v>605</v>
      </c>
      <c r="C182" s="272" t="s">
        <v>231</v>
      </c>
      <c r="D182" t="s">
        <v>254</v>
      </c>
      <c r="E182" s="209">
        <v>46243</v>
      </c>
      <c r="F182" s="209">
        <v>46243</v>
      </c>
      <c r="G182" s="214" t="s">
        <v>606</v>
      </c>
      <c r="I182" t="s">
        <v>607</v>
      </c>
      <c r="R182" t="str">
        <f t="shared" si="2"/>
        <v>E4 ML Football</v>
      </c>
    </row>
    <row r="183" spans="1:18" ht="57.6" customHeight="1" x14ac:dyDescent="0.55000000000000004">
      <c r="B183" t="s">
        <v>608</v>
      </c>
      <c r="C183" s="272" t="s">
        <v>231</v>
      </c>
      <c r="D183" t="s">
        <v>242</v>
      </c>
      <c r="E183" s="209">
        <v>46244</v>
      </c>
      <c r="F183" s="209">
        <v>46244</v>
      </c>
      <c r="G183" s="214" t="s">
        <v>609</v>
      </c>
      <c r="J183" t="s">
        <v>607</v>
      </c>
      <c r="R183" t="str">
        <f t="shared" si="2"/>
        <v>E4 ML Football</v>
      </c>
    </row>
    <row r="184" spans="1:18" ht="72" customHeight="1" x14ac:dyDescent="0.55000000000000004">
      <c r="A184" t="s">
        <v>308</v>
      </c>
      <c r="B184" t="s">
        <v>610</v>
      </c>
      <c r="C184" s="272" t="s">
        <v>231</v>
      </c>
      <c r="D184" t="s">
        <v>284</v>
      </c>
      <c r="E184" s="209">
        <v>46244</v>
      </c>
      <c r="F184" s="209">
        <v>46244</v>
      </c>
      <c r="G184" s="214" t="s">
        <v>611</v>
      </c>
      <c r="J184" t="s">
        <v>607</v>
      </c>
      <c r="R184" t="str">
        <f t="shared" si="2"/>
        <v>E8 Model Quality</v>
      </c>
    </row>
    <row r="185" spans="1:18" ht="43.2" customHeight="1" x14ac:dyDescent="0.55000000000000004">
      <c r="A185" t="s">
        <v>398</v>
      </c>
      <c r="B185" t="s">
        <v>612</v>
      </c>
      <c r="C185" s="272" t="s">
        <v>231</v>
      </c>
      <c r="D185" t="s">
        <v>569</v>
      </c>
      <c r="E185" s="209">
        <v>46244</v>
      </c>
      <c r="F185" s="209">
        <v>46244</v>
      </c>
      <c r="G185" s="214" t="s">
        <v>613</v>
      </c>
      <c r="J185" t="s">
        <v>607</v>
      </c>
      <c r="R185" t="str">
        <f t="shared" si="2"/>
        <v>E11 Ops Resilience</v>
      </c>
    </row>
    <row r="186" spans="1:18" ht="72" customHeight="1" x14ac:dyDescent="0.55000000000000004">
      <c r="A186" t="s">
        <v>240</v>
      </c>
      <c r="B186" t="s">
        <v>614</v>
      </c>
      <c r="C186" s="272" t="s">
        <v>231</v>
      </c>
      <c r="D186" t="s">
        <v>284</v>
      </c>
      <c r="E186" s="209">
        <v>46244</v>
      </c>
      <c r="F186" s="209">
        <v>46244</v>
      </c>
      <c r="G186" s="214" t="s">
        <v>615</v>
      </c>
      <c r="J186" t="s">
        <v>607</v>
      </c>
      <c r="R186" t="str">
        <f t="shared" si="2"/>
        <v>E2 Ingestion</v>
      </c>
    </row>
    <row r="187" spans="1:18" ht="100.8" customHeight="1" x14ac:dyDescent="0.55000000000000004">
      <c r="B187" t="s">
        <v>616</v>
      </c>
      <c r="C187" s="272" t="s">
        <v>231</v>
      </c>
      <c r="D187" t="s">
        <v>284</v>
      </c>
      <c r="E187" s="209">
        <v>46244</v>
      </c>
      <c r="F187" s="209">
        <v>46244</v>
      </c>
      <c r="G187" s="214" t="s">
        <v>617</v>
      </c>
      <c r="J187" t="s">
        <v>607</v>
      </c>
      <c r="R187" t="str">
        <f t="shared" si="2"/>
        <v>E2 Ingestion</v>
      </c>
    </row>
    <row r="188" spans="1:18" ht="72" customHeight="1" x14ac:dyDescent="0.55000000000000004">
      <c r="A188" t="s">
        <v>338</v>
      </c>
      <c r="B188" t="s">
        <v>618</v>
      </c>
      <c r="C188" s="272" t="s">
        <v>231</v>
      </c>
      <c r="D188" t="s">
        <v>242</v>
      </c>
      <c r="E188" s="209">
        <v>46244</v>
      </c>
      <c r="F188" s="209">
        <v>46244</v>
      </c>
      <c r="G188" s="214" t="s">
        <v>619</v>
      </c>
      <c r="J188" t="s">
        <v>607</v>
      </c>
      <c r="R188" t="str">
        <f t="shared" si="2"/>
        <v>E9 Data Ops</v>
      </c>
    </row>
    <row r="189" spans="1:18" ht="129.6" customHeight="1" x14ac:dyDescent="0.55000000000000004">
      <c r="A189" t="s">
        <v>260</v>
      </c>
      <c r="B189" t="s">
        <v>620</v>
      </c>
      <c r="C189" s="272" t="s">
        <v>231</v>
      </c>
      <c r="D189" t="s">
        <v>254</v>
      </c>
      <c r="E189" s="209">
        <v>46244</v>
      </c>
      <c r="F189" s="209">
        <v>46244</v>
      </c>
      <c r="G189" s="214" t="s">
        <v>621</v>
      </c>
      <c r="J189" t="s">
        <v>607</v>
      </c>
      <c r="R189" t="str">
        <f t="shared" si="2"/>
        <v>E4 ML Football</v>
      </c>
    </row>
    <row r="190" spans="1:18" ht="187.2" customHeight="1" x14ac:dyDescent="0.55000000000000004">
      <c r="A190" t="s">
        <v>308</v>
      </c>
      <c r="B190" t="s">
        <v>622</v>
      </c>
      <c r="C190" s="272" t="s">
        <v>231</v>
      </c>
      <c r="D190" t="s">
        <v>254</v>
      </c>
      <c r="E190" s="209">
        <v>46244</v>
      </c>
      <c r="F190" s="209">
        <v>46244</v>
      </c>
      <c r="G190" s="214" t="s">
        <v>623</v>
      </c>
      <c r="J190" t="s">
        <v>607</v>
      </c>
      <c r="R190" t="str">
        <f t="shared" si="2"/>
        <v>E8 Model Quality</v>
      </c>
    </row>
    <row r="191" spans="1:18" ht="72" customHeight="1" x14ac:dyDescent="0.55000000000000004">
      <c r="A191" t="s">
        <v>338</v>
      </c>
      <c r="B191" t="s">
        <v>624</v>
      </c>
      <c r="C191" s="272" t="s">
        <v>231</v>
      </c>
      <c r="D191" t="s">
        <v>242</v>
      </c>
      <c r="E191" s="209">
        <v>46244</v>
      </c>
      <c r="F191" s="209">
        <v>46244</v>
      </c>
      <c r="G191" s="214" t="s">
        <v>625</v>
      </c>
      <c r="J191" t="s">
        <v>607</v>
      </c>
      <c r="R191" t="str">
        <f t="shared" si="2"/>
        <v>E9 Data Ops</v>
      </c>
    </row>
    <row r="192" spans="1:18" ht="100.8" customHeight="1" x14ac:dyDescent="0.55000000000000004">
      <c r="A192" t="s">
        <v>308</v>
      </c>
      <c r="B192" t="s">
        <v>626</v>
      </c>
      <c r="C192" s="272" t="s">
        <v>231</v>
      </c>
      <c r="D192" t="s">
        <v>284</v>
      </c>
      <c r="E192" s="209">
        <v>46244</v>
      </c>
      <c r="F192" s="209">
        <v>46244</v>
      </c>
      <c r="G192" s="214" t="s">
        <v>627</v>
      </c>
      <c r="J192" t="s">
        <v>607</v>
      </c>
      <c r="R192" t="str">
        <f t="shared" si="2"/>
        <v>E8 Model Quality</v>
      </c>
    </row>
    <row r="193" spans="1:18" ht="115.2" customHeight="1" x14ac:dyDescent="0.55000000000000004">
      <c r="A193" t="s">
        <v>240</v>
      </c>
      <c r="B193" t="s">
        <v>628</v>
      </c>
      <c r="C193" s="272" t="s">
        <v>231</v>
      </c>
      <c r="D193" t="s">
        <v>284</v>
      </c>
      <c r="E193" s="209">
        <v>46244</v>
      </c>
      <c r="F193" s="209">
        <v>46244</v>
      </c>
      <c r="G193" s="214" t="s">
        <v>629</v>
      </c>
      <c r="J193" t="s">
        <v>607</v>
      </c>
      <c r="R193" t="str">
        <f t="shared" si="2"/>
        <v>E2 Ingestion</v>
      </c>
    </row>
    <row r="194" spans="1:18" ht="86.4" customHeight="1" x14ac:dyDescent="0.55000000000000004">
      <c r="A194" t="s">
        <v>338</v>
      </c>
      <c r="B194" t="s">
        <v>630</v>
      </c>
      <c r="C194" s="272" t="s">
        <v>231</v>
      </c>
      <c r="D194" t="s">
        <v>242</v>
      </c>
      <c r="E194" s="209">
        <v>46244</v>
      </c>
      <c r="F194" s="209">
        <v>46244</v>
      </c>
      <c r="G194" s="214" t="s">
        <v>631</v>
      </c>
      <c r="J194" t="s">
        <v>607</v>
      </c>
      <c r="R194" t="str">
        <f t="shared" si="2"/>
        <v>E9 Data Ops</v>
      </c>
    </row>
    <row r="195" spans="1:18" ht="86.4" customHeight="1" x14ac:dyDescent="0.55000000000000004">
      <c r="B195" t="s">
        <v>632</v>
      </c>
      <c r="C195" s="272" t="s">
        <v>231</v>
      </c>
      <c r="D195" t="s">
        <v>242</v>
      </c>
      <c r="E195" s="209">
        <v>46244</v>
      </c>
      <c r="F195" s="209">
        <v>46244</v>
      </c>
      <c r="G195" s="214" t="s">
        <v>633</v>
      </c>
      <c r="J195" t="s">
        <v>607</v>
      </c>
      <c r="R195" t="str">
        <f t="shared" si="2"/>
        <v>E9 Data Ops</v>
      </c>
    </row>
    <row r="196" spans="1:18" ht="115.2" customHeight="1" x14ac:dyDescent="0.55000000000000004">
      <c r="A196" t="s">
        <v>260</v>
      </c>
      <c r="B196" t="s">
        <v>634</v>
      </c>
      <c r="C196" s="272" t="s">
        <v>231</v>
      </c>
      <c r="D196" t="s">
        <v>254</v>
      </c>
      <c r="E196" s="209">
        <v>46244</v>
      </c>
      <c r="F196" s="209">
        <v>46244</v>
      </c>
      <c r="G196" s="214" t="s">
        <v>635</v>
      </c>
      <c r="J196" t="s">
        <v>607</v>
      </c>
      <c r="R196" t="str">
        <f t="shared" si="2"/>
        <v>E4 ML Football</v>
      </c>
    </row>
    <row r="197" spans="1:18" ht="86.4" customHeight="1" x14ac:dyDescent="0.55000000000000004">
      <c r="A197" t="s">
        <v>398</v>
      </c>
      <c r="B197" t="s">
        <v>636</v>
      </c>
      <c r="C197" s="272" t="s">
        <v>231</v>
      </c>
      <c r="D197" t="s">
        <v>569</v>
      </c>
      <c r="E197" s="209">
        <v>46244</v>
      </c>
      <c r="F197" s="209">
        <v>46244</v>
      </c>
      <c r="G197" s="214" t="s">
        <v>637</v>
      </c>
      <c r="J197" t="s">
        <v>607</v>
      </c>
      <c r="R197" t="str">
        <f t="shared" si="2"/>
        <v>E11 Ops Resilience</v>
      </c>
    </row>
    <row r="198" spans="1:18" ht="86.4" customHeight="1" x14ac:dyDescent="0.55000000000000004">
      <c r="A198" t="s">
        <v>260</v>
      </c>
      <c r="B198" t="s">
        <v>638</v>
      </c>
      <c r="C198" s="19" t="s">
        <v>346</v>
      </c>
      <c r="D198" t="s">
        <v>254</v>
      </c>
      <c r="E198" s="209">
        <v>46327</v>
      </c>
      <c r="G198" s="214" t="s">
        <v>639</v>
      </c>
      <c r="R198" t="str">
        <f t="shared" ref="R198:R261" si="3">IF($A198&lt;&gt;"",$A198,R197)</f>
        <v>E4 ML Football</v>
      </c>
    </row>
    <row r="199" spans="1:18" ht="129.6" customHeight="1" x14ac:dyDescent="0.55000000000000004">
      <c r="A199" t="s">
        <v>271</v>
      </c>
      <c r="B199" t="s">
        <v>640</v>
      </c>
      <c r="C199" s="272" t="s">
        <v>231</v>
      </c>
      <c r="D199" t="s">
        <v>284</v>
      </c>
      <c r="E199" s="209">
        <v>46244</v>
      </c>
      <c r="F199" s="209">
        <v>46244</v>
      </c>
      <c r="G199" s="214" t="s">
        <v>641</v>
      </c>
      <c r="J199" t="s">
        <v>607</v>
      </c>
      <c r="R199" t="str">
        <f t="shared" si="3"/>
        <v>E5 ML Tennis</v>
      </c>
    </row>
    <row r="200" spans="1:18" ht="100.8" customHeight="1" x14ac:dyDescent="0.55000000000000004">
      <c r="A200" t="s">
        <v>338</v>
      </c>
      <c r="B200" t="s">
        <v>642</v>
      </c>
      <c r="C200" s="272" t="s">
        <v>231</v>
      </c>
      <c r="D200" t="s">
        <v>242</v>
      </c>
      <c r="E200" s="209">
        <v>46244</v>
      </c>
      <c r="F200" s="209">
        <v>46244</v>
      </c>
      <c r="G200" s="214" t="s">
        <v>643</v>
      </c>
      <c r="J200" t="s">
        <v>607</v>
      </c>
      <c r="R200" t="str">
        <f t="shared" si="3"/>
        <v>E9 Data Ops</v>
      </c>
    </row>
    <row r="201" spans="1:18" ht="72" customHeight="1" x14ac:dyDescent="0.55000000000000004">
      <c r="A201" t="s">
        <v>398</v>
      </c>
      <c r="B201" t="s">
        <v>644</v>
      </c>
      <c r="C201" s="272" t="s">
        <v>231</v>
      </c>
      <c r="D201" t="s">
        <v>569</v>
      </c>
      <c r="E201" s="209">
        <v>46244</v>
      </c>
      <c r="F201" s="209">
        <v>46244</v>
      </c>
      <c r="G201" s="214" t="s">
        <v>645</v>
      </c>
      <c r="J201" t="s">
        <v>607</v>
      </c>
      <c r="R201" t="str">
        <f t="shared" si="3"/>
        <v>E11 Ops Resilience</v>
      </c>
    </row>
    <row r="202" spans="1:18" ht="100.8" customHeight="1" x14ac:dyDescent="0.55000000000000004">
      <c r="B202" t="s">
        <v>646</v>
      </c>
      <c r="C202" s="272" t="s">
        <v>231</v>
      </c>
      <c r="D202" t="s">
        <v>569</v>
      </c>
      <c r="E202" s="209">
        <v>46244</v>
      </c>
      <c r="F202" s="209">
        <v>46244</v>
      </c>
      <c r="G202" s="214" t="s">
        <v>647</v>
      </c>
      <c r="J202" t="s">
        <v>607</v>
      </c>
      <c r="R202" t="str">
        <f t="shared" si="3"/>
        <v>E11 Ops Resilience</v>
      </c>
    </row>
    <row r="203" spans="1:18" ht="144" customHeight="1" x14ac:dyDescent="0.55000000000000004">
      <c r="A203" t="s">
        <v>308</v>
      </c>
      <c r="B203" t="s">
        <v>648</v>
      </c>
      <c r="C203" s="272" t="s">
        <v>231</v>
      </c>
      <c r="D203" t="s">
        <v>254</v>
      </c>
      <c r="E203" s="209">
        <v>46244</v>
      </c>
      <c r="F203" s="209">
        <v>46244</v>
      </c>
      <c r="G203" s="214" t="s">
        <v>649</v>
      </c>
      <c r="J203" t="s">
        <v>607</v>
      </c>
      <c r="R203" t="str">
        <f t="shared" si="3"/>
        <v>E8 Model Quality</v>
      </c>
    </row>
    <row r="204" spans="1:18" ht="57.6" customHeight="1" x14ac:dyDescent="0.55000000000000004">
      <c r="A204" t="s">
        <v>282</v>
      </c>
      <c r="B204" t="s">
        <v>650</v>
      </c>
      <c r="C204" s="272" t="s">
        <v>231</v>
      </c>
      <c r="D204" t="s">
        <v>284</v>
      </c>
      <c r="E204" s="209">
        <v>46244</v>
      </c>
      <c r="F204" s="209">
        <v>46244</v>
      </c>
      <c r="G204" s="214" t="s">
        <v>651</v>
      </c>
      <c r="J204" t="s">
        <v>607</v>
      </c>
      <c r="R204" t="str">
        <f t="shared" si="3"/>
        <v>E6 Picks</v>
      </c>
    </row>
    <row r="205" spans="1:18" ht="115.2" customHeight="1" x14ac:dyDescent="0.55000000000000004">
      <c r="B205" t="s">
        <v>652</v>
      </c>
      <c r="C205" s="272" t="s">
        <v>231</v>
      </c>
      <c r="D205" t="s">
        <v>284</v>
      </c>
      <c r="E205" s="209">
        <v>46244</v>
      </c>
      <c r="F205" s="209">
        <v>46244</v>
      </c>
      <c r="G205" s="214" t="s">
        <v>653</v>
      </c>
      <c r="J205" t="s">
        <v>607</v>
      </c>
      <c r="R205" t="str">
        <f t="shared" si="3"/>
        <v>E6 Picks</v>
      </c>
    </row>
    <row r="206" spans="1:18" ht="144" customHeight="1" x14ac:dyDescent="0.55000000000000004">
      <c r="A206" t="s">
        <v>308</v>
      </c>
      <c r="B206" t="s">
        <v>654</v>
      </c>
      <c r="C206" s="272" t="s">
        <v>231</v>
      </c>
      <c r="D206" t="s">
        <v>284</v>
      </c>
      <c r="E206" s="209">
        <v>46244</v>
      </c>
      <c r="F206" s="209">
        <v>46245</v>
      </c>
      <c r="G206" s="214" t="s">
        <v>655</v>
      </c>
      <c r="J206" t="s">
        <v>607</v>
      </c>
      <c r="R206" t="str">
        <f t="shared" si="3"/>
        <v>E8 Model Quality</v>
      </c>
    </row>
    <row r="207" spans="1:18" ht="129.6" customHeight="1" x14ac:dyDescent="0.55000000000000004">
      <c r="A207" t="s">
        <v>338</v>
      </c>
      <c r="B207" t="s">
        <v>656</v>
      </c>
      <c r="C207" s="272" t="s">
        <v>231</v>
      </c>
      <c r="D207" t="s">
        <v>242</v>
      </c>
      <c r="E207" s="209">
        <v>46244</v>
      </c>
      <c r="F207" s="209">
        <v>46245</v>
      </c>
      <c r="G207" s="214" t="s">
        <v>657</v>
      </c>
      <c r="J207" t="s">
        <v>607</v>
      </c>
      <c r="R207" t="str">
        <f t="shared" si="3"/>
        <v>E9 Data Ops</v>
      </c>
    </row>
    <row r="208" spans="1:18" ht="144" customHeight="1" x14ac:dyDescent="0.55000000000000004">
      <c r="A208" t="s">
        <v>282</v>
      </c>
      <c r="B208" t="s">
        <v>658</v>
      </c>
      <c r="C208" s="272" t="s">
        <v>231</v>
      </c>
      <c r="D208" t="s">
        <v>284</v>
      </c>
      <c r="E208" s="209">
        <v>46245</v>
      </c>
      <c r="F208" s="209">
        <v>46245</v>
      </c>
      <c r="G208" s="214" t="s">
        <v>659</v>
      </c>
      <c r="J208" t="s">
        <v>607</v>
      </c>
      <c r="R208" t="str">
        <f t="shared" si="3"/>
        <v>E6 Picks</v>
      </c>
    </row>
    <row r="209" spans="1:18" ht="57.6" customHeight="1" x14ac:dyDescent="0.55000000000000004">
      <c r="A209" t="s">
        <v>398</v>
      </c>
      <c r="B209" t="s">
        <v>660</v>
      </c>
      <c r="C209" s="272" t="s">
        <v>231</v>
      </c>
      <c r="D209" t="s">
        <v>569</v>
      </c>
      <c r="E209" s="209">
        <v>46245</v>
      </c>
      <c r="F209" s="209">
        <v>46245</v>
      </c>
      <c r="G209" s="214" t="s">
        <v>661</v>
      </c>
      <c r="J209" t="s">
        <v>607</v>
      </c>
      <c r="R209" t="str">
        <f t="shared" si="3"/>
        <v>E11 Ops Resilience</v>
      </c>
    </row>
    <row r="210" spans="1:18" ht="86.4" customHeight="1" x14ac:dyDescent="0.55000000000000004">
      <c r="A210" t="s">
        <v>308</v>
      </c>
      <c r="B210" t="s">
        <v>662</v>
      </c>
      <c r="C210" s="272" t="s">
        <v>231</v>
      </c>
      <c r="D210" t="s">
        <v>284</v>
      </c>
      <c r="E210" s="209">
        <v>46245</v>
      </c>
      <c r="F210" s="209">
        <v>46245</v>
      </c>
      <c r="G210" s="214" t="s">
        <v>663</v>
      </c>
      <c r="J210" t="s">
        <v>607</v>
      </c>
      <c r="R210" t="str">
        <f t="shared" si="3"/>
        <v>E8 Model Quality</v>
      </c>
    </row>
    <row r="211" spans="1:18" ht="72" customHeight="1" x14ac:dyDescent="0.55000000000000004">
      <c r="A211" t="s">
        <v>398</v>
      </c>
      <c r="B211" t="s">
        <v>664</v>
      </c>
      <c r="C211" s="272" t="s">
        <v>231</v>
      </c>
      <c r="D211" t="s">
        <v>284</v>
      </c>
      <c r="E211" s="209">
        <v>46246</v>
      </c>
      <c r="F211" s="209">
        <v>46246</v>
      </c>
      <c r="G211" s="214" t="s">
        <v>665</v>
      </c>
      <c r="J211" t="s">
        <v>607</v>
      </c>
      <c r="R211" t="str">
        <f t="shared" si="3"/>
        <v>E11 Ops Resilience</v>
      </c>
    </row>
    <row r="212" spans="1:18" ht="43.2" customHeight="1" x14ac:dyDescent="0.55000000000000004">
      <c r="A212" t="s">
        <v>398</v>
      </c>
      <c r="B212" t="s">
        <v>666</v>
      </c>
      <c r="C212" s="272" t="s">
        <v>231</v>
      </c>
      <c r="D212" t="s">
        <v>284</v>
      </c>
      <c r="E212" s="209">
        <v>46246</v>
      </c>
      <c r="F212" s="209">
        <v>46246</v>
      </c>
      <c r="G212" s="214" t="s">
        <v>667</v>
      </c>
      <c r="J212" t="s">
        <v>607</v>
      </c>
      <c r="R212" t="str">
        <f t="shared" si="3"/>
        <v>E11 Ops Resilience</v>
      </c>
    </row>
    <row r="213" spans="1:18" ht="57.6" customHeight="1" x14ac:dyDescent="0.55000000000000004">
      <c r="A213" t="s">
        <v>398</v>
      </c>
      <c r="B213" t="s">
        <v>668</v>
      </c>
      <c r="C213" s="272" t="s">
        <v>231</v>
      </c>
      <c r="D213" t="s">
        <v>284</v>
      </c>
      <c r="E213" s="209">
        <v>46246</v>
      </c>
      <c r="F213" s="209">
        <v>46246</v>
      </c>
      <c r="G213" s="214" t="s">
        <v>669</v>
      </c>
      <c r="J213" t="s">
        <v>607</v>
      </c>
      <c r="R213" t="str">
        <f t="shared" si="3"/>
        <v>E11 Ops Resilience</v>
      </c>
    </row>
    <row r="214" spans="1:18" ht="72" customHeight="1" x14ac:dyDescent="0.55000000000000004">
      <c r="A214" t="s">
        <v>308</v>
      </c>
      <c r="B214" t="s">
        <v>670</v>
      </c>
      <c r="C214" s="272" t="s">
        <v>231</v>
      </c>
      <c r="D214" t="s">
        <v>254</v>
      </c>
      <c r="E214" s="209">
        <v>46247</v>
      </c>
      <c r="F214" s="209">
        <v>46247</v>
      </c>
      <c r="G214" s="214" t="s">
        <v>671</v>
      </c>
      <c r="J214" t="s">
        <v>607</v>
      </c>
      <c r="R214" t="str">
        <f t="shared" si="3"/>
        <v>E8 Model Quality</v>
      </c>
    </row>
    <row r="215" spans="1:18" ht="57.6" customHeight="1" x14ac:dyDescent="0.55000000000000004">
      <c r="A215" t="s">
        <v>308</v>
      </c>
      <c r="B215" t="s">
        <v>672</v>
      </c>
      <c r="C215" s="272" t="s">
        <v>231</v>
      </c>
      <c r="D215" t="s">
        <v>254</v>
      </c>
      <c r="E215" s="209">
        <v>46247</v>
      </c>
      <c r="F215" s="209">
        <v>46247</v>
      </c>
      <c r="G215" s="214" t="s">
        <v>673</v>
      </c>
      <c r="J215" t="s">
        <v>607</v>
      </c>
      <c r="R215" t="str">
        <f t="shared" si="3"/>
        <v>E8 Model Quality</v>
      </c>
    </row>
    <row r="216" spans="1:18" ht="57.6" customHeight="1" x14ac:dyDescent="0.55000000000000004">
      <c r="A216" t="s">
        <v>398</v>
      </c>
      <c r="B216" t="s">
        <v>674</v>
      </c>
      <c r="C216" s="272" t="s">
        <v>231</v>
      </c>
      <c r="D216" t="s">
        <v>284</v>
      </c>
      <c r="E216" s="209">
        <v>46247</v>
      </c>
      <c r="F216" s="209">
        <v>46247</v>
      </c>
      <c r="G216" s="214" t="s">
        <v>675</v>
      </c>
      <c r="J216" t="s">
        <v>607</v>
      </c>
      <c r="R216" t="str">
        <f t="shared" si="3"/>
        <v>E11 Ops Resilience</v>
      </c>
    </row>
    <row r="217" spans="1:18" ht="86.4" customHeight="1" x14ac:dyDescent="0.55000000000000004">
      <c r="A217" t="s">
        <v>308</v>
      </c>
      <c r="B217" t="s">
        <v>676</v>
      </c>
      <c r="C217" s="272" t="s">
        <v>231</v>
      </c>
      <c r="D217" t="s">
        <v>254</v>
      </c>
      <c r="E217" s="209">
        <v>46247</v>
      </c>
      <c r="F217" s="209">
        <v>46247</v>
      </c>
      <c r="G217" s="214" t="s">
        <v>677</v>
      </c>
      <c r="J217" t="s">
        <v>607</v>
      </c>
      <c r="R217" t="str">
        <f t="shared" si="3"/>
        <v>E8 Model Quality</v>
      </c>
    </row>
    <row r="218" spans="1:18" ht="72" customHeight="1" x14ac:dyDescent="0.55000000000000004">
      <c r="A218" t="s">
        <v>308</v>
      </c>
      <c r="B218" t="s">
        <v>678</v>
      </c>
      <c r="C218" s="272" t="s">
        <v>231</v>
      </c>
      <c r="D218" t="s">
        <v>284</v>
      </c>
      <c r="E218" s="209">
        <v>46247</v>
      </c>
      <c r="F218" s="209">
        <v>46247</v>
      </c>
      <c r="G218" s="214" t="s">
        <v>679</v>
      </c>
      <c r="J218" t="s">
        <v>607</v>
      </c>
      <c r="R218" t="str">
        <f t="shared" si="3"/>
        <v>E8 Model Quality</v>
      </c>
    </row>
    <row r="219" spans="1:18" ht="86.4" customHeight="1" x14ac:dyDescent="0.55000000000000004">
      <c r="A219" t="s">
        <v>282</v>
      </c>
      <c r="B219" t="s">
        <v>680</v>
      </c>
      <c r="C219" s="272" t="s">
        <v>231</v>
      </c>
      <c r="D219" t="s">
        <v>284</v>
      </c>
      <c r="E219" s="209">
        <v>46247</v>
      </c>
      <c r="F219" s="209">
        <v>46247</v>
      </c>
      <c r="G219" s="214" t="s">
        <v>681</v>
      </c>
      <c r="J219" t="s">
        <v>607</v>
      </c>
      <c r="R219" t="str">
        <f t="shared" si="3"/>
        <v>E6 Picks</v>
      </c>
    </row>
    <row r="220" spans="1:18" ht="72" customHeight="1" x14ac:dyDescent="0.55000000000000004">
      <c r="A220" t="s">
        <v>308</v>
      </c>
      <c r="B220" t="s">
        <v>682</v>
      </c>
      <c r="C220" s="272" t="s">
        <v>231</v>
      </c>
      <c r="D220" t="s">
        <v>254</v>
      </c>
      <c r="E220" s="209">
        <v>46247</v>
      </c>
      <c r="F220" s="209">
        <v>46247</v>
      </c>
      <c r="G220" s="214" t="s">
        <v>683</v>
      </c>
      <c r="J220" t="s">
        <v>607</v>
      </c>
      <c r="R220" t="str">
        <f t="shared" si="3"/>
        <v>E8 Model Quality</v>
      </c>
    </row>
    <row r="221" spans="1:18" ht="57.6" customHeight="1" x14ac:dyDescent="0.55000000000000004">
      <c r="A221" t="s">
        <v>338</v>
      </c>
      <c r="B221" t="s">
        <v>684</v>
      </c>
      <c r="C221" s="272" t="s">
        <v>231</v>
      </c>
      <c r="D221" t="s">
        <v>254</v>
      </c>
      <c r="E221" s="209">
        <v>46247</v>
      </c>
      <c r="F221" s="209">
        <v>46247</v>
      </c>
      <c r="G221" s="214" t="s">
        <v>685</v>
      </c>
      <c r="J221" t="s">
        <v>607</v>
      </c>
      <c r="R221" t="str">
        <f t="shared" si="3"/>
        <v>E9 Data Ops</v>
      </c>
    </row>
    <row r="222" spans="1:18" ht="72" customHeight="1" x14ac:dyDescent="0.55000000000000004">
      <c r="A222" t="s">
        <v>282</v>
      </c>
      <c r="B222" t="s">
        <v>686</v>
      </c>
      <c r="C222" s="272" t="s">
        <v>231</v>
      </c>
      <c r="D222" t="s">
        <v>284</v>
      </c>
      <c r="E222" s="209">
        <v>46247</v>
      </c>
      <c r="F222" s="209">
        <v>46247</v>
      </c>
      <c r="G222" s="214" t="s">
        <v>687</v>
      </c>
      <c r="J222" t="s">
        <v>607</v>
      </c>
      <c r="R222" t="str">
        <f t="shared" si="3"/>
        <v>E6 Picks</v>
      </c>
    </row>
    <row r="223" spans="1:18" ht="57.6" customHeight="1" x14ac:dyDescent="0.55000000000000004">
      <c r="A223" t="s">
        <v>338</v>
      </c>
      <c r="B223" t="s">
        <v>688</v>
      </c>
      <c r="C223" s="272" t="s">
        <v>231</v>
      </c>
      <c r="D223" t="s">
        <v>254</v>
      </c>
      <c r="E223" s="209">
        <v>46247</v>
      </c>
      <c r="F223" s="209">
        <v>46247</v>
      </c>
      <c r="G223" s="214" t="s">
        <v>689</v>
      </c>
      <c r="J223" t="s">
        <v>607</v>
      </c>
      <c r="R223" t="str">
        <f t="shared" si="3"/>
        <v>E9 Data Ops</v>
      </c>
    </row>
    <row r="224" spans="1:18" ht="72" customHeight="1" x14ac:dyDescent="0.55000000000000004">
      <c r="A224" t="s">
        <v>338</v>
      </c>
      <c r="B224" t="s">
        <v>690</v>
      </c>
      <c r="C224" s="272" t="s">
        <v>231</v>
      </c>
      <c r="D224" t="s">
        <v>254</v>
      </c>
      <c r="E224" s="209">
        <v>46247</v>
      </c>
      <c r="F224" s="209">
        <v>46247</v>
      </c>
      <c r="G224" s="214" t="s">
        <v>691</v>
      </c>
      <c r="J224" t="s">
        <v>607</v>
      </c>
      <c r="R224" t="str">
        <f t="shared" si="3"/>
        <v>E9 Data Ops</v>
      </c>
    </row>
    <row r="225" spans="1:18" ht="57.6" customHeight="1" x14ac:dyDescent="0.55000000000000004">
      <c r="A225" t="s">
        <v>308</v>
      </c>
      <c r="B225" t="s">
        <v>692</v>
      </c>
      <c r="C225" s="272" t="s">
        <v>231</v>
      </c>
      <c r="D225" t="s">
        <v>254</v>
      </c>
      <c r="E225" s="209">
        <v>46247</v>
      </c>
      <c r="F225" s="209">
        <v>46247</v>
      </c>
      <c r="G225" s="214" t="s">
        <v>693</v>
      </c>
      <c r="J225" t="s">
        <v>607</v>
      </c>
      <c r="R225" t="str">
        <f t="shared" si="3"/>
        <v>E8 Model Quality</v>
      </c>
    </row>
    <row r="226" spans="1:18" ht="43.2" customHeight="1" x14ac:dyDescent="0.55000000000000004">
      <c r="A226" t="s">
        <v>338</v>
      </c>
      <c r="B226" t="s">
        <v>694</v>
      </c>
      <c r="C226" s="272" t="s">
        <v>231</v>
      </c>
      <c r="D226" t="s">
        <v>695</v>
      </c>
      <c r="E226" s="209">
        <v>46247</v>
      </c>
      <c r="F226" s="209">
        <v>46247</v>
      </c>
      <c r="G226" s="214" t="s">
        <v>696</v>
      </c>
      <c r="J226" t="s">
        <v>607</v>
      </c>
      <c r="R226" t="str">
        <f t="shared" si="3"/>
        <v>E9 Data Ops</v>
      </c>
    </row>
    <row r="227" spans="1:18" ht="86.4" customHeight="1" x14ac:dyDescent="0.55000000000000004">
      <c r="A227" t="s">
        <v>338</v>
      </c>
      <c r="B227" t="s">
        <v>697</v>
      </c>
      <c r="C227" s="272" t="s">
        <v>231</v>
      </c>
      <c r="D227" t="s">
        <v>254</v>
      </c>
      <c r="E227" s="209">
        <v>46247</v>
      </c>
      <c r="F227" s="209">
        <v>46247</v>
      </c>
      <c r="G227" s="214" t="s">
        <v>698</v>
      </c>
      <c r="J227" t="s">
        <v>607</v>
      </c>
      <c r="R227" t="str">
        <f t="shared" si="3"/>
        <v>E9 Data Ops</v>
      </c>
    </row>
    <row r="228" spans="1:18" x14ac:dyDescent="0.55000000000000004">
      <c r="A228" t="s">
        <v>308</v>
      </c>
      <c r="B228" t="s">
        <v>699</v>
      </c>
      <c r="C228" s="272" t="s">
        <v>231</v>
      </c>
      <c r="D228" t="s">
        <v>254</v>
      </c>
      <c r="E228" s="209">
        <v>46247</v>
      </c>
      <c r="F228" s="209">
        <v>46247</v>
      </c>
      <c r="G228" s="214"/>
      <c r="J228" t="s">
        <v>607</v>
      </c>
      <c r="R228" t="str">
        <f t="shared" si="3"/>
        <v>E8 Model Quality</v>
      </c>
    </row>
    <row r="229" spans="1:18" x14ac:dyDescent="0.55000000000000004">
      <c r="A229" t="s">
        <v>308</v>
      </c>
      <c r="B229" t="s">
        <v>700</v>
      </c>
      <c r="C229" s="272" t="s">
        <v>231</v>
      </c>
      <c r="D229" t="s">
        <v>254</v>
      </c>
      <c r="E229" s="209">
        <v>46247</v>
      </c>
      <c r="F229" s="209">
        <v>46247</v>
      </c>
      <c r="G229" s="214"/>
      <c r="J229" t="s">
        <v>607</v>
      </c>
      <c r="R229" t="str">
        <f t="shared" si="3"/>
        <v>E8 Model Quality</v>
      </c>
    </row>
    <row r="230" spans="1:18" x14ac:dyDescent="0.55000000000000004">
      <c r="A230" t="s">
        <v>282</v>
      </c>
      <c r="B230" t="s">
        <v>701</v>
      </c>
      <c r="C230" s="272" t="s">
        <v>231</v>
      </c>
      <c r="D230" t="s">
        <v>284</v>
      </c>
      <c r="E230" s="209">
        <v>46247</v>
      </c>
      <c r="F230" s="209">
        <v>46247</v>
      </c>
      <c r="G230" s="214"/>
      <c r="J230" t="s">
        <v>607</v>
      </c>
      <c r="R230" t="str">
        <f t="shared" si="3"/>
        <v>E6 Picks</v>
      </c>
    </row>
    <row r="231" spans="1:18" x14ac:dyDescent="0.55000000000000004">
      <c r="A231" t="s">
        <v>308</v>
      </c>
      <c r="B231" t="s">
        <v>702</v>
      </c>
      <c r="C231" s="272" t="s">
        <v>231</v>
      </c>
      <c r="D231" t="s">
        <v>254</v>
      </c>
      <c r="E231" s="209">
        <v>46247</v>
      </c>
      <c r="F231" s="209">
        <v>46247</v>
      </c>
      <c r="G231" s="214"/>
      <c r="J231" t="s">
        <v>607</v>
      </c>
      <c r="R231" t="str">
        <f t="shared" si="3"/>
        <v>E8 Model Quality</v>
      </c>
    </row>
    <row r="232" spans="1:18" x14ac:dyDescent="0.55000000000000004">
      <c r="A232" t="s">
        <v>308</v>
      </c>
      <c r="B232" t="s">
        <v>703</v>
      </c>
      <c r="C232" s="272" t="s">
        <v>231</v>
      </c>
      <c r="D232" t="s">
        <v>284</v>
      </c>
      <c r="E232" s="209">
        <v>46247</v>
      </c>
      <c r="F232" s="209">
        <v>46247</v>
      </c>
      <c r="G232" s="214"/>
      <c r="J232" t="s">
        <v>607</v>
      </c>
      <c r="R232" t="str">
        <f t="shared" si="3"/>
        <v>E8 Model Quality</v>
      </c>
    </row>
    <row r="233" spans="1:18" x14ac:dyDescent="0.55000000000000004">
      <c r="A233" t="s">
        <v>398</v>
      </c>
      <c r="B233" t="s">
        <v>704</v>
      </c>
      <c r="C233" s="272" t="s">
        <v>231</v>
      </c>
      <c r="D233" t="s">
        <v>284</v>
      </c>
      <c r="E233" s="209">
        <v>46247</v>
      </c>
      <c r="F233" s="209">
        <v>46247</v>
      </c>
      <c r="G233" s="214"/>
      <c r="J233" t="s">
        <v>607</v>
      </c>
      <c r="R233" t="str">
        <f t="shared" si="3"/>
        <v>E11 Ops Resilience</v>
      </c>
    </row>
    <row r="234" spans="1:18" x14ac:dyDescent="0.55000000000000004">
      <c r="A234" t="s">
        <v>308</v>
      </c>
      <c r="B234" t="s">
        <v>705</v>
      </c>
      <c r="C234" s="272" t="s">
        <v>231</v>
      </c>
      <c r="D234" t="s">
        <v>254</v>
      </c>
      <c r="E234" s="209">
        <v>46247</v>
      </c>
      <c r="F234" s="209">
        <v>46247</v>
      </c>
      <c r="G234" s="214"/>
      <c r="J234" t="s">
        <v>607</v>
      </c>
      <c r="R234" t="str">
        <f t="shared" si="3"/>
        <v>E8 Model Quality</v>
      </c>
    </row>
    <row r="235" spans="1:18" x14ac:dyDescent="0.55000000000000004">
      <c r="A235" t="s">
        <v>338</v>
      </c>
      <c r="B235" t="s">
        <v>706</v>
      </c>
      <c r="C235" s="272" t="s">
        <v>231</v>
      </c>
      <c r="D235" t="s">
        <v>254</v>
      </c>
      <c r="E235" s="209">
        <v>46247</v>
      </c>
      <c r="F235" s="209">
        <v>46247</v>
      </c>
      <c r="G235" s="214"/>
      <c r="J235" t="s">
        <v>607</v>
      </c>
      <c r="R235" t="str">
        <f t="shared" si="3"/>
        <v>E9 Data Ops</v>
      </c>
    </row>
    <row r="236" spans="1:18" x14ac:dyDescent="0.55000000000000004">
      <c r="A236" t="s">
        <v>308</v>
      </c>
      <c r="B236" t="s">
        <v>707</v>
      </c>
      <c r="C236" s="272" t="s">
        <v>231</v>
      </c>
      <c r="D236" t="s">
        <v>254</v>
      </c>
      <c r="E236" s="209">
        <v>46247</v>
      </c>
      <c r="F236" s="209">
        <v>46247</v>
      </c>
      <c r="G236" s="214"/>
      <c r="J236" t="s">
        <v>607</v>
      </c>
      <c r="R236" t="str">
        <f t="shared" si="3"/>
        <v>E8 Model Quality</v>
      </c>
    </row>
    <row r="237" spans="1:18" x14ac:dyDescent="0.55000000000000004">
      <c r="A237" t="s">
        <v>271</v>
      </c>
      <c r="B237" t="s">
        <v>708</v>
      </c>
      <c r="C237" s="272" t="s">
        <v>231</v>
      </c>
      <c r="D237" t="s">
        <v>254</v>
      </c>
      <c r="E237" s="209">
        <v>46247</v>
      </c>
      <c r="F237" s="209">
        <v>46247</v>
      </c>
      <c r="G237" s="214"/>
      <c r="J237" t="s">
        <v>607</v>
      </c>
      <c r="R237" t="str">
        <f t="shared" si="3"/>
        <v>E5 ML Tennis</v>
      </c>
    </row>
    <row r="238" spans="1:18" x14ac:dyDescent="0.55000000000000004">
      <c r="A238" t="s">
        <v>398</v>
      </c>
      <c r="B238" t="s">
        <v>709</v>
      </c>
      <c r="C238" s="272" t="s">
        <v>231</v>
      </c>
      <c r="D238" t="s">
        <v>254</v>
      </c>
      <c r="E238" s="209">
        <v>46247</v>
      </c>
      <c r="F238" s="209">
        <v>46247</v>
      </c>
      <c r="G238" s="214"/>
      <c r="J238" t="s">
        <v>607</v>
      </c>
      <c r="R238" t="str">
        <f t="shared" si="3"/>
        <v>E11 Ops Resilience</v>
      </c>
    </row>
    <row r="239" spans="1:18" x14ac:dyDescent="0.55000000000000004">
      <c r="A239" t="s">
        <v>252</v>
      </c>
      <c r="B239" t="s">
        <v>710</v>
      </c>
      <c r="C239" s="272" t="s">
        <v>231</v>
      </c>
      <c r="D239" t="s">
        <v>254</v>
      </c>
      <c r="E239" s="209">
        <v>46247</v>
      </c>
      <c r="F239" s="209">
        <v>46247</v>
      </c>
      <c r="G239" s="214"/>
      <c r="J239" t="s">
        <v>607</v>
      </c>
      <c r="R239" t="str">
        <f t="shared" si="3"/>
        <v>E3 ML NBA</v>
      </c>
    </row>
    <row r="240" spans="1:18" x14ac:dyDescent="0.55000000000000004">
      <c r="A240" t="s">
        <v>398</v>
      </c>
      <c r="B240" t="s">
        <v>711</v>
      </c>
      <c r="C240" s="272" t="s">
        <v>231</v>
      </c>
      <c r="D240" t="s">
        <v>254</v>
      </c>
      <c r="E240" s="209">
        <v>46247</v>
      </c>
      <c r="F240" s="209">
        <v>46247</v>
      </c>
      <c r="G240" s="214"/>
      <c r="J240" t="s">
        <v>607</v>
      </c>
      <c r="R240" t="str">
        <f t="shared" si="3"/>
        <v>E11 Ops Resilience</v>
      </c>
    </row>
    <row r="241" spans="1:18" ht="72" customHeight="1" x14ac:dyDescent="0.55000000000000004">
      <c r="A241" t="s">
        <v>252</v>
      </c>
      <c r="B241" t="s">
        <v>712</v>
      </c>
      <c r="C241" s="272" t="s">
        <v>231</v>
      </c>
      <c r="D241" t="s">
        <v>284</v>
      </c>
      <c r="E241" s="209">
        <v>46247</v>
      </c>
      <c r="F241" s="209">
        <v>46247</v>
      </c>
      <c r="G241" s="214" t="s">
        <v>713</v>
      </c>
      <c r="J241" t="s">
        <v>607</v>
      </c>
      <c r="R241" t="str">
        <f t="shared" si="3"/>
        <v>E3 ML NBA</v>
      </c>
    </row>
    <row r="242" spans="1:18" ht="57.6" customHeight="1" x14ac:dyDescent="0.55000000000000004">
      <c r="A242" t="s">
        <v>292</v>
      </c>
      <c r="B242" t="s">
        <v>714</v>
      </c>
      <c r="C242" s="278" t="s">
        <v>231</v>
      </c>
      <c r="D242" t="s">
        <v>294</v>
      </c>
      <c r="E242" s="209">
        <v>46254</v>
      </c>
      <c r="F242" s="209">
        <v>46254</v>
      </c>
      <c r="G242" s="214" t="s">
        <v>715</v>
      </c>
      <c r="K242" t="s">
        <v>607</v>
      </c>
      <c r="R242" t="str">
        <f t="shared" si="3"/>
        <v>E7 Mobile</v>
      </c>
    </row>
    <row r="243" spans="1:18" ht="57.6" customHeight="1" x14ac:dyDescent="0.55000000000000004">
      <c r="B243" t="s">
        <v>716</v>
      </c>
      <c r="C243" s="278" t="s">
        <v>231</v>
      </c>
      <c r="D243" t="s">
        <v>294</v>
      </c>
      <c r="E243" s="209">
        <v>46254</v>
      </c>
      <c r="F243" s="209">
        <v>46255</v>
      </c>
      <c r="G243" s="214" t="s">
        <v>717</v>
      </c>
      <c r="K243" t="s">
        <v>607</v>
      </c>
      <c r="R243" t="str">
        <f t="shared" si="3"/>
        <v>E7 Mobile</v>
      </c>
    </row>
    <row r="244" spans="1:18" ht="43.2" customHeight="1" x14ac:dyDescent="0.55000000000000004">
      <c r="B244" t="s">
        <v>718</v>
      </c>
      <c r="C244" s="278" t="s">
        <v>231</v>
      </c>
      <c r="D244" t="s">
        <v>294</v>
      </c>
      <c r="E244" s="209">
        <v>46255</v>
      </c>
      <c r="F244" s="209">
        <v>46255</v>
      </c>
      <c r="G244" s="214" t="s">
        <v>719</v>
      </c>
      <c r="K244" t="s">
        <v>607</v>
      </c>
      <c r="R244" t="str">
        <f t="shared" si="3"/>
        <v>E7 Mobile</v>
      </c>
    </row>
    <row r="245" spans="1:18" ht="72" customHeight="1" x14ac:dyDescent="0.55000000000000004">
      <c r="B245" t="s">
        <v>720</v>
      </c>
      <c r="C245" s="278" t="s">
        <v>231</v>
      </c>
      <c r="D245" t="s">
        <v>294</v>
      </c>
      <c r="E245" s="209">
        <v>46256</v>
      </c>
      <c r="F245" s="209">
        <v>46256</v>
      </c>
      <c r="G245" s="214" t="s">
        <v>721</v>
      </c>
      <c r="K245" t="s">
        <v>607</v>
      </c>
      <c r="R245" t="str">
        <f t="shared" si="3"/>
        <v>E7 Mobile</v>
      </c>
    </row>
    <row r="246" spans="1:18" ht="72" customHeight="1" x14ac:dyDescent="0.55000000000000004">
      <c r="B246" t="s">
        <v>722</v>
      </c>
      <c r="C246" s="278" t="s">
        <v>231</v>
      </c>
      <c r="D246" t="s">
        <v>294</v>
      </c>
      <c r="E246" s="209">
        <v>46256</v>
      </c>
      <c r="F246" s="209">
        <v>46256</v>
      </c>
      <c r="G246" s="214" t="s">
        <v>723</v>
      </c>
      <c r="K246" t="s">
        <v>607</v>
      </c>
      <c r="R246" t="str">
        <f t="shared" si="3"/>
        <v>E7 Mobile</v>
      </c>
    </row>
    <row r="247" spans="1:18" ht="86.4" customHeight="1" x14ac:dyDescent="0.55000000000000004">
      <c r="A247" t="s">
        <v>308</v>
      </c>
      <c r="B247" t="s">
        <v>724</v>
      </c>
      <c r="C247" s="278" t="s">
        <v>231</v>
      </c>
      <c r="D247" t="s">
        <v>254</v>
      </c>
      <c r="E247" s="209">
        <v>46256</v>
      </c>
      <c r="F247" s="209">
        <v>46256</v>
      </c>
      <c r="G247" s="214" t="s">
        <v>725</v>
      </c>
      <c r="K247" t="s">
        <v>607</v>
      </c>
      <c r="R247" t="str">
        <f t="shared" si="3"/>
        <v>E8 Model Quality</v>
      </c>
    </row>
    <row r="248" spans="1:18" ht="86.4" customHeight="1" x14ac:dyDescent="0.55000000000000004">
      <c r="B248" t="s">
        <v>726</v>
      </c>
      <c r="C248" s="278" t="s">
        <v>231</v>
      </c>
      <c r="D248" t="s">
        <v>254</v>
      </c>
      <c r="E248" s="209">
        <v>46256</v>
      </c>
      <c r="F248" s="209">
        <v>46256</v>
      </c>
      <c r="G248" s="214" t="s">
        <v>727</v>
      </c>
      <c r="K248" t="s">
        <v>607</v>
      </c>
      <c r="R248" t="str">
        <f t="shared" si="3"/>
        <v>E8 Model Quality</v>
      </c>
    </row>
    <row r="249" spans="1:18" ht="100.8" customHeight="1" x14ac:dyDescent="0.55000000000000004">
      <c r="B249" t="s">
        <v>728</v>
      </c>
      <c r="C249" s="278" t="s">
        <v>231</v>
      </c>
      <c r="D249" t="s">
        <v>254</v>
      </c>
      <c r="E249" s="209">
        <v>46256</v>
      </c>
      <c r="F249" s="209">
        <v>46256</v>
      </c>
      <c r="G249" s="214" t="s">
        <v>729</v>
      </c>
      <c r="K249" t="s">
        <v>607</v>
      </c>
      <c r="R249" t="str">
        <f t="shared" si="3"/>
        <v>E8 Model Quality</v>
      </c>
    </row>
    <row r="250" spans="1:18" ht="100.8" customHeight="1" x14ac:dyDescent="0.55000000000000004">
      <c r="B250" t="s">
        <v>730</v>
      </c>
      <c r="C250" s="279" t="s">
        <v>231</v>
      </c>
      <c r="D250" t="s">
        <v>284</v>
      </c>
      <c r="E250" s="209">
        <v>46256</v>
      </c>
      <c r="F250" s="209">
        <v>46256</v>
      </c>
      <c r="G250" s="214" t="s">
        <v>731</v>
      </c>
      <c r="K250" t="s">
        <v>607</v>
      </c>
      <c r="R250" t="str">
        <f t="shared" si="3"/>
        <v>E8 Model Quality</v>
      </c>
    </row>
    <row r="251" spans="1:18" ht="86.4" customHeight="1" x14ac:dyDescent="0.55000000000000004">
      <c r="B251" t="s">
        <v>732</v>
      </c>
      <c r="C251" s="279" t="s">
        <v>231</v>
      </c>
      <c r="D251" t="s">
        <v>254</v>
      </c>
      <c r="E251" s="209">
        <v>46256</v>
      </c>
      <c r="F251" s="209">
        <v>46256</v>
      </c>
      <c r="G251" s="214" t="s">
        <v>733</v>
      </c>
      <c r="K251" t="s">
        <v>607</v>
      </c>
      <c r="R251" t="str">
        <f t="shared" si="3"/>
        <v>E8 Model Quality</v>
      </c>
    </row>
    <row r="252" spans="1:18" ht="86.4" customHeight="1" x14ac:dyDescent="0.55000000000000004">
      <c r="B252" t="s">
        <v>734</v>
      </c>
      <c r="C252" s="279" t="s">
        <v>231</v>
      </c>
      <c r="D252" t="s">
        <v>735</v>
      </c>
      <c r="E252" s="209">
        <v>46256</v>
      </c>
      <c r="F252" s="209">
        <v>46256</v>
      </c>
      <c r="G252" s="214" t="s">
        <v>736</v>
      </c>
      <c r="K252" t="s">
        <v>607</v>
      </c>
      <c r="R252" t="str">
        <f t="shared" si="3"/>
        <v>E8 Model Quality</v>
      </c>
    </row>
    <row r="253" spans="1:18" ht="100.8" customHeight="1" x14ac:dyDescent="0.55000000000000004">
      <c r="A253" t="s">
        <v>292</v>
      </c>
      <c r="B253" t="s">
        <v>737</v>
      </c>
      <c r="C253" s="279" t="s">
        <v>231</v>
      </c>
      <c r="D253" t="s">
        <v>294</v>
      </c>
      <c r="E253" s="209">
        <v>46256</v>
      </c>
      <c r="F253" s="209">
        <v>46256</v>
      </c>
      <c r="G253" s="214" t="s">
        <v>738</v>
      </c>
      <c r="K253" t="s">
        <v>607</v>
      </c>
      <c r="R253" t="str">
        <f t="shared" si="3"/>
        <v>E7 Mobile</v>
      </c>
    </row>
    <row r="254" spans="1:18" ht="100.8" customHeight="1" x14ac:dyDescent="0.55000000000000004">
      <c r="A254" t="s">
        <v>282</v>
      </c>
      <c r="B254" t="s">
        <v>739</v>
      </c>
      <c r="C254" s="280" t="s">
        <v>231</v>
      </c>
      <c r="D254" t="s">
        <v>284</v>
      </c>
      <c r="E254" s="209">
        <v>46257</v>
      </c>
      <c r="F254" s="209">
        <v>46257</v>
      </c>
      <c r="G254" s="214" t="s">
        <v>740</v>
      </c>
      <c r="K254" t="s">
        <v>607</v>
      </c>
      <c r="R254" t="str">
        <f t="shared" si="3"/>
        <v>E6 Picks</v>
      </c>
    </row>
    <row r="255" spans="1:18" ht="86.4" customHeight="1" x14ac:dyDescent="0.55000000000000004">
      <c r="B255" t="s">
        <v>741</v>
      </c>
      <c r="C255" s="280" t="s">
        <v>231</v>
      </c>
      <c r="D255" t="s">
        <v>284</v>
      </c>
      <c r="E255" s="209">
        <v>46257</v>
      </c>
      <c r="F255" s="209">
        <v>46257</v>
      </c>
      <c r="G255" s="214" t="s">
        <v>742</v>
      </c>
      <c r="K255" t="s">
        <v>607</v>
      </c>
      <c r="R255" t="str">
        <f t="shared" si="3"/>
        <v>E6 Picks</v>
      </c>
    </row>
    <row r="256" spans="1:18" ht="57.6" customHeight="1" x14ac:dyDescent="0.55000000000000004">
      <c r="A256" t="s">
        <v>292</v>
      </c>
      <c r="B256" t="s">
        <v>743</v>
      </c>
      <c r="C256" s="280" t="s">
        <v>231</v>
      </c>
      <c r="D256" t="s">
        <v>294</v>
      </c>
      <c r="E256" s="209">
        <v>46257</v>
      </c>
      <c r="F256" s="209">
        <v>46257</v>
      </c>
      <c r="G256" s="214" t="s">
        <v>744</v>
      </c>
      <c r="K256" t="s">
        <v>607</v>
      </c>
      <c r="R256" t="str">
        <f t="shared" si="3"/>
        <v>E7 Mobile</v>
      </c>
    </row>
    <row r="257" spans="1:18" ht="86.4" customHeight="1" x14ac:dyDescent="0.55000000000000004">
      <c r="A257" t="s">
        <v>308</v>
      </c>
      <c r="B257" t="s">
        <v>745</v>
      </c>
      <c r="C257" s="281" t="s">
        <v>231</v>
      </c>
      <c r="D257" t="s">
        <v>254</v>
      </c>
      <c r="E257" s="209">
        <v>46257</v>
      </c>
      <c r="F257" s="209">
        <v>46257</v>
      </c>
      <c r="G257" s="214" t="s">
        <v>746</v>
      </c>
      <c r="K257" t="s">
        <v>607</v>
      </c>
      <c r="R257" t="str">
        <f t="shared" si="3"/>
        <v>E8 Model Quality</v>
      </c>
    </row>
    <row r="258" spans="1:18" ht="28.8" x14ac:dyDescent="0.55000000000000004">
      <c r="A258" t="s">
        <v>282</v>
      </c>
      <c r="B258" t="s">
        <v>747</v>
      </c>
      <c r="C258" s="281" t="s">
        <v>231</v>
      </c>
      <c r="D258" t="s">
        <v>294</v>
      </c>
      <c r="E258" s="209" t="s">
        <v>748</v>
      </c>
      <c r="F258" s="209" t="s">
        <v>748</v>
      </c>
      <c r="G258" s="214" t="s">
        <v>749</v>
      </c>
      <c r="L258" t="s">
        <v>607</v>
      </c>
      <c r="R258" t="str">
        <f t="shared" si="3"/>
        <v>E6 Picks</v>
      </c>
    </row>
    <row r="259" spans="1:18" ht="43.2" x14ac:dyDescent="0.55000000000000004">
      <c r="B259" t="s">
        <v>750</v>
      </c>
      <c r="C259" s="281" t="s">
        <v>231</v>
      </c>
      <c r="D259" t="s">
        <v>284</v>
      </c>
      <c r="E259" s="209" t="s">
        <v>751</v>
      </c>
      <c r="F259" s="209" t="s">
        <v>751</v>
      </c>
      <c r="G259" s="214" t="s">
        <v>752</v>
      </c>
      <c r="L259" t="s">
        <v>607</v>
      </c>
      <c r="R259" t="str">
        <f t="shared" si="3"/>
        <v>E6 Picks</v>
      </c>
    </row>
    <row r="260" spans="1:18" ht="43.2" x14ac:dyDescent="0.55000000000000004">
      <c r="A260" t="s">
        <v>292</v>
      </c>
      <c r="B260" t="s">
        <v>753</v>
      </c>
      <c r="C260" s="281" t="s">
        <v>231</v>
      </c>
      <c r="D260" t="s">
        <v>294</v>
      </c>
      <c r="E260" s="209" t="s">
        <v>751</v>
      </c>
      <c r="F260" s="209" t="s">
        <v>751</v>
      </c>
      <c r="G260" s="214" t="s">
        <v>754</v>
      </c>
      <c r="L260" t="s">
        <v>607</v>
      </c>
      <c r="R260" t="str">
        <f t="shared" si="3"/>
        <v>E7 Mobile</v>
      </c>
    </row>
    <row r="261" spans="1:18" ht="43.2" x14ac:dyDescent="0.55000000000000004">
      <c r="B261" t="s">
        <v>755</v>
      </c>
      <c r="C261" s="281" t="s">
        <v>231</v>
      </c>
      <c r="D261" t="s">
        <v>294</v>
      </c>
      <c r="E261" s="209" t="s">
        <v>751</v>
      </c>
      <c r="F261" s="209" t="s">
        <v>751</v>
      </c>
      <c r="G261" s="214" t="s">
        <v>756</v>
      </c>
      <c r="L261" t="s">
        <v>607</v>
      </c>
      <c r="R261" t="str">
        <f t="shared" si="3"/>
        <v>E7 Mobile</v>
      </c>
    </row>
    <row r="262" spans="1:18" ht="43.2" x14ac:dyDescent="0.55000000000000004">
      <c r="A262" t="s">
        <v>308</v>
      </c>
      <c r="B262" t="s">
        <v>757</v>
      </c>
      <c r="C262" s="281" t="s">
        <v>231</v>
      </c>
      <c r="D262" t="s">
        <v>254</v>
      </c>
      <c r="E262" s="209" t="s">
        <v>758</v>
      </c>
      <c r="F262" s="209" t="s">
        <v>758</v>
      </c>
      <c r="G262" s="214" t="s">
        <v>759</v>
      </c>
      <c r="L262" t="s">
        <v>607</v>
      </c>
      <c r="R262" t="str">
        <f t="shared" ref="R262:R271" si="4">IF($A262&lt;&gt;"",$A262,R261)</f>
        <v>E8 Model Quality</v>
      </c>
    </row>
    <row r="263" spans="1:18" ht="57.6" x14ac:dyDescent="0.55000000000000004">
      <c r="A263" t="s">
        <v>369</v>
      </c>
      <c r="B263" t="s">
        <v>760</v>
      </c>
      <c r="C263" s="281" t="s">
        <v>231</v>
      </c>
      <c r="D263" t="s">
        <v>735</v>
      </c>
      <c r="E263" s="209" t="s">
        <v>761</v>
      </c>
      <c r="F263" s="209" t="s">
        <v>761</v>
      </c>
      <c r="G263" s="214" t="s">
        <v>762</v>
      </c>
      <c r="M263" t="s">
        <v>607</v>
      </c>
      <c r="R263" t="str">
        <f t="shared" si="4"/>
        <v>E10 Deploy</v>
      </c>
    </row>
    <row r="264" spans="1:18" ht="57.6" x14ac:dyDescent="0.55000000000000004">
      <c r="A264" t="s">
        <v>282</v>
      </c>
      <c r="B264" t="s">
        <v>763</v>
      </c>
      <c r="C264" s="281" t="s">
        <v>231</v>
      </c>
      <c r="D264" t="s">
        <v>284</v>
      </c>
      <c r="E264" s="209" t="s">
        <v>764</v>
      </c>
      <c r="F264" s="209" t="s">
        <v>764</v>
      </c>
      <c r="G264" s="214" t="s">
        <v>765</v>
      </c>
      <c r="N264" t="s">
        <v>607</v>
      </c>
      <c r="R264" t="str">
        <f t="shared" si="4"/>
        <v>E6 Picks</v>
      </c>
    </row>
    <row r="265" spans="1:18" ht="28.8" x14ac:dyDescent="0.55000000000000004">
      <c r="A265" t="s">
        <v>398</v>
      </c>
      <c r="B265" t="s">
        <v>766</v>
      </c>
      <c r="C265" s="281" t="s">
        <v>231</v>
      </c>
      <c r="D265" t="s">
        <v>284</v>
      </c>
      <c r="E265" s="209" t="s">
        <v>767</v>
      </c>
      <c r="F265" s="209" t="s">
        <v>767</v>
      </c>
      <c r="G265" s="214" t="s">
        <v>768</v>
      </c>
      <c r="O265" t="s">
        <v>607</v>
      </c>
      <c r="R265" t="str">
        <f t="shared" si="4"/>
        <v>E11 Ops Resilience</v>
      </c>
    </row>
    <row r="266" spans="1:18" ht="57.6" x14ac:dyDescent="0.55000000000000004">
      <c r="A266" t="s">
        <v>240</v>
      </c>
      <c r="B266" t="s">
        <v>769</v>
      </c>
      <c r="C266" s="281" t="s">
        <v>231</v>
      </c>
      <c r="D266" t="s">
        <v>284</v>
      </c>
      <c r="E266" s="209" t="s">
        <v>767</v>
      </c>
      <c r="F266" s="209" t="s">
        <v>767</v>
      </c>
      <c r="G266" s="214" t="s">
        <v>770</v>
      </c>
      <c r="O266" t="s">
        <v>607</v>
      </c>
      <c r="R266" t="str">
        <f t="shared" si="4"/>
        <v>E2 Ingestion</v>
      </c>
    </row>
    <row r="267" spans="1:18" ht="43.2" x14ac:dyDescent="0.55000000000000004">
      <c r="A267" t="s">
        <v>338</v>
      </c>
      <c r="B267" t="s">
        <v>771</v>
      </c>
      <c r="C267" s="281" t="s">
        <v>231</v>
      </c>
      <c r="D267" t="s">
        <v>254</v>
      </c>
      <c r="E267" s="209" t="s">
        <v>772</v>
      </c>
      <c r="F267" s="209" t="s">
        <v>772</v>
      </c>
      <c r="G267" s="214" t="s">
        <v>773</v>
      </c>
      <c r="O267" t="s">
        <v>607</v>
      </c>
      <c r="R267" t="str">
        <f t="shared" si="4"/>
        <v>E9 Data Ops</v>
      </c>
    </row>
    <row r="268" spans="1:18" ht="57.6" x14ac:dyDescent="0.55000000000000004">
      <c r="A268" t="s">
        <v>292</v>
      </c>
      <c r="B268" t="s">
        <v>774</v>
      </c>
      <c r="C268" s="281" t="s">
        <v>231</v>
      </c>
      <c r="D268" t="s">
        <v>294</v>
      </c>
      <c r="E268" s="209">
        <v>46284</v>
      </c>
      <c r="F268" s="209">
        <v>46284</v>
      </c>
      <c r="G268" s="214" t="s">
        <v>775</v>
      </c>
      <c r="O268" t="s">
        <v>607</v>
      </c>
      <c r="R268" t="str">
        <f t="shared" si="4"/>
        <v>E7 Mobile</v>
      </c>
    </row>
    <row r="269" spans="1:18" ht="57.6" x14ac:dyDescent="0.55000000000000004">
      <c r="B269" t="s">
        <v>776</v>
      </c>
      <c r="C269" s="281" t="s">
        <v>231</v>
      </c>
      <c r="D269" t="s">
        <v>294</v>
      </c>
      <c r="E269" s="209">
        <v>46284</v>
      </c>
      <c r="F269" s="209">
        <v>46284</v>
      </c>
      <c r="G269" s="214" t="s">
        <v>777</v>
      </c>
      <c r="O269" t="s">
        <v>607</v>
      </c>
      <c r="R269" t="str">
        <f t="shared" si="4"/>
        <v>E7 Mobile</v>
      </c>
    </row>
    <row r="270" spans="1:18" ht="72" x14ac:dyDescent="0.55000000000000004">
      <c r="B270" t="s">
        <v>778</v>
      </c>
      <c r="C270" s="281" t="s">
        <v>231</v>
      </c>
      <c r="D270" t="s">
        <v>294</v>
      </c>
      <c r="E270" s="209">
        <v>46284</v>
      </c>
      <c r="F270" s="209">
        <v>46284</v>
      </c>
      <c r="G270" s="214" t="s">
        <v>779</v>
      </c>
      <c r="O270" t="s">
        <v>607</v>
      </c>
      <c r="R270" t="str">
        <f t="shared" si="4"/>
        <v>E7 Mobile</v>
      </c>
    </row>
    <row r="271" spans="1:18" ht="100.8" x14ac:dyDescent="0.55000000000000004">
      <c r="A271" t="s">
        <v>369</v>
      </c>
      <c r="B271" t="s">
        <v>780</v>
      </c>
      <c r="C271" s="281" t="s">
        <v>231</v>
      </c>
      <c r="D271" t="s">
        <v>735</v>
      </c>
      <c r="E271" s="209">
        <v>46284</v>
      </c>
      <c r="F271" s="209">
        <v>46284</v>
      </c>
      <c r="G271" s="214" t="s">
        <v>781</v>
      </c>
      <c r="O271" t="s">
        <v>607</v>
      </c>
      <c r="R271" t="str">
        <f t="shared" si="4"/>
        <v>E10 Deploy</v>
      </c>
    </row>
    <row r="273" spans="1:6" x14ac:dyDescent="0.55000000000000004">
      <c r="A273" s="23" t="s">
        <v>782</v>
      </c>
      <c r="B273" s="5" t="s">
        <v>231</v>
      </c>
      <c r="C273" s="15" t="s">
        <v>783</v>
      </c>
      <c r="D273" s="17" t="s">
        <v>16</v>
      </c>
      <c r="E273" s="21" t="s">
        <v>352</v>
      </c>
      <c r="F273" s="19" t="s">
        <v>346</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43"/>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302" t="s">
        <v>784</v>
      </c>
      <c r="B1" s="291"/>
      <c r="C1" s="291"/>
      <c r="D1" s="291"/>
      <c r="E1" s="291"/>
      <c r="F1" s="291"/>
      <c r="G1" s="291"/>
      <c r="H1" s="291"/>
      <c r="I1" s="291"/>
      <c r="J1" s="291"/>
      <c r="K1" s="291"/>
      <c r="L1" s="291"/>
      <c r="M1" s="291"/>
      <c r="N1" s="291"/>
      <c r="O1" s="291"/>
      <c r="P1" s="291"/>
      <c r="Q1" s="291"/>
      <c r="R1" s="291"/>
      <c r="S1" s="291"/>
    </row>
    <row r="2" spans="1:19" ht="18" customHeight="1" x14ac:dyDescent="0.55000000000000004">
      <c r="A2" s="309" t="s">
        <v>785</v>
      </c>
      <c r="B2" s="291"/>
      <c r="C2" s="291"/>
      <c r="D2" s="291"/>
      <c r="E2" s="291"/>
      <c r="F2" s="291"/>
      <c r="G2" s="291"/>
      <c r="H2" s="291"/>
      <c r="I2" s="291"/>
      <c r="J2" s="291"/>
      <c r="K2" s="291"/>
      <c r="L2" s="291"/>
      <c r="M2" s="291"/>
      <c r="N2" s="291"/>
      <c r="O2" s="291"/>
      <c r="P2" s="291"/>
      <c r="Q2" s="291"/>
      <c r="R2" s="291"/>
      <c r="S2" s="291"/>
    </row>
    <row r="4" spans="1:19" ht="20.05" customHeight="1" x14ac:dyDescent="0.55000000000000004">
      <c r="A4" s="297" t="s">
        <v>786</v>
      </c>
      <c r="B4" s="291"/>
      <c r="C4" s="291"/>
      <c r="D4" s="291"/>
      <c r="E4" s="291"/>
      <c r="F4" s="291"/>
      <c r="G4" s="291"/>
      <c r="H4" s="291"/>
      <c r="I4" s="291"/>
      <c r="J4" s="291"/>
      <c r="K4" s="291"/>
      <c r="L4" s="291"/>
      <c r="M4" s="291"/>
      <c r="N4" s="291"/>
      <c r="O4" s="291"/>
      <c r="P4" s="291"/>
      <c r="Q4" s="291"/>
      <c r="R4" s="291"/>
      <c r="S4" s="291"/>
    </row>
    <row r="5" spans="1:19" ht="52" customHeight="1" x14ac:dyDescent="0.55000000000000004">
      <c r="A5" s="35" t="s">
        <v>787</v>
      </c>
      <c r="B5" s="287" t="s">
        <v>788</v>
      </c>
      <c r="C5" s="288"/>
      <c r="D5" s="289"/>
      <c r="E5" s="292" t="s">
        <v>789</v>
      </c>
      <c r="F5" s="288"/>
      <c r="G5" s="289"/>
      <c r="H5" s="292" t="s">
        <v>790</v>
      </c>
      <c r="I5" s="288"/>
      <c r="J5" s="289"/>
      <c r="K5" s="287" t="s">
        <v>791</v>
      </c>
      <c r="L5" s="288"/>
      <c r="M5" s="289"/>
      <c r="N5" s="294" t="s">
        <v>792</v>
      </c>
      <c r="O5" s="288"/>
      <c r="P5" s="289"/>
      <c r="Q5" s="294" t="s">
        <v>793</v>
      </c>
      <c r="R5" s="288"/>
      <c r="S5" s="289"/>
    </row>
    <row r="6" spans="1:19" ht="15" customHeight="1" x14ac:dyDescent="0.55000000000000004">
      <c r="B6" s="290" t="s">
        <v>794</v>
      </c>
      <c r="C6" s="291"/>
      <c r="D6" s="291"/>
      <c r="E6" s="291"/>
      <c r="F6" s="291"/>
      <c r="G6" s="291"/>
      <c r="H6" s="291"/>
      <c r="I6" s="291"/>
      <c r="J6" s="291"/>
      <c r="K6" s="291"/>
      <c r="L6" s="291"/>
      <c r="M6" s="291"/>
      <c r="N6" s="291"/>
      <c r="O6" s="291"/>
      <c r="P6" s="291"/>
      <c r="Q6" s="291"/>
      <c r="R6" s="291"/>
      <c r="S6" s="291"/>
    </row>
    <row r="7" spans="1:19" ht="20.05" customHeight="1" x14ac:dyDescent="0.55000000000000004">
      <c r="A7" s="297" t="s">
        <v>795</v>
      </c>
      <c r="B7" s="291"/>
      <c r="C7" s="291"/>
      <c r="D7" s="291"/>
      <c r="E7" s="291"/>
      <c r="F7" s="291"/>
      <c r="G7" s="291"/>
      <c r="H7" s="291"/>
      <c r="I7" s="291"/>
      <c r="J7" s="291"/>
      <c r="K7" s="291"/>
      <c r="L7" s="291"/>
      <c r="M7" s="291"/>
      <c r="N7" s="291"/>
      <c r="O7" s="291"/>
      <c r="P7" s="291"/>
      <c r="Q7" s="291"/>
      <c r="R7" s="291"/>
      <c r="S7" s="291"/>
    </row>
    <row r="8" spans="1:19" ht="46" customHeight="1" x14ac:dyDescent="0.55000000000000004">
      <c r="A8" s="35" t="s">
        <v>796</v>
      </c>
      <c r="B8" s="300" t="s">
        <v>797</v>
      </c>
      <c r="C8" s="288"/>
      <c r="D8" s="288"/>
      <c r="E8" s="288"/>
      <c r="F8" s="288"/>
      <c r="G8" s="288"/>
      <c r="H8" s="288"/>
      <c r="I8" s="288"/>
      <c r="J8" s="289"/>
      <c r="K8" s="300" t="s">
        <v>798</v>
      </c>
      <c r="L8" s="288"/>
      <c r="M8" s="288"/>
      <c r="N8" s="288"/>
      <c r="O8" s="288"/>
      <c r="P8" s="288"/>
      <c r="Q8" s="288"/>
      <c r="R8" s="288"/>
      <c r="S8" s="289"/>
    </row>
    <row r="9" spans="1:19" ht="15" customHeight="1" x14ac:dyDescent="0.55000000000000004">
      <c r="B9" s="290" t="s">
        <v>794</v>
      </c>
      <c r="C9" s="291"/>
      <c r="D9" s="291"/>
      <c r="E9" s="291"/>
      <c r="F9" s="291"/>
      <c r="G9" s="291"/>
      <c r="H9" s="291"/>
      <c r="I9" s="291"/>
      <c r="J9" s="291"/>
      <c r="K9" s="291"/>
      <c r="L9" s="291"/>
      <c r="M9" s="291"/>
      <c r="N9" s="291"/>
      <c r="O9" s="291"/>
      <c r="P9" s="291"/>
      <c r="Q9" s="291"/>
      <c r="R9" s="291"/>
      <c r="S9" s="291"/>
    </row>
    <row r="10" spans="1:19" ht="20.05" customHeight="1" x14ac:dyDescent="0.55000000000000004">
      <c r="A10" s="297" t="s">
        <v>799</v>
      </c>
      <c r="B10" s="291"/>
      <c r="C10" s="291"/>
      <c r="D10" s="291"/>
      <c r="E10" s="291"/>
      <c r="F10" s="291"/>
      <c r="G10" s="291"/>
      <c r="H10" s="291"/>
      <c r="I10" s="291"/>
      <c r="J10" s="291"/>
      <c r="K10" s="291"/>
      <c r="L10" s="291"/>
      <c r="M10" s="291"/>
      <c r="N10" s="291"/>
      <c r="O10" s="291"/>
      <c r="P10" s="291"/>
      <c r="Q10" s="291"/>
      <c r="R10" s="291"/>
      <c r="S10" s="291"/>
    </row>
    <row r="11" spans="1:19" ht="54" customHeight="1" x14ac:dyDescent="0.55000000000000004">
      <c r="A11" s="35" t="s">
        <v>800</v>
      </c>
      <c r="B11" s="287" t="s">
        <v>801</v>
      </c>
      <c r="C11" s="288"/>
      <c r="D11" s="289"/>
      <c r="E11" s="287" t="s">
        <v>802</v>
      </c>
      <c r="F11" s="288"/>
      <c r="G11" s="289"/>
      <c r="H11" s="287" t="s">
        <v>803</v>
      </c>
      <c r="I11" s="288"/>
      <c r="J11" s="289"/>
      <c r="K11" s="292" t="s">
        <v>804</v>
      </c>
      <c r="L11" s="288"/>
      <c r="M11" s="289"/>
      <c r="N11" s="287" t="s">
        <v>805</v>
      </c>
      <c r="O11" s="288"/>
      <c r="P11" s="289"/>
      <c r="Q11" s="287" t="s">
        <v>806</v>
      </c>
      <c r="R11" s="288"/>
      <c r="S11" s="289"/>
    </row>
    <row r="12" spans="1:19" ht="15" customHeight="1" x14ac:dyDescent="0.55000000000000004">
      <c r="B12" s="290" t="s">
        <v>794</v>
      </c>
      <c r="C12" s="291"/>
      <c r="D12" s="291"/>
      <c r="E12" s="291"/>
      <c r="F12" s="291"/>
      <c r="G12" s="291"/>
      <c r="H12" s="291"/>
      <c r="I12" s="291"/>
      <c r="J12" s="291"/>
      <c r="K12" s="291"/>
      <c r="L12" s="291"/>
      <c r="M12" s="291"/>
      <c r="N12" s="291"/>
      <c r="O12" s="291"/>
      <c r="P12" s="291"/>
      <c r="Q12" s="291"/>
      <c r="R12" s="291"/>
      <c r="S12" s="291"/>
    </row>
    <row r="13" spans="1:19" ht="20.05" customHeight="1" x14ac:dyDescent="0.55000000000000004">
      <c r="A13" s="297" t="s">
        <v>807</v>
      </c>
      <c r="B13" s="291"/>
      <c r="C13" s="291"/>
      <c r="D13" s="291"/>
      <c r="E13" s="291"/>
      <c r="F13" s="291"/>
      <c r="G13" s="291"/>
      <c r="H13" s="291"/>
      <c r="I13" s="291"/>
      <c r="J13" s="291"/>
      <c r="K13" s="291"/>
      <c r="L13" s="291"/>
      <c r="M13" s="291"/>
      <c r="N13" s="291"/>
      <c r="O13" s="291"/>
      <c r="P13" s="291"/>
      <c r="Q13" s="291"/>
      <c r="R13" s="291"/>
      <c r="S13" s="291"/>
    </row>
    <row r="14" spans="1:19" ht="52" customHeight="1" x14ac:dyDescent="0.55000000000000004">
      <c r="A14" s="35" t="s">
        <v>808</v>
      </c>
      <c r="B14" s="295" t="s">
        <v>809</v>
      </c>
      <c r="C14" s="288"/>
      <c r="D14" s="288"/>
      <c r="E14" s="288"/>
      <c r="F14" s="288"/>
      <c r="G14" s="289"/>
      <c r="H14" s="295" t="s">
        <v>810</v>
      </c>
      <c r="I14" s="288"/>
      <c r="J14" s="288"/>
      <c r="K14" s="288"/>
      <c r="L14" s="288"/>
      <c r="M14" s="289"/>
      <c r="N14" s="295" t="s">
        <v>811</v>
      </c>
      <c r="O14" s="288"/>
      <c r="P14" s="289"/>
      <c r="Q14" s="292" t="s">
        <v>812</v>
      </c>
      <c r="R14" s="288"/>
      <c r="S14" s="289"/>
    </row>
    <row r="15" spans="1:19" ht="15" customHeight="1" x14ac:dyDescent="0.55000000000000004">
      <c r="B15" s="290" t="s">
        <v>813</v>
      </c>
      <c r="C15" s="291"/>
      <c r="D15" s="291"/>
      <c r="E15" s="291"/>
      <c r="F15" s="291"/>
      <c r="G15" s="291"/>
      <c r="H15" s="291"/>
      <c r="I15" s="291"/>
      <c r="J15" s="291"/>
      <c r="K15" s="291"/>
      <c r="L15" s="291"/>
      <c r="M15" s="291"/>
      <c r="N15" s="291"/>
      <c r="O15" s="291"/>
      <c r="P15" s="291"/>
      <c r="Q15" s="291"/>
      <c r="R15" s="291"/>
      <c r="S15" s="291"/>
    </row>
    <row r="16" spans="1:19" ht="20.05" customHeight="1" x14ac:dyDescent="0.55000000000000004">
      <c r="A16" s="297" t="s">
        <v>814</v>
      </c>
      <c r="B16" s="291"/>
      <c r="C16" s="291"/>
      <c r="D16" s="291"/>
      <c r="E16" s="291"/>
      <c r="F16" s="291"/>
      <c r="G16" s="291"/>
      <c r="H16" s="291"/>
      <c r="I16" s="291"/>
      <c r="J16" s="291"/>
      <c r="K16" s="291"/>
      <c r="L16" s="291"/>
      <c r="M16" s="291"/>
      <c r="N16" s="291"/>
      <c r="O16" s="291"/>
      <c r="P16" s="291"/>
      <c r="Q16" s="291"/>
      <c r="R16" s="291"/>
      <c r="S16" s="291"/>
    </row>
    <row r="17" spans="1:19" ht="54" customHeight="1" x14ac:dyDescent="0.55000000000000004">
      <c r="A17" s="35" t="s">
        <v>815</v>
      </c>
      <c r="B17" s="296" t="s">
        <v>816</v>
      </c>
      <c r="C17" s="288"/>
      <c r="D17" s="288"/>
      <c r="E17" s="288"/>
      <c r="F17" s="288"/>
      <c r="G17" s="289"/>
      <c r="H17" s="296" t="s">
        <v>817</v>
      </c>
      <c r="I17" s="288"/>
      <c r="J17" s="289"/>
      <c r="K17" s="296" t="s">
        <v>818</v>
      </c>
      <c r="L17" s="288"/>
      <c r="M17" s="289"/>
      <c r="N17" s="296" t="s">
        <v>819</v>
      </c>
      <c r="O17" s="288"/>
      <c r="P17" s="289"/>
      <c r="Q17" s="296" t="s">
        <v>820</v>
      </c>
      <c r="R17" s="288"/>
      <c r="S17" s="289"/>
    </row>
    <row r="18" spans="1:19" ht="15" customHeight="1" x14ac:dyDescent="0.55000000000000004">
      <c r="B18" s="290" t="s">
        <v>794</v>
      </c>
      <c r="C18" s="291"/>
      <c r="D18" s="291"/>
      <c r="E18" s="291"/>
      <c r="F18" s="291"/>
      <c r="G18" s="291"/>
      <c r="H18" s="291"/>
      <c r="I18" s="291"/>
      <c r="J18" s="291"/>
      <c r="K18" s="291"/>
      <c r="L18" s="291"/>
      <c r="M18" s="291"/>
      <c r="N18" s="291"/>
      <c r="O18" s="291"/>
      <c r="P18" s="291"/>
      <c r="Q18" s="291"/>
      <c r="R18" s="291"/>
      <c r="S18" s="291"/>
    </row>
    <row r="19" spans="1:19" ht="20.05" customHeight="1" x14ac:dyDescent="0.55000000000000004">
      <c r="A19" s="297" t="s">
        <v>821</v>
      </c>
      <c r="B19" s="291"/>
      <c r="C19" s="291"/>
      <c r="D19" s="291"/>
      <c r="E19" s="291"/>
      <c r="F19" s="291"/>
      <c r="G19" s="291"/>
      <c r="H19" s="291"/>
      <c r="I19" s="291"/>
      <c r="J19" s="291"/>
      <c r="K19" s="291"/>
      <c r="L19" s="291"/>
      <c r="M19" s="291"/>
      <c r="N19" s="291"/>
      <c r="O19" s="291"/>
      <c r="P19" s="291"/>
      <c r="Q19" s="291"/>
      <c r="R19" s="291"/>
      <c r="S19" s="291"/>
    </row>
    <row r="20" spans="1:19" ht="46" customHeight="1" x14ac:dyDescent="0.55000000000000004">
      <c r="A20" s="35" t="s">
        <v>822</v>
      </c>
      <c r="B20" s="298" t="s">
        <v>823</v>
      </c>
      <c r="C20" s="288"/>
      <c r="D20" s="288"/>
      <c r="E20" s="288"/>
      <c r="F20" s="288"/>
      <c r="G20" s="289"/>
      <c r="H20" s="298" t="s">
        <v>824</v>
      </c>
      <c r="I20" s="288"/>
      <c r="J20" s="288"/>
      <c r="K20" s="288"/>
      <c r="L20" s="288"/>
      <c r="M20" s="289"/>
      <c r="N20" s="298" t="s">
        <v>825</v>
      </c>
      <c r="O20" s="288"/>
      <c r="P20" s="288"/>
      <c r="Q20" s="288"/>
      <c r="R20" s="288"/>
      <c r="S20" s="289"/>
    </row>
    <row r="21" spans="1:19" ht="15" customHeight="1" x14ac:dyDescent="0.55000000000000004">
      <c r="B21" s="290" t="s">
        <v>794</v>
      </c>
      <c r="C21" s="291"/>
      <c r="D21" s="291"/>
      <c r="E21" s="291"/>
      <c r="F21" s="291"/>
      <c r="G21" s="291"/>
      <c r="H21" s="291"/>
      <c r="I21" s="291"/>
      <c r="J21" s="291"/>
      <c r="K21" s="291"/>
      <c r="L21" s="291"/>
      <c r="M21" s="291"/>
      <c r="N21" s="291"/>
      <c r="O21" s="291"/>
      <c r="P21" s="291"/>
      <c r="Q21" s="291"/>
      <c r="R21" s="291"/>
      <c r="S21" s="291"/>
    </row>
    <row r="22" spans="1:19" ht="20.05" customHeight="1" x14ac:dyDescent="0.55000000000000004">
      <c r="A22" s="297" t="s">
        <v>826</v>
      </c>
      <c r="B22" s="291"/>
      <c r="C22" s="291"/>
      <c r="D22" s="291"/>
      <c r="E22" s="291"/>
      <c r="F22" s="291"/>
      <c r="G22" s="291"/>
      <c r="H22" s="291"/>
      <c r="I22" s="291"/>
      <c r="J22" s="291"/>
      <c r="K22" s="291"/>
      <c r="L22" s="291"/>
      <c r="M22" s="291"/>
      <c r="N22" s="291"/>
      <c r="O22" s="291"/>
      <c r="P22" s="291"/>
      <c r="Q22" s="291"/>
      <c r="R22" s="291"/>
      <c r="S22" s="291"/>
    </row>
    <row r="23" spans="1:19" ht="52" customHeight="1" x14ac:dyDescent="0.55000000000000004">
      <c r="A23" s="35" t="s">
        <v>827</v>
      </c>
      <c r="B23" s="298" t="s">
        <v>828</v>
      </c>
      <c r="C23" s="288"/>
      <c r="D23" s="288"/>
      <c r="E23" s="288"/>
      <c r="F23" s="288"/>
      <c r="G23" s="289"/>
      <c r="H23" s="298" t="s">
        <v>829</v>
      </c>
      <c r="I23" s="288"/>
      <c r="J23" s="289"/>
      <c r="K23" s="298" t="s">
        <v>830</v>
      </c>
      <c r="L23" s="288"/>
      <c r="M23" s="289"/>
      <c r="N23" s="298" t="s">
        <v>831</v>
      </c>
      <c r="O23" s="288"/>
      <c r="P23" s="289"/>
      <c r="Q23" s="294" t="s">
        <v>832</v>
      </c>
      <c r="R23" s="288"/>
      <c r="S23" s="289"/>
    </row>
    <row r="26" spans="1:19" ht="20.05" customHeight="1" x14ac:dyDescent="0.55000000000000004">
      <c r="A26" s="303" t="s">
        <v>833</v>
      </c>
      <c r="B26" s="291"/>
      <c r="C26" s="291"/>
      <c r="D26" s="291"/>
      <c r="E26" s="291"/>
      <c r="F26" s="291"/>
      <c r="G26" s="291"/>
      <c r="H26" s="291"/>
      <c r="I26" s="291"/>
      <c r="J26" s="291"/>
      <c r="K26" s="291"/>
      <c r="L26" s="291"/>
      <c r="M26" s="291"/>
      <c r="N26" s="291"/>
      <c r="O26" s="291"/>
      <c r="P26" s="291"/>
      <c r="Q26" s="291"/>
      <c r="R26" s="291"/>
      <c r="S26" s="291"/>
    </row>
    <row r="27" spans="1:19" ht="52" customHeight="1" x14ac:dyDescent="0.55000000000000004">
      <c r="A27" s="35" t="s">
        <v>834</v>
      </c>
      <c r="B27" s="287" t="s">
        <v>835</v>
      </c>
      <c r="C27" s="288"/>
      <c r="D27" s="289"/>
      <c r="E27" s="287" t="s">
        <v>836</v>
      </c>
      <c r="F27" s="288"/>
      <c r="G27" s="289"/>
      <c r="H27" s="295" t="s">
        <v>837</v>
      </c>
      <c r="I27" s="288"/>
      <c r="J27" s="289"/>
      <c r="K27" s="296" t="s">
        <v>838</v>
      </c>
      <c r="L27" s="288"/>
      <c r="M27" s="289"/>
      <c r="N27" s="296" t="s">
        <v>839</v>
      </c>
      <c r="O27" s="288"/>
      <c r="P27" s="289"/>
      <c r="Q27" s="295" t="s">
        <v>840</v>
      </c>
      <c r="R27" s="288"/>
      <c r="S27" s="289"/>
    </row>
    <row r="30" spans="1:19" ht="20.05" customHeight="1" x14ac:dyDescent="0.55000000000000004">
      <c r="A30" s="297" t="s">
        <v>841</v>
      </c>
      <c r="B30" s="291"/>
      <c r="C30" s="291"/>
      <c r="D30" s="291"/>
      <c r="E30" s="291"/>
      <c r="F30" s="291"/>
      <c r="G30" s="291"/>
      <c r="H30" s="291"/>
      <c r="I30" s="291"/>
      <c r="J30" s="291"/>
      <c r="K30" s="291"/>
      <c r="L30" s="291"/>
      <c r="M30" s="291"/>
      <c r="N30" s="291"/>
      <c r="O30" s="291"/>
      <c r="P30" s="291"/>
      <c r="Q30" s="291"/>
      <c r="R30" s="291"/>
      <c r="S30" s="291"/>
    </row>
    <row r="31" spans="1:19" ht="16" customHeight="1" x14ac:dyDescent="0.55000000000000004">
      <c r="A31" s="293" t="s">
        <v>842</v>
      </c>
      <c r="B31" s="291"/>
      <c r="C31" s="291"/>
      <c r="D31" s="291"/>
      <c r="E31" s="291"/>
      <c r="F31" s="291"/>
      <c r="G31" s="291"/>
      <c r="H31" s="291"/>
      <c r="I31" s="291"/>
      <c r="J31" s="291"/>
      <c r="K31" s="291"/>
      <c r="L31" s="291"/>
      <c r="M31" s="291"/>
      <c r="N31" s="291"/>
      <c r="O31" s="291"/>
      <c r="P31" s="291"/>
      <c r="Q31" s="291"/>
      <c r="R31" s="291"/>
      <c r="S31" s="291"/>
    </row>
    <row r="32" spans="1:19" ht="16" customHeight="1" x14ac:dyDescent="0.55000000000000004">
      <c r="A32" s="293" t="s">
        <v>843</v>
      </c>
      <c r="B32" s="291"/>
      <c r="C32" s="291"/>
      <c r="D32" s="291"/>
      <c r="E32" s="291"/>
      <c r="F32" s="291"/>
      <c r="G32" s="291"/>
      <c r="H32" s="291"/>
      <c r="I32" s="291"/>
      <c r="J32" s="291"/>
      <c r="K32" s="291"/>
      <c r="L32" s="291"/>
      <c r="M32" s="291"/>
      <c r="N32" s="291"/>
      <c r="O32" s="291"/>
      <c r="P32" s="291"/>
      <c r="Q32" s="291"/>
      <c r="R32" s="291"/>
      <c r="S32" s="291"/>
    </row>
    <row r="33" spans="1:19" ht="16" customHeight="1" x14ac:dyDescent="0.55000000000000004">
      <c r="A33" s="293" t="s">
        <v>844</v>
      </c>
      <c r="B33" s="291"/>
      <c r="C33" s="291"/>
      <c r="D33" s="291"/>
      <c r="E33" s="291"/>
      <c r="F33" s="291"/>
      <c r="G33" s="291"/>
      <c r="H33" s="291"/>
      <c r="I33" s="291"/>
      <c r="J33" s="291"/>
      <c r="K33" s="291"/>
      <c r="L33" s="291"/>
      <c r="M33" s="291"/>
      <c r="N33" s="291"/>
      <c r="O33" s="291"/>
      <c r="P33" s="291"/>
      <c r="Q33" s="291"/>
      <c r="R33" s="291"/>
      <c r="S33" s="291"/>
    </row>
    <row r="34" spans="1:19" ht="16" customHeight="1" x14ac:dyDescent="0.55000000000000004">
      <c r="A34" s="293" t="s">
        <v>845</v>
      </c>
      <c r="B34" s="291"/>
      <c r="C34" s="291"/>
      <c r="D34" s="291"/>
      <c r="E34" s="291"/>
      <c r="F34" s="291"/>
      <c r="G34" s="291"/>
      <c r="H34" s="291"/>
      <c r="I34" s="291"/>
      <c r="J34" s="291"/>
      <c r="K34" s="291"/>
      <c r="L34" s="291"/>
      <c r="M34" s="291"/>
      <c r="N34" s="291"/>
      <c r="O34" s="291"/>
      <c r="P34" s="291"/>
      <c r="Q34" s="291"/>
      <c r="R34" s="291"/>
      <c r="S34" s="291"/>
    </row>
    <row r="35" spans="1:19" ht="16" customHeight="1" x14ac:dyDescent="0.55000000000000004">
      <c r="A35" s="293" t="s">
        <v>846</v>
      </c>
      <c r="B35" s="291"/>
      <c r="C35" s="291"/>
      <c r="D35" s="291"/>
      <c r="E35" s="291"/>
      <c r="F35" s="291"/>
      <c r="G35" s="291"/>
      <c r="H35" s="291"/>
      <c r="I35" s="291"/>
      <c r="J35" s="291"/>
      <c r="K35" s="291"/>
      <c r="L35" s="291"/>
      <c r="M35" s="291"/>
      <c r="N35" s="291"/>
      <c r="O35" s="291"/>
      <c r="P35" s="291"/>
      <c r="Q35" s="291"/>
      <c r="R35" s="291"/>
      <c r="S35" s="291"/>
    </row>
    <row r="36" spans="1:19" ht="16" customHeight="1" x14ac:dyDescent="0.55000000000000004">
      <c r="A36" s="293" t="s">
        <v>847</v>
      </c>
      <c r="B36" s="291"/>
      <c r="C36" s="291"/>
      <c r="D36" s="291"/>
      <c r="E36" s="291"/>
      <c r="F36" s="291"/>
      <c r="G36" s="291"/>
      <c r="H36" s="291"/>
      <c r="I36" s="291"/>
      <c r="J36" s="291"/>
      <c r="K36" s="291"/>
      <c r="L36" s="291"/>
      <c r="M36" s="291"/>
      <c r="N36" s="291"/>
      <c r="O36" s="291"/>
      <c r="P36" s="291"/>
      <c r="Q36" s="291"/>
      <c r="R36" s="291"/>
      <c r="S36" s="291"/>
    </row>
    <row r="37" spans="1:19" ht="16" customHeight="1" x14ac:dyDescent="0.55000000000000004">
      <c r="A37" s="304" t="s">
        <v>848</v>
      </c>
      <c r="B37" s="291"/>
      <c r="C37" s="291"/>
      <c r="D37" s="291"/>
      <c r="E37" s="291"/>
      <c r="F37" s="291"/>
      <c r="G37" s="291"/>
      <c r="H37" s="291"/>
      <c r="I37" s="291"/>
      <c r="J37" s="291"/>
      <c r="K37" s="291"/>
      <c r="L37" s="291"/>
      <c r="M37" s="291"/>
      <c r="N37" s="291"/>
      <c r="O37" s="291"/>
      <c r="P37" s="291"/>
      <c r="Q37" s="291"/>
      <c r="R37" s="291"/>
      <c r="S37" s="291"/>
    </row>
    <row r="39" spans="1:19" ht="18" customHeight="1" x14ac:dyDescent="0.55000000000000004">
      <c r="A39" s="36" t="s">
        <v>782</v>
      </c>
      <c r="B39" s="307" t="s">
        <v>849</v>
      </c>
      <c r="C39" s="291"/>
      <c r="D39" s="291"/>
      <c r="E39" s="305" t="s">
        <v>850</v>
      </c>
      <c r="F39" s="291"/>
      <c r="G39" s="291"/>
      <c r="H39" s="308" t="s">
        <v>851</v>
      </c>
      <c r="I39" s="291"/>
      <c r="J39" s="291"/>
      <c r="K39" s="301" t="s">
        <v>852</v>
      </c>
      <c r="L39" s="291"/>
      <c r="M39" s="291"/>
      <c r="N39" s="299" t="s">
        <v>254</v>
      </c>
      <c r="O39" s="291"/>
      <c r="P39" s="291"/>
      <c r="Q39" s="306" t="s">
        <v>853</v>
      </c>
      <c r="R39" s="291"/>
      <c r="S39" s="291"/>
    </row>
    <row r="41" spans="1:19" x14ac:dyDescent="0.55000000000000004">
      <c r="A41" s="274" t="s">
        <v>854</v>
      </c>
    </row>
    <row r="42" spans="1:19" ht="77.7" customHeight="1" x14ac:dyDescent="0.55000000000000004">
      <c r="A42" s="35" t="s">
        <v>855</v>
      </c>
      <c r="B42" s="275" t="s">
        <v>856</v>
      </c>
      <c r="H42" s="275" t="s">
        <v>857</v>
      </c>
      <c r="K42" s="275" t="s">
        <v>858</v>
      </c>
      <c r="N42" s="275" t="s">
        <v>859</v>
      </c>
      <c r="Q42" s="275" t="s">
        <v>860</v>
      </c>
    </row>
    <row r="43" spans="1:19" x14ac:dyDescent="0.55000000000000004">
      <c r="A43" s="276" t="s">
        <v>861</v>
      </c>
    </row>
  </sheetData>
  <mergeCells count="67">
    <mergeCell ref="A1:S1"/>
    <mergeCell ref="H23:J23"/>
    <mergeCell ref="N27:P27"/>
    <mergeCell ref="A26:S26"/>
    <mergeCell ref="A16:S16"/>
    <mergeCell ref="H20:M20"/>
    <mergeCell ref="N20:S20"/>
    <mergeCell ref="A7:S7"/>
    <mergeCell ref="N11:P11"/>
    <mergeCell ref="E5:G5"/>
    <mergeCell ref="K5:M5"/>
    <mergeCell ref="B27:D27"/>
    <mergeCell ref="A2:S2"/>
    <mergeCell ref="K11:M11"/>
    <mergeCell ref="B12:S12"/>
    <mergeCell ref="B6:S6"/>
    <mergeCell ref="Q11:S11"/>
    <mergeCell ref="B20:G20"/>
    <mergeCell ref="B5:D5"/>
    <mergeCell ref="B15:S15"/>
    <mergeCell ref="H5:J5"/>
    <mergeCell ref="H14:M14"/>
    <mergeCell ref="A31:S31"/>
    <mergeCell ref="K39:M39"/>
    <mergeCell ref="A34:S34"/>
    <mergeCell ref="B9:S9"/>
    <mergeCell ref="K17:M17"/>
    <mergeCell ref="Q17:S17"/>
    <mergeCell ref="A30:S30"/>
    <mergeCell ref="A36:S36"/>
    <mergeCell ref="A37:S37"/>
    <mergeCell ref="E39:G39"/>
    <mergeCell ref="Q39:S39"/>
    <mergeCell ref="B39:D39"/>
    <mergeCell ref="H39:J39"/>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282" t="s">
        <v>862</v>
      </c>
      <c r="B1" s="283"/>
      <c r="C1" s="283"/>
      <c r="D1" s="283"/>
      <c r="E1" s="283"/>
      <c r="F1" s="284"/>
    </row>
    <row r="3" spans="1:6" x14ac:dyDescent="0.55000000000000004">
      <c r="A3" s="1" t="s">
        <v>212</v>
      </c>
      <c r="B3" s="1" t="s">
        <v>863</v>
      </c>
      <c r="C3" s="1" t="s">
        <v>231</v>
      </c>
      <c r="D3" s="1" t="s">
        <v>864</v>
      </c>
      <c r="E3" s="1" t="s">
        <v>352</v>
      </c>
      <c r="F3" s="1" t="s">
        <v>865</v>
      </c>
    </row>
    <row r="4" spans="1:6" x14ac:dyDescent="0.55000000000000004">
      <c r="A4" s="23" t="s">
        <v>229</v>
      </c>
      <c r="B4" s="24">
        <f t="shared" ref="B4:B14" si="0">C4+D4+E4</f>
        <v>4</v>
      </c>
      <c r="C4" s="24">
        <f>COUNTIFS('Delivery Board'!$R$5:$R$500,$A4,'Delivery Board'!$C$5:$C$500,"Done")</f>
        <v>4</v>
      </c>
      <c r="D4" s="24">
        <f>COUNTIFS('Delivery Board'!$R$5:$R$500,$A4,'Delivery Board'!$C$5:$C$500,"Planned")+COUNTIFS('Delivery Board'!$R$5:$R$500,$A4,'Delivery Board'!$C$5:$C$500,"In progress")+COUNTIFS('Delivery Board'!$R$5:$R$500,$A4,'Delivery Board'!$C$5:$C$500,"Milestone")</f>
        <v>0</v>
      </c>
      <c r="E4" s="24">
        <f>COUNTIFS('Delivery Board'!$R$5:$R$500,$A4,'Delivery Board'!$C$5:$C$500,"Blocked")</f>
        <v>0</v>
      </c>
      <c r="F4" s="25">
        <f t="shared" ref="F4:F14" si="1">IF(B4=0,0,C4/B4)</f>
        <v>1</v>
      </c>
    </row>
    <row r="5" spans="1:6" x14ac:dyDescent="0.55000000000000004">
      <c r="A5" s="23" t="s">
        <v>240</v>
      </c>
      <c r="B5" s="24">
        <f t="shared" si="0"/>
        <v>9</v>
      </c>
      <c r="C5" s="24">
        <f>COUNTIFS('Delivery Board'!$R$5:$R$500,$A5,'Delivery Board'!$C$5:$C$500,"Done")</f>
        <v>9</v>
      </c>
      <c r="D5" s="24">
        <f>COUNTIFS('Delivery Board'!$R$5:$R$500,$A5,'Delivery Board'!$C$5:$C$500,"Planned")+COUNTIFS('Delivery Board'!$R$5:$R$500,$A5,'Delivery Board'!$C$5:$C$500,"In progress")+COUNTIFS('Delivery Board'!$R$5:$R$500,$A5,'Delivery Board'!$C$5:$C$500,"Milestone")</f>
        <v>0</v>
      </c>
      <c r="E5" s="24">
        <f>COUNTIFS('Delivery Board'!$R$5:$R$500,$A5,'Delivery Board'!$C$5:$C$500,"Blocked")</f>
        <v>0</v>
      </c>
      <c r="F5" s="25">
        <f t="shared" si="1"/>
        <v>1</v>
      </c>
    </row>
    <row r="6" spans="1:6" x14ac:dyDescent="0.55000000000000004">
      <c r="A6" s="23" t="s">
        <v>252</v>
      </c>
      <c r="B6" s="24">
        <f t="shared" si="0"/>
        <v>5</v>
      </c>
      <c r="C6" s="24">
        <f>COUNTIFS('Delivery Board'!$R$5:$R$500,$A6,'Delivery Board'!$C$5:$C$500,"Done")</f>
        <v>5</v>
      </c>
      <c r="D6" s="24">
        <f>COUNTIFS('Delivery Board'!$R$5:$R$500,$A6,'Delivery Board'!$C$5:$C$500,"Planned")+COUNTIFS('Delivery Board'!$R$5:$R$500,$A6,'Delivery Board'!$C$5:$C$500,"In progress")+COUNTIFS('Delivery Board'!$R$5:$R$500,$A6,'Delivery Board'!$C$5:$C$500,"Milestone")</f>
        <v>0</v>
      </c>
      <c r="E6" s="24">
        <f>COUNTIFS('Delivery Board'!$R$5:$R$500,$A6,'Delivery Board'!$C$5:$C$500,"Blocked")</f>
        <v>0</v>
      </c>
      <c r="F6" s="25">
        <f t="shared" si="1"/>
        <v>1</v>
      </c>
    </row>
    <row r="7" spans="1:6" x14ac:dyDescent="0.55000000000000004">
      <c r="A7" s="23" t="s">
        <v>260</v>
      </c>
      <c r="B7" s="24">
        <f t="shared" si="0"/>
        <v>10</v>
      </c>
      <c r="C7" s="24">
        <f>COUNTIFS('Delivery Board'!$R$5:$R$500,$A7,'Delivery Board'!$C$5:$C$500,"Done")</f>
        <v>9</v>
      </c>
      <c r="D7" s="24">
        <f>COUNTIFS('Delivery Board'!$R$5:$R$500,$A7,'Delivery Board'!$C$5:$C$500,"Planned")+COUNTIFS('Delivery Board'!$R$5:$R$500,$A7,'Delivery Board'!$C$5:$C$500,"In progress")+COUNTIFS('Delivery Board'!$R$5:$R$500,$A7,'Delivery Board'!$C$5:$C$500,"Milestone")</f>
        <v>1</v>
      </c>
      <c r="E7" s="24">
        <f>COUNTIFS('Delivery Board'!$R$5:$R$500,$A7,'Delivery Board'!$C$5:$C$500,"Blocked")</f>
        <v>0</v>
      </c>
      <c r="F7" s="25">
        <f t="shared" si="1"/>
        <v>0.9</v>
      </c>
    </row>
    <row r="8" spans="1:6" x14ac:dyDescent="0.55000000000000004">
      <c r="A8" s="23" t="s">
        <v>271</v>
      </c>
      <c r="B8" s="24">
        <f t="shared" si="0"/>
        <v>24</v>
      </c>
      <c r="C8" s="24">
        <f>COUNTIFS('Delivery Board'!$R$5:$R$500,$A8,'Delivery Board'!$C$5:$C$500,"Done")</f>
        <v>24</v>
      </c>
      <c r="D8" s="24">
        <f>COUNTIFS('Delivery Board'!$R$5:$R$500,$A8,'Delivery Board'!$C$5:$C$500,"Planned")+COUNTIFS('Delivery Board'!$R$5:$R$500,$A8,'Delivery Board'!$C$5:$C$500,"In progress")+COUNTIFS('Delivery Board'!$R$5:$R$500,$A8,'Delivery Board'!$C$5:$C$500,"Milestone")</f>
        <v>0</v>
      </c>
      <c r="E8" s="24">
        <f>COUNTIFS('Delivery Board'!$R$5:$R$500,$A8,'Delivery Board'!$C$5:$C$500,"Blocked")</f>
        <v>0</v>
      </c>
      <c r="F8" s="25">
        <f t="shared" si="1"/>
        <v>1</v>
      </c>
    </row>
    <row r="9" spans="1:6" x14ac:dyDescent="0.55000000000000004">
      <c r="A9" s="23" t="s">
        <v>282</v>
      </c>
      <c r="B9" s="24">
        <f t="shared" si="0"/>
        <v>16</v>
      </c>
      <c r="C9" s="24">
        <f>COUNTIFS('Delivery Board'!$R$5:$R$500,$A9,'Delivery Board'!$C$5:$C$500,"Done")</f>
        <v>15</v>
      </c>
      <c r="D9" s="24">
        <f>COUNTIFS('Delivery Board'!$R$5:$R$500,$A9,'Delivery Board'!$C$5:$C$500,"Planned")+COUNTIFS('Delivery Board'!$R$5:$R$500,$A9,'Delivery Board'!$C$5:$C$500,"In progress")+COUNTIFS('Delivery Board'!$R$5:$R$500,$A9,'Delivery Board'!$C$5:$C$500,"Milestone")</f>
        <v>1</v>
      </c>
      <c r="E9" s="24">
        <f>COUNTIFS('Delivery Board'!$R$5:$R$500,$A9,'Delivery Board'!$C$5:$C$500,"Blocked")</f>
        <v>0</v>
      </c>
      <c r="F9" s="25">
        <f t="shared" si="1"/>
        <v>0.9375</v>
      </c>
    </row>
    <row r="10" spans="1:6" x14ac:dyDescent="0.55000000000000004">
      <c r="A10" s="23" t="s">
        <v>292</v>
      </c>
      <c r="B10" s="24">
        <f t="shared" si="0"/>
        <v>29</v>
      </c>
      <c r="C10" s="24">
        <f>COUNTIFS('Delivery Board'!$R$5:$R$500,$A10,'Delivery Board'!$C$5:$C$500,"Done")</f>
        <v>26</v>
      </c>
      <c r="D10" s="24">
        <f>COUNTIFS('Delivery Board'!$R$5:$R$500,$A10,'Delivery Board'!$C$5:$C$500,"Planned")+COUNTIFS('Delivery Board'!$R$5:$R$500,$A10,'Delivery Board'!$C$5:$C$500,"In progress")+COUNTIFS('Delivery Board'!$R$5:$R$500,$A10,'Delivery Board'!$C$5:$C$500,"Milestone")</f>
        <v>3</v>
      </c>
      <c r="E10" s="24">
        <f>COUNTIFS('Delivery Board'!$R$5:$R$500,$A10,'Delivery Board'!$C$5:$C$500,"Blocked")</f>
        <v>0</v>
      </c>
      <c r="F10" s="25">
        <f t="shared" si="1"/>
        <v>0.89655172413793105</v>
      </c>
    </row>
    <row r="11" spans="1:6" x14ac:dyDescent="0.55000000000000004">
      <c r="A11" s="23" t="s">
        <v>308</v>
      </c>
      <c r="B11" s="24">
        <f t="shared" si="0"/>
        <v>63</v>
      </c>
      <c r="C11" s="24">
        <f>COUNTIFS('Delivery Board'!$R$5:$R$500,$A11,'Delivery Board'!$C$5:$C$500,"Done")</f>
        <v>59</v>
      </c>
      <c r="D11" s="24">
        <f>COUNTIFS('Delivery Board'!$R$5:$R$500,$A11,'Delivery Board'!$C$5:$C$500,"Planned")+COUNTIFS('Delivery Board'!$R$5:$R$500,$A11,'Delivery Board'!$C$5:$C$500,"In progress")+COUNTIFS('Delivery Board'!$R$5:$R$500,$A11,'Delivery Board'!$C$5:$C$500,"Milestone")</f>
        <v>4</v>
      </c>
      <c r="E11" s="24">
        <f>COUNTIFS('Delivery Board'!$R$5:$R$500,$A11,'Delivery Board'!$C$5:$C$500,"Blocked")</f>
        <v>0</v>
      </c>
      <c r="F11" s="25">
        <f t="shared" si="1"/>
        <v>0.93650793650793651</v>
      </c>
    </row>
    <row r="12" spans="1:6" x14ac:dyDescent="0.55000000000000004">
      <c r="A12" s="23" t="s">
        <v>338</v>
      </c>
      <c r="B12" s="24">
        <f t="shared" si="0"/>
        <v>46</v>
      </c>
      <c r="C12" s="24">
        <f>COUNTIFS('Delivery Board'!$R$5:$R$500,$A12,'Delivery Board'!$C$5:$C$500,"Done")</f>
        <v>36</v>
      </c>
      <c r="D12" s="24">
        <f>COUNTIFS('Delivery Board'!$R$5:$R$500,$A12,'Delivery Board'!$C$5:$C$500,"Planned")+COUNTIFS('Delivery Board'!$R$5:$R$500,$A12,'Delivery Board'!$C$5:$C$500,"In progress")+COUNTIFS('Delivery Board'!$R$5:$R$500,$A12,'Delivery Board'!$C$5:$C$500,"Milestone")</f>
        <v>9</v>
      </c>
      <c r="E12" s="24">
        <f>COUNTIFS('Delivery Board'!$R$5:$R$500,$A12,'Delivery Board'!$C$5:$C$500,"Blocked")</f>
        <v>1</v>
      </c>
      <c r="F12" s="25">
        <f t="shared" si="1"/>
        <v>0.78260869565217395</v>
      </c>
    </row>
    <row r="13" spans="1:6" x14ac:dyDescent="0.55000000000000004">
      <c r="A13" s="23" t="s">
        <v>369</v>
      </c>
      <c r="B13" s="24">
        <f t="shared" si="0"/>
        <v>34</v>
      </c>
      <c r="C13" s="24">
        <f>COUNTIFS('Delivery Board'!$R$5:$R$500,$A13,'Delivery Board'!$C$5:$C$500,"Done")</f>
        <v>31</v>
      </c>
      <c r="D13" s="24">
        <f>COUNTIFS('Delivery Board'!$R$5:$R$500,$A13,'Delivery Board'!$C$5:$C$500,"Planned")+COUNTIFS('Delivery Board'!$R$5:$R$500,$A13,'Delivery Board'!$C$5:$C$500,"In progress")+COUNTIFS('Delivery Board'!$R$5:$R$500,$A13,'Delivery Board'!$C$5:$C$500,"Milestone")</f>
        <v>3</v>
      </c>
      <c r="E13" s="24">
        <f>COUNTIFS('Delivery Board'!$R$5:$R$500,$A13,'Delivery Board'!$C$5:$C$500,"Blocked")</f>
        <v>0</v>
      </c>
      <c r="F13" s="25">
        <f t="shared" si="1"/>
        <v>0.91176470588235292</v>
      </c>
    </row>
    <row r="14" spans="1:6" x14ac:dyDescent="0.55000000000000004">
      <c r="A14" s="23" t="s">
        <v>398</v>
      </c>
      <c r="B14" s="24">
        <f t="shared" si="0"/>
        <v>27</v>
      </c>
      <c r="C14" s="24">
        <f>COUNTIFS('Delivery Board'!$R$5:$R$500,$A14,'Delivery Board'!$C$5:$C$500,"Done")</f>
        <v>24</v>
      </c>
      <c r="D14" s="24">
        <f>COUNTIFS('Delivery Board'!$R$5:$R$500,$A14,'Delivery Board'!$C$5:$C$500,"Planned")+COUNTIFS('Delivery Board'!$R$5:$R$500,$A14,'Delivery Board'!$C$5:$C$500,"In progress")+COUNTIFS('Delivery Board'!$R$5:$R$500,$A14,'Delivery Board'!$C$5:$C$500,"Milestone")</f>
        <v>3</v>
      </c>
      <c r="E14" s="24">
        <f>COUNTIFS('Delivery Board'!$R$5:$R$500,$A14,'Delivery Board'!$C$5:$C$500,"Blocked")</f>
        <v>0</v>
      </c>
      <c r="F14" s="25">
        <f t="shared" si="1"/>
        <v>0.88888888888888884</v>
      </c>
    </row>
    <row r="16" spans="1:6" x14ac:dyDescent="0.55000000000000004">
      <c r="A16" s="26" t="s">
        <v>866</v>
      </c>
      <c r="B16" s="27">
        <f>SUM(B4:B14)</f>
        <v>267</v>
      </c>
      <c r="C16" s="27">
        <f>SUM(C4:C14)</f>
        <v>242</v>
      </c>
      <c r="D16">
        <f>SUM(D4:D14)</f>
        <v>24</v>
      </c>
      <c r="E16">
        <f>SUM(E4:E14)</f>
        <v>1</v>
      </c>
      <c r="F16" s="28">
        <f>IF(B16=0,0,C16/B16)</f>
        <v>0.90636704119850187</v>
      </c>
    </row>
    <row r="18" spans="1:2" x14ac:dyDescent="0.55000000000000004">
      <c r="A18" s="41" t="s">
        <v>867</v>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3" t="s">
        <v>868</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96"/>
  <sheetViews>
    <sheetView tabSelected="1" workbookViewId="0">
      <pane ySplit="3" topLeftCell="A55" activePane="bottomLeft" state="frozen"/>
      <selection pane="bottomLeft" activeCell="E54" sqref="E54"/>
    </sheetView>
  </sheetViews>
  <sheetFormatPr defaultRowHeight="14.4" x14ac:dyDescent="0.55000000000000004"/>
  <cols>
    <col min="1" max="1" width="34" customWidth="1"/>
    <col min="2" max="2" width="13" customWidth="1"/>
    <col min="3" max="3" width="11" customWidth="1"/>
    <col min="4" max="4" width="12" customWidth="1"/>
    <col min="5" max="5" width="95.578125" style="277" customWidth="1"/>
  </cols>
  <sheetData>
    <row r="1" spans="1:5" ht="26.05" customHeight="1" x14ac:dyDescent="0.55000000000000004">
      <c r="A1" s="282" t="s">
        <v>0</v>
      </c>
      <c r="B1" s="283"/>
      <c r="C1" s="283"/>
      <c r="D1" s="283"/>
      <c r="E1" s="284"/>
    </row>
    <row r="3" spans="1:5" x14ac:dyDescent="0.55000000000000004">
      <c r="A3" s="29" t="s">
        <v>1</v>
      </c>
      <c r="B3" s="29" t="s">
        <v>2</v>
      </c>
      <c r="C3" s="29" t="s">
        <v>3</v>
      </c>
      <c r="D3" s="29" t="s">
        <v>4</v>
      </c>
      <c r="E3" s="1" t="s">
        <v>5</v>
      </c>
    </row>
    <row r="4" spans="1:5" ht="28" customHeight="1" x14ac:dyDescent="0.55000000000000004">
      <c r="A4" s="30" t="s">
        <v>6</v>
      </c>
      <c r="B4" s="11" t="s">
        <v>7</v>
      </c>
      <c r="C4" s="21" t="s">
        <v>8</v>
      </c>
      <c r="D4" s="11" t="s">
        <v>9</v>
      </c>
      <c r="E4" s="31" t="s">
        <v>10</v>
      </c>
    </row>
    <row r="5" spans="1:5" ht="28" customHeight="1" x14ac:dyDescent="0.55000000000000004">
      <c r="A5" s="32" t="s">
        <v>11</v>
      </c>
      <c r="B5" s="6" t="s">
        <v>7</v>
      </c>
      <c r="C5" s="19" t="s">
        <v>12</v>
      </c>
      <c r="D5" s="6" t="s">
        <v>9</v>
      </c>
      <c r="E5" s="33" t="s">
        <v>13</v>
      </c>
    </row>
    <row r="6" spans="1:5" ht="28" customHeight="1" x14ac:dyDescent="0.55000000000000004">
      <c r="A6" s="30" t="s">
        <v>14</v>
      </c>
      <c r="B6" s="11" t="s">
        <v>15</v>
      </c>
      <c r="C6" s="21" t="s">
        <v>8</v>
      </c>
      <c r="D6" s="11" t="s">
        <v>16</v>
      </c>
      <c r="E6" s="31" t="s">
        <v>17</v>
      </c>
    </row>
    <row r="7" spans="1:5" ht="28" customHeight="1" x14ac:dyDescent="0.55000000000000004">
      <c r="A7" s="32" t="s">
        <v>18</v>
      </c>
      <c r="B7" s="6" t="s">
        <v>7</v>
      </c>
      <c r="C7" s="19" t="s">
        <v>12</v>
      </c>
      <c r="D7" s="6" t="s">
        <v>16</v>
      </c>
      <c r="E7" s="33" t="s">
        <v>19</v>
      </c>
    </row>
    <row r="8" spans="1:5" ht="28" customHeight="1" x14ac:dyDescent="0.55000000000000004">
      <c r="A8" s="30" t="s">
        <v>20</v>
      </c>
      <c r="B8" s="11" t="s">
        <v>15</v>
      </c>
      <c r="C8" s="17" t="s">
        <v>21</v>
      </c>
      <c r="D8" s="11" t="s">
        <v>22</v>
      </c>
      <c r="E8" s="31" t="s">
        <v>23</v>
      </c>
    </row>
    <row r="9" spans="1:5" ht="28" customHeight="1" x14ac:dyDescent="0.55000000000000004">
      <c r="A9" s="32" t="s">
        <v>24</v>
      </c>
      <c r="B9" s="6" t="s">
        <v>7</v>
      </c>
      <c r="C9" s="19" t="s">
        <v>12</v>
      </c>
      <c r="D9" s="6" t="s">
        <v>25</v>
      </c>
      <c r="E9" s="33" t="s">
        <v>26</v>
      </c>
    </row>
    <row r="10" spans="1:5" ht="28" customHeight="1" x14ac:dyDescent="0.55000000000000004">
      <c r="A10" s="30" t="s">
        <v>27</v>
      </c>
      <c r="B10" s="11" t="s">
        <v>28</v>
      </c>
      <c r="C10" s="17" t="s">
        <v>21</v>
      </c>
      <c r="D10" s="11" t="s">
        <v>9</v>
      </c>
      <c r="E10" s="31" t="s">
        <v>29</v>
      </c>
    </row>
    <row r="11" spans="1:5" ht="28" customHeight="1" x14ac:dyDescent="0.55000000000000004">
      <c r="A11" s="32" t="s">
        <v>30</v>
      </c>
      <c r="B11" s="6" t="s">
        <v>15</v>
      </c>
      <c r="C11" s="19" t="s">
        <v>12</v>
      </c>
      <c r="D11" s="6" t="s">
        <v>16</v>
      </c>
      <c r="E11" s="33" t="s">
        <v>31</v>
      </c>
    </row>
    <row r="12" spans="1:5" ht="28" customHeight="1" x14ac:dyDescent="0.55000000000000004">
      <c r="A12" s="30" t="s">
        <v>32</v>
      </c>
      <c r="B12" s="11" t="s">
        <v>15</v>
      </c>
      <c r="C12" s="34" t="s">
        <v>33</v>
      </c>
      <c r="D12" s="11" t="s">
        <v>34</v>
      </c>
      <c r="E12" s="31" t="s">
        <v>35</v>
      </c>
    </row>
    <row r="13" spans="1:5" ht="28" customHeight="1" x14ac:dyDescent="0.55000000000000004">
      <c r="A13" s="32" t="s">
        <v>36</v>
      </c>
      <c r="B13" s="6" t="s">
        <v>15</v>
      </c>
      <c r="C13" s="17" t="s">
        <v>21</v>
      </c>
      <c r="D13" s="6" t="s">
        <v>34</v>
      </c>
      <c r="E13" s="33" t="s">
        <v>37</v>
      </c>
    </row>
    <row r="14" spans="1:5" ht="28" customHeight="1" x14ac:dyDescent="0.55000000000000004">
      <c r="A14" s="30" t="s">
        <v>38</v>
      </c>
      <c r="B14" s="11" t="s">
        <v>7</v>
      </c>
      <c r="C14" s="17" t="s">
        <v>21</v>
      </c>
      <c r="D14" s="11" t="s">
        <v>16</v>
      </c>
      <c r="E14" s="31" t="s">
        <v>39</v>
      </c>
    </row>
    <row r="15" spans="1:5" ht="28" customHeight="1" x14ac:dyDescent="0.55000000000000004">
      <c r="A15" s="32" t="s">
        <v>40</v>
      </c>
      <c r="B15" s="6" t="s">
        <v>7</v>
      </c>
      <c r="C15" s="17" t="s">
        <v>21</v>
      </c>
      <c r="D15" s="6" t="s">
        <v>9</v>
      </c>
      <c r="E15" s="33" t="s">
        <v>41</v>
      </c>
    </row>
    <row r="16" spans="1:5" ht="30" customHeight="1" x14ac:dyDescent="0.55000000000000004">
      <c r="A16" s="30" t="s">
        <v>42</v>
      </c>
      <c r="B16" s="11" t="s">
        <v>7</v>
      </c>
      <c r="C16" s="19" t="s">
        <v>12</v>
      </c>
      <c r="D16" s="11" t="s">
        <v>43</v>
      </c>
      <c r="E16" s="31" t="s">
        <v>44</v>
      </c>
    </row>
    <row r="17" spans="1:5" ht="30" customHeight="1" x14ac:dyDescent="0.55000000000000004">
      <c r="A17" s="32" t="s">
        <v>45</v>
      </c>
      <c r="B17" s="6" t="s">
        <v>7</v>
      </c>
      <c r="C17" s="21" t="s">
        <v>8</v>
      </c>
      <c r="D17" s="6" t="s">
        <v>9</v>
      </c>
      <c r="E17" s="33" t="s">
        <v>46</v>
      </c>
    </row>
    <row r="18" spans="1:5" ht="30" customHeight="1" x14ac:dyDescent="0.55000000000000004">
      <c r="A18" s="30" t="s">
        <v>47</v>
      </c>
      <c r="B18" s="11" t="s">
        <v>15</v>
      </c>
      <c r="C18" s="17" t="s">
        <v>21</v>
      </c>
      <c r="D18" s="11" t="s">
        <v>22</v>
      </c>
      <c r="E18" s="31" t="s">
        <v>48</v>
      </c>
    </row>
    <row r="19" spans="1:5" ht="30" customHeight="1" x14ac:dyDescent="0.55000000000000004">
      <c r="A19" s="32" t="s">
        <v>49</v>
      </c>
      <c r="B19" s="6" t="s">
        <v>7</v>
      </c>
      <c r="C19" s="17" t="s">
        <v>21</v>
      </c>
      <c r="D19" s="6" t="s">
        <v>9</v>
      </c>
      <c r="E19" s="33" t="s">
        <v>50</v>
      </c>
    </row>
    <row r="20" spans="1:5" ht="32.049999999999997" customHeight="1" x14ac:dyDescent="0.55000000000000004">
      <c r="A20" s="30" t="s">
        <v>51</v>
      </c>
      <c r="B20" s="11" t="s">
        <v>52</v>
      </c>
      <c r="C20" s="21" t="s">
        <v>8</v>
      </c>
      <c r="D20" s="11" t="s">
        <v>53</v>
      </c>
      <c r="E20" s="31" t="s">
        <v>54</v>
      </c>
    </row>
    <row r="21" spans="1:5" ht="32.049999999999997" customHeight="1" x14ac:dyDescent="0.55000000000000004">
      <c r="A21" s="32" t="s">
        <v>55</v>
      </c>
      <c r="B21" s="6" t="s">
        <v>7</v>
      </c>
      <c r="C21" s="19" t="s">
        <v>12</v>
      </c>
      <c r="D21" s="6" t="s">
        <v>43</v>
      </c>
      <c r="E21" s="33" t="s">
        <v>56</v>
      </c>
    </row>
    <row r="22" spans="1:5" ht="32.049999999999997" customHeight="1" x14ac:dyDescent="0.55000000000000004">
      <c r="A22" s="30" t="s">
        <v>57</v>
      </c>
      <c r="B22" s="11" t="s">
        <v>58</v>
      </c>
      <c r="C22" s="17" t="s">
        <v>21</v>
      </c>
      <c r="D22" s="11" t="s">
        <v>9</v>
      </c>
      <c r="E22" s="31" t="s">
        <v>59</v>
      </c>
    </row>
    <row r="23" spans="1:5" ht="32.049999999999997" customHeight="1" x14ac:dyDescent="0.55000000000000004">
      <c r="A23" s="32" t="s">
        <v>60</v>
      </c>
      <c r="B23" s="6" t="s">
        <v>58</v>
      </c>
      <c r="C23" s="17" t="s">
        <v>21</v>
      </c>
      <c r="D23" s="6" t="s">
        <v>9</v>
      </c>
      <c r="E23" s="33" t="s">
        <v>61</v>
      </c>
    </row>
    <row r="24" spans="1:5" ht="32.049999999999997" customHeight="1" x14ac:dyDescent="0.55000000000000004">
      <c r="A24" s="30" t="s">
        <v>62</v>
      </c>
      <c r="B24" s="11" t="s">
        <v>58</v>
      </c>
      <c r="C24" s="17" t="s">
        <v>21</v>
      </c>
      <c r="D24" s="11" t="s">
        <v>9</v>
      </c>
      <c r="E24" s="31" t="s">
        <v>63</v>
      </c>
    </row>
    <row r="25" spans="1:5" ht="32.049999999999997" customHeight="1" x14ac:dyDescent="0.55000000000000004">
      <c r="A25" s="53" t="s">
        <v>64</v>
      </c>
      <c r="B25" s="51" t="s">
        <v>22</v>
      </c>
      <c r="C25" s="54" t="s">
        <v>21</v>
      </c>
      <c r="D25" s="51" t="s">
        <v>9</v>
      </c>
      <c r="E25" s="55" t="s">
        <v>65</v>
      </c>
    </row>
    <row r="26" spans="1:5" ht="32.049999999999997" customHeight="1" x14ac:dyDescent="0.55000000000000004">
      <c r="A26" s="56" t="s">
        <v>66</v>
      </c>
      <c r="B26" s="46" t="s">
        <v>58</v>
      </c>
      <c r="C26" s="54" t="s">
        <v>33</v>
      </c>
      <c r="D26" s="46" t="s">
        <v>53</v>
      </c>
      <c r="E26" s="57" t="s">
        <v>67</v>
      </c>
    </row>
    <row r="27" spans="1:5" ht="32.049999999999997" customHeight="1" x14ac:dyDescent="0.55000000000000004">
      <c r="A27" s="53" t="s">
        <v>68</v>
      </c>
      <c r="B27" s="51" t="s">
        <v>22</v>
      </c>
      <c r="C27" s="54" t="s">
        <v>33</v>
      </c>
      <c r="D27" s="51" t="s">
        <v>9</v>
      </c>
      <c r="E27" s="55" t="s">
        <v>69</v>
      </c>
    </row>
    <row r="28" spans="1:5" ht="46" customHeight="1" x14ac:dyDescent="0.55000000000000004">
      <c r="A28" s="71" t="s">
        <v>70</v>
      </c>
      <c r="B28" s="60" t="s">
        <v>22</v>
      </c>
      <c r="C28" s="67" t="s">
        <v>12</v>
      </c>
      <c r="D28" s="94" t="s">
        <v>53</v>
      </c>
      <c r="E28" s="94" t="s">
        <v>71</v>
      </c>
    </row>
    <row r="29" spans="1:5" ht="46" customHeight="1" x14ac:dyDescent="0.55000000000000004">
      <c r="A29" s="72" t="s">
        <v>72</v>
      </c>
      <c r="B29" s="65" t="s">
        <v>7</v>
      </c>
      <c r="C29" s="69" t="s">
        <v>21</v>
      </c>
      <c r="D29" s="93" t="s">
        <v>53</v>
      </c>
      <c r="E29" s="93" t="s">
        <v>73</v>
      </c>
    </row>
    <row r="30" spans="1:5" ht="32.049999999999997" customHeight="1" x14ac:dyDescent="0.55000000000000004">
      <c r="A30" s="78" t="s">
        <v>74</v>
      </c>
      <c r="B30" s="75" t="s">
        <v>7</v>
      </c>
      <c r="C30" s="79" t="s">
        <v>21</v>
      </c>
      <c r="D30" s="75" t="s">
        <v>9</v>
      </c>
      <c r="E30" s="80" t="s">
        <v>75</v>
      </c>
    </row>
    <row r="31" spans="1:5" ht="32.049999999999997" customHeight="1" x14ac:dyDescent="0.55000000000000004">
      <c r="A31" s="92" t="s">
        <v>76</v>
      </c>
      <c r="B31" s="83" t="s">
        <v>58</v>
      </c>
      <c r="C31" s="90" t="s">
        <v>21</v>
      </c>
      <c r="D31" s="83" t="s">
        <v>77</v>
      </c>
      <c r="E31" s="93" t="s">
        <v>78</v>
      </c>
    </row>
    <row r="32" spans="1:5" ht="32.049999999999997" customHeight="1" x14ac:dyDescent="0.55000000000000004">
      <c r="A32" s="106" t="s">
        <v>79</v>
      </c>
      <c r="B32" s="102" t="s">
        <v>22</v>
      </c>
      <c r="C32" s="104" t="s">
        <v>21</v>
      </c>
      <c r="D32" s="102" t="s">
        <v>53</v>
      </c>
      <c r="E32" s="107" t="s">
        <v>80</v>
      </c>
    </row>
    <row r="33" spans="1:5" ht="32.049999999999997" customHeight="1" x14ac:dyDescent="0.55000000000000004">
      <c r="A33" s="108" t="s">
        <v>81</v>
      </c>
      <c r="B33" s="97" t="s">
        <v>7</v>
      </c>
      <c r="C33" s="104" t="s">
        <v>21</v>
      </c>
      <c r="D33" s="97" t="s">
        <v>43</v>
      </c>
      <c r="E33" s="109" t="s">
        <v>82</v>
      </c>
    </row>
    <row r="34" spans="1:5" ht="32.049999999999997" customHeight="1" x14ac:dyDescent="0.55000000000000004">
      <c r="A34" s="133" t="s">
        <v>83</v>
      </c>
      <c r="B34" s="128" t="s">
        <v>58</v>
      </c>
      <c r="C34" s="122" t="s">
        <v>12</v>
      </c>
      <c r="D34" s="128" t="s">
        <v>9</v>
      </c>
      <c r="E34" s="134" t="s">
        <v>84</v>
      </c>
    </row>
    <row r="35" spans="1:5" ht="32.049999999999997" customHeight="1" x14ac:dyDescent="0.55000000000000004">
      <c r="A35" s="135" t="s">
        <v>85</v>
      </c>
      <c r="B35" s="123" t="s">
        <v>7</v>
      </c>
      <c r="C35" s="131" t="s">
        <v>21</v>
      </c>
      <c r="D35" s="123" t="s">
        <v>9</v>
      </c>
      <c r="E35" s="136" t="s">
        <v>86</v>
      </c>
    </row>
    <row r="36" spans="1:5" ht="74.05" customHeight="1" x14ac:dyDescent="0.55000000000000004">
      <c r="A36" s="146" t="s">
        <v>20</v>
      </c>
      <c r="B36" s="144" t="s">
        <v>7</v>
      </c>
      <c r="C36" s="147" t="s">
        <v>8</v>
      </c>
      <c r="D36" s="152" t="s">
        <v>87</v>
      </c>
      <c r="E36" s="152" t="s">
        <v>88</v>
      </c>
    </row>
    <row r="37" spans="1:5" ht="32.049999999999997" customHeight="1" x14ac:dyDescent="0.55000000000000004">
      <c r="A37" s="149" t="s">
        <v>89</v>
      </c>
      <c r="B37" s="139" t="s">
        <v>58</v>
      </c>
      <c r="C37" s="150" t="s">
        <v>21</v>
      </c>
      <c r="D37" s="139" t="s">
        <v>9</v>
      </c>
      <c r="E37" s="151" t="s">
        <v>90</v>
      </c>
    </row>
    <row r="38" spans="1:5" ht="32.049999999999997" customHeight="1" x14ac:dyDescent="0.55000000000000004">
      <c r="A38" s="146" t="s">
        <v>91</v>
      </c>
      <c r="B38" s="144" t="s">
        <v>58</v>
      </c>
      <c r="C38" s="150" t="s">
        <v>33</v>
      </c>
      <c r="D38" s="144" t="s">
        <v>9</v>
      </c>
      <c r="E38" s="148" t="s">
        <v>92</v>
      </c>
    </row>
    <row r="39" spans="1:5" ht="32.049999999999997" customHeight="1" x14ac:dyDescent="0.55000000000000004">
      <c r="A39" s="159" t="s">
        <v>93</v>
      </c>
      <c r="B39" s="156" t="s">
        <v>7</v>
      </c>
      <c r="C39" s="160" t="s">
        <v>12</v>
      </c>
      <c r="D39" s="156" t="s">
        <v>9</v>
      </c>
      <c r="E39" s="161" t="s">
        <v>94</v>
      </c>
    </row>
    <row r="40" spans="1:5" ht="32.049999999999997" customHeight="1" x14ac:dyDescent="0.55000000000000004">
      <c r="A40" s="167" t="s">
        <v>95</v>
      </c>
      <c r="B40" s="164" t="s">
        <v>58</v>
      </c>
      <c r="C40" s="168" t="s">
        <v>12</v>
      </c>
      <c r="D40" s="164" t="s">
        <v>9</v>
      </c>
      <c r="E40" s="169" t="s">
        <v>96</v>
      </c>
    </row>
    <row r="41" spans="1:5" ht="32.049999999999997" customHeight="1" x14ac:dyDescent="0.55000000000000004">
      <c r="A41" s="170" t="s">
        <v>97</v>
      </c>
      <c r="B41" s="171" t="s">
        <v>22</v>
      </c>
      <c r="C41" s="172" t="s">
        <v>21</v>
      </c>
      <c r="D41" s="171" t="s">
        <v>53</v>
      </c>
      <c r="E41" s="173" t="s">
        <v>98</v>
      </c>
    </row>
    <row r="42" spans="1:5" ht="32.049999999999997" customHeight="1" x14ac:dyDescent="0.55000000000000004">
      <c r="A42" s="187" t="s">
        <v>99</v>
      </c>
      <c r="B42" s="182" t="s">
        <v>58</v>
      </c>
      <c r="C42" s="176" t="s">
        <v>12</v>
      </c>
      <c r="D42" s="182" t="s">
        <v>9</v>
      </c>
      <c r="E42" s="188" t="s">
        <v>100</v>
      </c>
    </row>
    <row r="43" spans="1:5" ht="32.049999999999997" customHeight="1" x14ac:dyDescent="0.55000000000000004">
      <c r="A43" s="189" t="s">
        <v>101</v>
      </c>
      <c r="B43" s="177" t="s">
        <v>7</v>
      </c>
      <c r="C43" s="185" t="s">
        <v>21</v>
      </c>
      <c r="D43" s="177" t="s">
        <v>43</v>
      </c>
      <c r="E43" s="190" t="s">
        <v>102</v>
      </c>
    </row>
    <row r="44" spans="1:5" ht="32.049999999999997" customHeight="1" x14ac:dyDescent="0.55000000000000004">
      <c r="A44" s="187" t="s">
        <v>103</v>
      </c>
      <c r="B44" s="182" t="s">
        <v>58</v>
      </c>
      <c r="C44" s="185" t="s">
        <v>21</v>
      </c>
      <c r="D44" s="182" t="s">
        <v>53</v>
      </c>
      <c r="E44" s="188" t="s">
        <v>104</v>
      </c>
    </row>
    <row r="45" spans="1:5" ht="32.049999999999997" customHeight="1" x14ac:dyDescent="0.55000000000000004">
      <c r="A45" s="189" t="s">
        <v>105</v>
      </c>
      <c r="B45" s="177" t="s">
        <v>22</v>
      </c>
      <c r="C45" s="185" t="s">
        <v>33</v>
      </c>
      <c r="D45" s="177" t="s">
        <v>9</v>
      </c>
      <c r="E45" s="190" t="s">
        <v>106</v>
      </c>
    </row>
    <row r="46" spans="1:5" ht="32.049999999999997" customHeight="1" x14ac:dyDescent="0.55000000000000004">
      <c r="A46" s="205" t="s">
        <v>107</v>
      </c>
      <c r="B46" s="193" t="s">
        <v>22</v>
      </c>
      <c r="C46" s="198" t="s">
        <v>12</v>
      </c>
      <c r="D46" s="193" t="s">
        <v>9</v>
      </c>
      <c r="E46" s="206" t="s">
        <v>108</v>
      </c>
    </row>
    <row r="47" spans="1:5" ht="56.7" customHeight="1" x14ac:dyDescent="0.55000000000000004">
      <c r="A47" s="207" t="s">
        <v>109</v>
      </c>
      <c r="B47" s="199" t="s">
        <v>7</v>
      </c>
      <c r="C47" s="202" t="s">
        <v>21</v>
      </c>
      <c r="D47" s="199" t="s">
        <v>9</v>
      </c>
      <c r="E47" s="208" t="s">
        <v>110</v>
      </c>
    </row>
    <row r="48" spans="1:5" ht="39.299999999999997" customHeight="1" x14ac:dyDescent="0.55000000000000004">
      <c r="A48" s="205" t="s">
        <v>111</v>
      </c>
      <c r="B48" s="193" t="s">
        <v>22</v>
      </c>
      <c r="C48" s="202" t="s">
        <v>21</v>
      </c>
      <c r="D48" s="193" t="s">
        <v>9</v>
      </c>
      <c r="E48" s="206" t="s">
        <v>112</v>
      </c>
    </row>
    <row r="49" spans="1:5" ht="28.8" customHeight="1" x14ac:dyDescent="0.55000000000000004">
      <c r="A49" t="s">
        <v>113</v>
      </c>
      <c r="B49" t="s">
        <v>7</v>
      </c>
      <c r="C49" t="s">
        <v>21</v>
      </c>
      <c r="D49" t="s">
        <v>9</v>
      </c>
      <c r="E49" s="277" t="s">
        <v>114</v>
      </c>
    </row>
    <row r="50" spans="1:5" ht="28.8" customHeight="1" x14ac:dyDescent="0.55000000000000004">
      <c r="A50" t="s">
        <v>115</v>
      </c>
      <c r="B50" t="s">
        <v>7</v>
      </c>
      <c r="C50" t="s">
        <v>21</v>
      </c>
      <c r="D50" t="s">
        <v>9</v>
      </c>
      <c r="E50" s="277" t="s">
        <v>116</v>
      </c>
    </row>
    <row r="51" spans="1:5" ht="28.8" customHeight="1" x14ac:dyDescent="0.55000000000000004">
      <c r="A51" t="s">
        <v>117</v>
      </c>
      <c r="B51" t="s">
        <v>7</v>
      </c>
      <c r="C51" t="s">
        <v>21</v>
      </c>
      <c r="D51" t="s">
        <v>9</v>
      </c>
      <c r="E51" s="277" t="s">
        <v>118</v>
      </c>
    </row>
    <row r="52" spans="1:5" ht="28.8" customHeight="1" x14ac:dyDescent="0.55000000000000004">
      <c r="A52" t="s">
        <v>119</v>
      </c>
      <c r="B52" t="s">
        <v>22</v>
      </c>
      <c r="C52" t="s">
        <v>120</v>
      </c>
      <c r="D52" t="s">
        <v>53</v>
      </c>
      <c r="E52" s="277" t="s">
        <v>121</v>
      </c>
    </row>
    <row r="53" spans="1:5" ht="28.8" customHeight="1" x14ac:dyDescent="0.55000000000000004">
      <c r="A53" t="s">
        <v>122</v>
      </c>
      <c r="B53" t="s">
        <v>22</v>
      </c>
      <c r="C53" t="s">
        <v>120</v>
      </c>
      <c r="D53" t="s">
        <v>53</v>
      </c>
      <c r="E53" s="277" t="s">
        <v>123</v>
      </c>
    </row>
    <row r="54" spans="1:5" ht="57.6" customHeight="1" x14ac:dyDescent="0.55000000000000004">
      <c r="A54" s="214" t="s">
        <v>124</v>
      </c>
      <c r="B54" s="214" t="s">
        <v>22</v>
      </c>
      <c r="C54" s="214" t="s">
        <v>120</v>
      </c>
      <c r="D54" s="214" t="s">
        <v>53</v>
      </c>
      <c r="E54" s="214" t="s">
        <v>125</v>
      </c>
    </row>
    <row r="55" spans="1:5" ht="72" customHeight="1" x14ac:dyDescent="0.55000000000000004">
      <c r="A55" s="214" t="s">
        <v>126</v>
      </c>
      <c r="B55" s="214" t="s">
        <v>7</v>
      </c>
      <c r="C55" s="214" t="s">
        <v>12</v>
      </c>
      <c r="D55" s="214" t="s">
        <v>53</v>
      </c>
      <c r="E55" s="214" t="s">
        <v>127</v>
      </c>
    </row>
    <row r="56" spans="1:5" ht="43.2" customHeight="1" x14ac:dyDescent="0.55000000000000004">
      <c r="A56" s="214" t="s">
        <v>128</v>
      </c>
      <c r="B56" s="214" t="s">
        <v>7</v>
      </c>
      <c r="C56" s="214" t="s">
        <v>21</v>
      </c>
      <c r="D56" s="214" t="s">
        <v>9</v>
      </c>
      <c r="E56" s="214" t="s">
        <v>129</v>
      </c>
    </row>
    <row r="57" spans="1:5" ht="43.2" customHeight="1" x14ac:dyDescent="0.55000000000000004">
      <c r="A57" s="214" t="s">
        <v>130</v>
      </c>
      <c r="B57" s="214" t="s">
        <v>7</v>
      </c>
      <c r="C57" s="214" t="s">
        <v>21</v>
      </c>
      <c r="D57" s="214" t="s">
        <v>53</v>
      </c>
      <c r="E57" s="214" t="s">
        <v>131</v>
      </c>
    </row>
    <row r="58" spans="1:5" ht="72" customHeight="1" x14ac:dyDescent="0.55000000000000004">
      <c r="A58" s="214" t="s">
        <v>132</v>
      </c>
      <c r="B58" s="214" t="s">
        <v>7</v>
      </c>
      <c r="C58" s="214" t="s">
        <v>21</v>
      </c>
      <c r="D58" s="214" t="s">
        <v>53</v>
      </c>
      <c r="E58" s="214" t="s">
        <v>133</v>
      </c>
    </row>
    <row r="59" spans="1:5" ht="100.8" customHeight="1" x14ac:dyDescent="0.55000000000000004">
      <c r="A59" s="214" t="s">
        <v>134</v>
      </c>
      <c r="B59" s="214" t="s">
        <v>7</v>
      </c>
      <c r="C59" s="214" t="s">
        <v>12</v>
      </c>
      <c r="D59" s="214" t="s">
        <v>9</v>
      </c>
      <c r="E59" s="214" t="s">
        <v>135</v>
      </c>
    </row>
    <row r="60" spans="1:5" ht="72" customHeight="1" x14ac:dyDescent="0.55000000000000004">
      <c r="A60" s="214" t="s">
        <v>136</v>
      </c>
      <c r="B60" s="214" t="s">
        <v>7</v>
      </c>
      <c r="C60" s="214" t="s">
        <v>12</v>
      </c>
      <c r="D60" s="214" t="s">
        <v>53</v>
      </c>
      <c r="E60" s="214" t="s">
        <v>137</v>
      </c>
    </row>
    <row r="61" spans="1:5" ht="72" customHeight="1" x14ac:dyDescent="0.55000000000000004">
      <c r="A61" s="214" t="s">
        <v>138</v>
      </c>
      <c r="B61" s="214" t="s">
        <v>7</v>
      </c>
      <c r="C61" s="214" t="s">
        <v>21</v>
      </c>
      <c r="D61" s="214" t="s">
        <v>9</v>
      </c>
      <c r="E61" s="214" t="s">
        <v>139</v>
      </c>
    </row>
    <row r="62" spans="1:5" ht="72" customHeight="1" x14ac:dyDescent="0.55000000000000004">
      <c r="A62" s="214" t="s">
        <v>140</v>
      </c>
      <c r="B62" s="214" t="s">
        <v>7</v>
      </c>
      <c r="C62" s="214" t="s">
        <v>21</v>
      </c>
      <c r="D62" s="214" t="s">
        <v>9</v>
      </c>
      <c r="E62" s="214" t="s">
        <v>141</v>
      </c>
    </row>
    <row r="63" spans="1:5" ht="57.6" customHeight="1" x14ac:dyDescent="0.55000000000000004">
      <c r="A63" s="214" t="s">
        <v>142</v>
      </c>
      <c r="B63" s="214" t="s">
        <v>7</v>
      </c>
      <c r="C63" s="214" t="s">
        <v>33</v>
      </c>
      <c r="D63" s="214" t="s">
        <v>9</v>
      </c>
      <c r="E63" s="214" t="s">
        <v>143</v>
      </c>
    </row>
    <row r="64" spans="1:5" ht="28.8" customHeight="1" x14ac:dyDescent="0.55000000000000004">
      <c r="A64" s="214" t="s">
        <v>144</v>
      </c>
      <c r="B64" s="214" t="s">
        <v>7</v>
      </c>
      <c r="C64" s="214" t="s">
        <v>33</v>
      </c>
      <c r="D64" s="214" t="s">
        <v>9</v>
      </c>
      <c r="E64" s="214" t="s">
        <v>145</v>
      </c>
    </row>
    <row r="65" spans="1:5" ht="129.6" customHeight="1" x14ac:dyDescent="0.55000000000000004">
      <c r="A65" s="214" t="s">
        <v>146</v>
      </c>
      <c r="B65" s="214" t="s">
        <v>7</v>
      </c>
      <c r="C65" s="214" t="s">
        <v>21</v>
      </c>
      <c r="D65" s="214" t="s">
        <v>9</v>
      </c>
      <c r="E65" s="214" t="s">
        <v>147</v>
      </c>
    </row>
    <row r="66" spans="1:5" ht="28.8" customHeight="1" x14ac:dyDescent="0.55000000000000004">
      <c r="A66" s="214" t="s">
        <v>148</v>
      </c>
      <c r="B66" t="s">
        <v>22</v>
      </c>
      <c r="C66" t="s">
        <v>21</v>
      </c>
      <c r="D66" t="s">
        <v>53</v>
      </c>
      <c r="E66" s="277" t="s">
        <v>149</v>
      </c>
    </row>
    <row r="67" spans="1:5" ht="28.8" customHeight="1" x14ac:dyDescent="0.55000000000000004">
      <c r="A67" s="214" t="s">
        <v>150</v>
      </c>
      <c r="B67" t="s">
        <v>7</v>
      </c>
      <c r="C67" t="s">
        <v>33</v>
      </c>
      <c r="D67" t="s">
        <v>9</v>
      </c>
      <c r="E67" s="277" t="s">
        <v>151</v>
      </c>
    </row>
    <row r="68" spans="1:5" ht="57.6" customHeight="1" x14ac:dyDescent="0.55000000000000004">
      <c r="A68" s="214" t="s">
        <v>152</v>
      </c>
      <c r="B68" t="s">
        <v>22</v>
      </c>
      <c r="C68" t="s">
        <v>33</v>
      </c>
      <c r="D68" t="s">
        <v>53</v>
      </c>
      <c r="E68" s="277" t="s">
        <v>153</v>
      </c>
    </row>
    <row r="69" spans="1:5" ht="43.2" customHeight="1" x14ac:dyDescent="0.55000000000000004">
      <c r="A69" s="214" t="s">
        <v>154</v>
      </c>
      <c r="B69" t="s">
        <v>7</v>
      </c>
      <c r="C69" t="s">
        <v>21</v>
      </c>
      <c r="D69" t="s">
        <v>9</v>
      </c>
      <c r="E69" s="277" t="s">
        <v>155</v>
      </c>
    </row>
    <row r="70" spans="1:5" ht="57.6" customHeight="1" x14ac:dyDescent="0.55000000000000004">
      <c r="A70" s="214" t="s">
        <v>156</v>
      </c>
      <c r="B70" t="s">
        <v>22</v>
      </c>
      <c r="C70" t="s">
        <v>12</v>
      </c>
      <c r="D70" t="s">
        <v>53</v>
      </c>
      <c r="E70" s="277" t="s">
        <v>157</v>
      </c>
    </row>
    <row r="71" spans="1:5" ht="28.8" customHeight="1" x14ac:dyDescent="0.55000000000000004">
      <c r="A71" s="214" t="s">
        <v>158</v>
      </c>
      <c r="B71" t="s">
        <v>7</v>
      </c>
      <c r="C71" t="s">
        <v>12</v>
      </c>
      <c r="D71" t="s">
        <v>9</v>
      </c>
      <c r="E71" s="277" t="s">
        <v>159</v>
      </c>
    </row>
    <row r="72" spans="1:5" ht="28.8" customHeight="1" x14ac:dyDescent="0.55000000000000004">
      <c r="A72" s="214" t="s">
        <v>160</v>
      </c>
      <c r="B72" t="s">
        <v>22</v>
      </c>
      <c r="C72" t="s">
        <v>21</v>
      </c>
      <c r="D72" t="s">
        <v>53</v>
      </c>
      <c r="E72" s="277" t="s">
        <v>161</v>
      </c>
    </row>
    <row r="73" spans="1:5" ht="28.8" customHeight="1" x14ac:dyDescent="0.55000000000000004">
      <c r="A73" s="214" t="s">
        <v>162</v>
      </c>
      <c r="B73" t="s">
        <v>7</v>
      </c>
      <c r="C73" t="s">
        <v>21</v>
      </c>
      <c r="D73" t="s">
        <v>9</v>
      </c>
      <c r="E73" s="277" t="s">
        <v>163</v>
      </c>
    </row>
    <row r="74" spans="1:5" ht="28.8" customHeight="1" x14ac:dyDescent="0.55000000000000004">
      <c r="A74" s="214" t="s">
        <v>164</v>
      </c>
      <c r="B74" t="s">
        <v>22</v>
      </c>
      <c r="C74" t="s">
        <v>21</v>
      </c>
      <c r="D74" t="s">
        <v>53</v>
      </c>
      <c r="E74" s="277" t="s">
        <v>165</v>
      </c>
    </row>
    <row r="75" spans="1:5" ht="28.8" customHeight="1" x14ac:dyDescent="0.55000000000000004">
      <c r="A75" s="214" t="s">
        <v>166</v>
      </c>
      <c r="B75" t="s">
        <v>22</v>
      </c>
      <c r="C75" t="s">
        <v>33</v>
      </c>
      <c r="D75" t="s">
        <v>53</v>
      </c>
      <c r="E75" s="277" t="s">
        <v>167</v>
      </c>
    </row>
    <row r="76" spans="1:5" ht="28.8" customHeight="1" x14ac:dyDescent="0.55000000000000004">
      <c r="A76" s="214" t="s">
        <v>168</v>
      </c>
      <c r="B76" t="s">
        <v>22</v>
      </c>
      <c r="C76" t="s">
        <v>21</v>
      </c>
      <c r="D76" t="s">
        <v>53</v>
      </c>
      <c r="E76" s="277" t="s">
        <v>169</v>
      </c>
    </row>
    <row r="77" spans="1:5" ht="28.8" customHeight="1" x14ac:dyDescent="0.55000000000000004">
      <c r="A77" s="214" t="s">
        <v>170</v>
      </c>
      <c r="B77" t="s">
        <v>7</v>
      </c>
      <c r="C77" t="s">
        <v>33</v>
      </c>
      <c r="D77" t="s">
        <v>9</v>
      </c>
      <c r="E77" s="277" t="s">
        <v>171</v>
      </c>
    </row>
    <row r="78" spans="1:5" ht="57.6" customHeight="1" x14ac:dyDescent="0.55000000000000004">
      <c r="A78" s="214" t="s">
        <v>172</v>
      </c>
      <c r="B78" t="s">
        <v>7</v>
      </c>
      <c r="C78" t="s">
        <v>21</v>
      </c>
      <c r="D78" t="s">
        <v>9</v>
      </c>
      <c r="E78" s="277" t="s">
        <v>173</v>
      </c>
    </row>
    <row r="79" spans="1:5" ht="28.8" customHeight="1" x14ac:dyDescent="0.55000000000000004">
      <c r="A79" s="214" t="s">
        <v>174</v>
      </c>
      <c r="B79" t="s">
        <v>22</v>
      </c>
      <c r="C79" t="s">
        <v>12</v>
      </c>
      <c r="D79" t="s">
        <v>53</v>
      </c>
      <c r="E79" s="277" t="s">
        <v>175</v>
      </c>
    </row>
    <row r="80" spans="1:5" ht="28.8" customHeight="1" x14ac:dyDescent="0.55000000000000004">
      <c r="A80" s="214" t="s">
        <v>176</v>
      </c>
      <c r="B80" t="s">
        <v>7</v>
      </c>
      <c r="C80" t="s">
        <v>21</v>
      </c>
      <c r="D80" t="s">
        <v>9</v>
      </c>
      <c r="E80" s="277" t="s">
        <v>177</v>
      </c>
    </row>
    <row r="81" spans="1:5" ht="57.6" customHeight="1" x14ac:dyDescent="0.55000000000000004">
      <c r="A81" s="214" t="s">
        <v>178</v>
      </c>
      <c r="B81" t="s">
        <v>7</v>
      </c>
      <c r="C81" t="s">
        <v>21</v>
      </c>
      <c r="D81" t="s">
        <v>9</v>
      </c>
      <c r="E81" s="277" t="s">
        <v>179</v>
      </c>
    </row>
    <row r="82" spans="1:5" ht="28.8" customHeight="1" x14ac:dyDescent="0.55000000000000004">
      <c r="A82" s="214" t="s">
        <v>180</v>
      </c>
      <c r="B82" t="s">
        <v>7</v>
      </c>
      <c r="C82" t="s">
        <v>21</v>
      </c>
      <c r="D82" t="s">
        <v>9</v>
      </c>
      <c r="E82" s="277" t="s">
        <v>181</v>
      </c>
    </row>
    <row r="83" spans="1:5" ht="28.8" customHeight="1" x14ac:dyDescent="0.55000000000000004">
      <c r="A83" s="214" t="s">
        <v>182</v>
      </c>
      <c r="B83" t="s">
        <v>22</v>
      </c>
      <c r="C83" t="s">
        <v>12</v>
      </c>
      <c r="D83" t="s">
        <v>53</v>
      </c>
      <c r="E83" s="277" t="s">
        <v>183</v>
      </c>
    </row>
    <row r="84" spans="1:5" ht="57.6" customHeight="1" x14ac:dyDescent="0.55000000000000004">
      <c r="A84" s="214" t="s">
        <v>184</v>
      </c>
      <c r="B84" t="s">
        <v>7</v>
      </c>
      <c r="C84" t="s">
        <v>21</v>
      </c>
      <c r="D84" t="s">
        <v>9</v>
      </c>
      <c r="E84" s="277" t="s">
        <v>185</v>
      </c>
    </row>
    <row r="85" spans="1:5" ht="28.8" customHeight="1" x14ac:dyDescent="0.55000000000000004">
      <c r="A85" s="214" t="s">
        <v>186</v>
      </c>
      <c r="B85" t="s">
        <v>7</v>
      </c>
      <c r="C85" t="s">
        <v>21</v>
      </c>
      <c r="D85" t="s">
        <v>9</v>
      </c>
      <c r="E85" s="277" t="s">
        <v>187</v>
      </c>
    </row>
    <row r="86" spans="1:5" ht="28.8" customHeight="1" x14ac:dyDescent="0.55000000000000004">
      <c r="A86" s="214" t="s">
        <v>188</v>
      </c>
      <c r="B86" t="s">
        <v>22</v>
      </c>
      <c r="C86" t="s">
        <v>33</v>
      </c>
      <c r="D86" t="s">
        <v>53</v>
      </c>
      <c r="E86" s="277" t="s">
        <v>189</v>
      </c>
    </row>
    <row r="87" spans="1:5" ht="28.8" customHeight="1" x14ac:dyDescent="0.55000000000000004">
      <c r="A87" s="214" t="s">
        <v>190</v>
      </c>
      <c r="B87" t="s">
        <v>22</v>
      </c>
      <c r="C87" t="s">
        <v>33</v>
      </c>
      <c r="D87" t="s">
        <v>53</v>
      </c>
      <c r="E87" s="277" t="s">
        <v>191</v>
      </c>
    </row>
    <row r="88" spans="1:5" ht="28.8" customHeight="1" x14ac:dyDescent="0.55000000000000004">
      <c r="A88" s="214" t="s">
        <v>192</v>
      </c>
      <c r="B88" t="s">
        <v>22</v>
      </c>
      <c r="C88" t="s">
        <v>21</v>
      </c>
      <c r="D88" t="s">
        <v>53</v>
      </c>
      <c r="E88" s="277" t="s">
        <v>193</v>
      </c>
    </row>
    <row r="89" spans="1:5" ht="28.8" customHeight="1" x14ac:dyDescent="0.55000000000000004">
      <c r="A89" s="214" t="s">
        <v>194</v>
      </c>
      <c r="B89" t="s">
        <v>22</v>
      </c>
      <c r="C89" t="s">
        <v>12</v>
      </c>
      <c r="D89" t="s">
        <v>53</v>
      </c>
      <c r="E89" s="277" t="s">
        <v>195</v>
      </c>
    </row>
    <row r="90" spans="1:5" ht="28.8" customHeight="1" x14ac:dyDescent="0.55000000000000004">
      <c r="A90" s="214" t="s">
        <v>196</v>
      </c>
      <c r="B90" t="s">
        <v>22</v>
      </c>
      <c r="C90" t="s">
        <v>33</v>
      </c>
      <c r="D90" t="s">
        <v>53</v>
      </c>
      <c r="E90" s="277" t="s">
        <v>197</v>
      </c>
    </row>
    <row r="91" spans="1:5" ht="28.8" customHeight="1" x14ac:dyDescent="0.55000000000000004">
      <c r="A91" s="214" t="s">
        <v>198</v>
      </c>
      <c r="B91" t="s">
        <v>22</v>
      </c>
      <c r="C91" t="s">
        <v>12</v>
      </c>
      <c r="D91" t="s">
        <v>53</v>
      </c>
      <c r="E91" s="277" t="s">
        <v>199</v>
      </c>
    </row>
    <row r="92" spans="1:5" ht="100.8" customHeight="1" x14ac:dyDescent="0.55000000000000004">
      <c r="A92" s="214" t="s">
        <v>200</v>
      </c>
      <c r="B92" t="s">
        <v>22</v>
      </c>
      <c r="C92" t="s">
        <v>33</v>
      </c>
      <c r="D92" t="s">
        <v>53</v>
      </c>
      <c r="E92" s="277" t="s">
        <v>201</v>
      </c>
    </row>
    <row r="93" spans="1:5" ht="86.4" customHeight="1" x14ac:dyDescent="0.55000000000000004">
      <c r="A93" s="214" t="s">
        <v>202</v>
      </c>
      <c r="B93" t="s">
        <v>7</v>
      </c>
      <c r="C93" t="s">
        <v>33</v>
      </c>
      <c r="D93" t="s">
        <v>9</v>
      </c>
      <c r="E93" s="277" t="s">
        <v>203</v>
      </c>
    </row>
    <row r="94" spans="1:5" ht="72" customHeight="1" x14ac:dyDescent="0.55000000000000004">
      <c r="A94" s="214" t="s">
        <v>204</v>
      </c>
      <c r="B94" t="s">
        <v>22</v>
      </c>
      <c r="C94" t="s">
        <v>21</v>
      </c>
      <c r="D94" t="s">
        <v>53</v>
      </c>
      <c r="E94" s="277" t="s">
        <v>205</v>
      </c>
    </row>
    <row r="95" spans="1:5" ht="28.8" x14ac:dyDescent="0.55000000000000004">
      <c r="A95" s="214" t="s">
        <v>206</v>
      </c>
      <c r="B95" t="s">
        <v>22</v>
      </c>
      <c r="C95" t="s">
        <v>12</v>
      </c>
      <c r="D95" t="s">
        <v>53</v>
      </c>
      <c r="E95" t="s">
        <v>207</v>
      </c>
    </row>
    <row r="96" spans="1:5" ht="28.8" x14ac:dyDescent="0.55000000000000004">
      <c r="A96" s="214" t="s">
        <v>208</v>
      </c>
      <c r="B96" t="s">
        <v>22</v>
      </c>
      <c r="C96" t="s">
        <v>33</v>
      </c>
      <c r="D96" t="s">
        <v>53</v>
      </c>
      <c r="E96" t="s">
        <v>209</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87"/>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18" t="s">
        <v>869</v>
      </c>
    </row>
    <row r="2" spans="1:5" ht="46" customHeight="1" x14ac:dyDescent="0.55000000000000004">
      <c r="A2" s="310" t="s">
        <v>870</v>
      </c>
      <c r="B2" s="291"/>
      <c r="C2" s="291"/>
      <c r="D2" s="291"/>
      <c r="E2" s="291"/>
    </row>
    <row r="4" spans="1:5" x14ac:dyDescent="0.55000000000000004">
      <c r="A4" s="219" t="s">
        <v>871</v>
      </c>
      <c r="B4" s="219" t="s">
        <v>1</v>
      </c>
      <c r="C4" s="219" t="s">
        <v>4</v>
      </c>
      <c r="D4" s="219" t="s">
        <v>872</v>
      </c>
      <c r="E4" s="219" t="s">
        <v>873</v>
      </c>
    </row>
    <row r="5" spans="1:5" ht="44.05" customHeight="1" x14ac:dyDescent="0.55000000000000004">
      <c r="A5" s="220" t="s">
        <v>874</v>
      </c>
      <c r="B5" s="214" t="s">
        <v>875</v>
      </c>
      <c r="C5" s="227" t="s">
        <v>231</v>
      </c>
      <c r="D5" s="214" t="s">
        <v>876</v>
      </c>
      <c r="E5" s="214" t="s">
        <v>877</v>
      </c>
    </row>
    <row r="6" spans="1:5" ht="44.05" customHeight="1" x14ac:dyDescent="0.55000000000000004">
      <c r="A6" s="220" t="s">
        <v>874</v>
      </c>
      <c r="B6" s="214" t="s">
        <v>878</v>
      </c>
      <c r="C6" s="227" t="s">
        <v>231</v>
      </c>
      <c r="D6" s="214" t="s">
        <v>876</v>
      </c>
      <c r="E6" s="214" t="s">
        <v>879</v>
      </c>
    </row>
    <row r="7" spans="1:5" ht="44.05" customHeight="1" x14ac:dyDescent="0.55000000000000004">
      <c r="A7" s="230" t="s">
        <v>880</v>
      </c>
      <c r="B7" s="214" t="s">
        <v>881</v>
      </c>
      <c r="C7" s="231" t="s">
        <v>231</v>
      </c>
      <c r="D7" s="214" t="s">
        <v>874</v>
      </c>
      <c r="E7" s="214" t="s">
        <v>882</v>
      </c>
    </row>
    <row r="8" spans="1:5" ht="44.05" customHeight="1" x14ac:dyDescent="0.55000000000000004">
      <c r="A8" s="222" t="s">
        <v>880</v>
      </c>
      <c r="B8" s="214" t="s">
        <v>883</v>
      </c>
      <c r="C8" s="233" t="s">
        <v>231</v>
      </c>
      <c r="D8" s="214" t="s">
        <v>884</v>
      </c>
      <c r="E8" s="214" t="s">
        <v>885</v>
      </c>
    </row>
    <row r="9" spans="1:5" ht="44.05" customHeight="1" x14ac:dyDescent="0.55000000000000004">
      <c r="A9" s="222" t="s">
        <v>880</v>
      </c>
      <c r="B9" s="214" t="s">
        <v>886</v>
      </c>
      <c r="C9" s="232" t="s">
        <v>231</v>
      </c>
      <c r="D9" s="214" t="s">
        <v>874</v>
      </c>
      <c r="E9" s="214" t="s">
        <v>887</v>
      </c>
    </row>
    <row r="10" spans="1:5" ht="44.05" customHeight="1" x14ac:dyDescent="0.55000000000000004">
      <c r="A10" s="223" t="s">
        <v>888</v>
      </c>
      <c r="B10" s="214" t="s">
        <v>889</v>
      </c>
      <c r="C10" s="221" t="s">
        <v>231</v>
      </c>
      <c r="D10" s="214" t="s">
        <v>890</v>
      </c>
      <c r="E10" s="214" t="s">
        <v>891</v>
      </c>
    </row>
    <row r="11" spans="1:5" ht="44.05" customHeight="1" x14ac:dyDescent="0.55000000000000004">
      <c r="A11" t="s">
        <v>888</v>
      </c>
      <c r="B11" s="214" t="s">
        <v>892</v>
      </c>
      <c r="C11" t="s">
        <v>231</v>
      </c>
      <c r="D11" t="s">
        <v>893</v>
      </c>
    </row>
    <row r="12" spans="1:5" ht="44.05" customHeight="1" x14ac:dyDescent="0.55000000000000004">
      <c r="A12" t="s">
        <v>888</v>
      </c>
      <c r="B12" s="214" t="s">
        <v>894</v>
      </c>
      <c r="C12" t="s">
        <v>231</v>
      </c>
      <c r="D12" t="s">
        <v>893</v>
      </c>
    </row>
    <row r="13" spans="1:5" ht="44.05" customHeight="1" x14ac:dyDescent="0.55000000000000004">
      <c r="A13" s="223" t="s">
        <v>888</v>
      </c>
      <c r="B13" s="214" t="s">
        <v>895</v>
      </c>
      <c r="C13" s="221" t="s">
        <v>231</v>
      </c>
      <c r="D13" s="214" t="s">
        <v>896</v>
      </c>
      <c r="E13" s="214" t="s">
        <v>897</v>
      </c>
    </row>
    <row r="14" spans="1:5" ht="44.05" customHeight="1" x14ac:dyDescent="0.55000000000000004">
      <c r="A14" s="234" t="s">
        <v>888</v>
      </c>
      <c r="B14" s="214" t="s">
        <v>898</v>
      </c>
      <c r="C14" s="235" t="s">
        <v>231</v>
      </c>
      <c r="D14" s="214" t="s">
        <v>899</v>
      </c>
      <c r="E14" s="214" t="s">
        <v>900</v>
      </c>
    </row>
    <row r="15" spans="1:5" ht="44.05" customHeight="1" x14ac:dyDescent="0.55000000000000004">
      <c r="A15" s="234" t="s">
        <v>888</v>
      </c>
      <c r="B15" s="214" t="s">
        <v>901</v>
      </c>
      <c r="C15" s="235" t="s">
        <v>231</v>
      </c>
      <c r="D15" s="214" t="s">
        <v>896</v>
      </c>
      <c r="E15" s="214" t="s">
        <v>902</v>
      </c>
    </row>
    <row r="16" spans="1:5" ht="44.05" customHeight="1" x14ac:dyDescent="0.55000000000000004">
      <c r="A16" s="234" t="s">
        <v>888</v>
      </c>
      <c r="B16" s="214" t="s">
        <v>903</v>
      </c>
      <c r="C16" s="235" t="s">
        <v>231</v>
      </c>
      <c r="D16" s="214" t="s">
        <v>896</v>
      </c>
      <c r="E16" s="214" t="s">
        <v>904</v>
      </c>
    </row>
    <row r="17" spans="1:5" ht="44.05" customHeight="1" x14ac:dyDescent="0.55000000000000004">
      <c r="A17" s="224" t="s">
        <v>905</v>
      </c>
      <c r="B17" s="214" t="s">
        <v>906</v>
      </c>
      <c r="C17" s="221" t="s">
        <v>231</v>
      </c>
      <c r="D17" s="214" t="s">
        <v>907</v>
      </c>
      <c r="E17" s="214" t="s">
        <v>908</v>
      </c>
    </row>
    <row r="18" spans="1:5" ht="44.05" customHeight="1" x14ac:dyDescent="0.55000000000000004">
      <c r="A18" s="224" t="s">
        <v>905</v>
      </c>
      <c r="B18" s="214" t="s">
        <v>909</v>
      </c>
      <c r="C18" s="222" t="s">
        <v>346</v>
      </c>
      <c r="D18" s="214" t="s">
        <v>907</v>
      </c>
      <c r="E18" s="214" t="s">
        <v>910</v>
      </c>
    </row>
    <row r="19" spans="1:5" ht="44.05" customHeight="1" x14ac:dyDescent="0.55000000000000004">
      <c r="A19" s="225" t="s">
        <v>911</v>
      </c>
      <c r="B19" s="214" t="s">
        <v>912</v>
      </c>
      <c r="C19" s="224" t="s">
        <v>913</v>
      </c>
      <c r="D19" s="214" t="s">
        <v>876</v>
      </c>
      <c r="E19" s="214" t="s">
        <v>914</v>
      </c>
    </row>
    <row r="20" spans="1:5" x14ac:dyDescent="0.55000000000000004">
      <c r="A20" s="225" t="s">
        <v>911</v>
      </c>
      <c r="B20" s="214" t="s">
        <v>915</v>
      </c>
      <c r="C20" s="224" t="s">
        <v>913</v>
      </c>
      <c r="D20" s="214" t="s">
        <v>876</v>
      </c>
      <c r="E20" s="214" t="s">
        <v>916</v>
      </c>
    </row>
    <row r="21" spans="1:5" ht="58" customHeight="1" x14ac:dyDescent="0.55000000000000004">
      <c r="A21" s="225" t="s">
        <v>911</v>
      </c>
      <c r="B21" s="214" t="s">
        <v>917</v>
      </c>
      <c r="C21" s="224" t="s">
        <v>913</v>
      </c>
      <c r="D21" s="214" t="s">
        <v>876</v>
      </c>
      <c r="E21" s="214" t="s">
        <v>918</v>
      </c>
    </row>
    <row r="22" spans="1:5" ht="58" customHeight="1" x14ac:dyDescent="0.55000000000000004"/>
    <row r="23" spans="1:5" ht="58" customHeight="1" x14ac:dyDescent="0.55000000000000004">
      <c r="A23" s="228" t="s">
        <v>874</v>
      </c>
      <c r="B23" s="214" t="s">
        <v>919</v>
      </c>
      <c r="C23" s="227" t="s">
        <v>231</v>
      </c>
      <c r="D23" s="214" t="s">
        <v>920</v>
      </c>
      <c r="E23" s="214" t="s">
        <v>921</v>
      </c>
    </row>
    <row r="24" spans="1:5" ht="58" customHeight="1" x14ac:dyDescent="0.55000000000000004">
      <c r="A24" s="229" t="s">
        <v>880</v>
      </c>
      <c r="B24" s="214" t="s">
        <v>922</v>
      </c>
      <c r="C24" s="233" t="s">
        <v>231</v>
      </c>
      <c r="D24" s="214" t="s">
        <v>923</v>
      </c>
      <c r="E24" s="214" t="s">
        <v>924</v>
      </c>
    </row>
    <row r="25" spans="1:5" ht="58" customHeight="1" x14ac:dyDescent="0.55000000000000004">
      <c r="A25" s="230" t="s">
        <v>880</v>
      </c>
      <c r="B25" s="214" t="s">
        <v>925</v>
      </c>
      <c r="C25" s="233" t="s">
        <v>231</v>
      </c>
      <c r="D25" s="214" t="s">
        <v>926</v>
      </c>
      <c r="E25" s="214" t="s">
        <v>927</v>
      </c>
    </row>
    <row r="26" spans="1:5" ht="43.2" customHeight="1" x14ac:dyDescent="0.55000000000000004">
      <c r="A26" s="230" t="s">
        <v>880</v>
      </c>
      <c r="B26" s="214" t="s">
        <v>928</v>
      </c>
      <c r="C26" s="232" t="s">
        <v>231</v>
      </c>
      <c r="D26" s="214" t="s">
        <v>923</v>
      </c>
      <c r="E26" s="214" t="s">
        <v>929</v>
      </c>
    </row>
    <row r="27" spans="1:5" ht="86.4" customHeight="1" x14ac:dyDescent="0.55000000000000004">
      <c r="A27" s="234" t="s">
        <v>888</v>
      </c>
      <c r="B27" s="214" t="s">
        <v>930</v>
      </c>
      <c r="C27" s="236" t="s">
        <v>231</v>
      </c>
      <c r="D27" s="214" t="s">
        <v>893</v>
      </c>
      <c r="E27" s="214" t="s">
        <v>931</v>
      </c>
    </row>
    <row r="28" spans="1:5" ht="72" customHeight="1" x14ac:dyDescent="0.55000000000000004">
      <c r="A28" s="226" t="s">
        <v>874</v>
      </c>
      <c r="B28" s="214" t="s">
        <v>932</v>
      </c>
      <c r="C28" t="s">
        <v>231</v>
      </c>
      <c r="D28" t="s">
        <v>933</v>
      </c>
    </row>
    <row r="29" spans="1:5" ht="57.6" customHeight="1" x14ac:dyDescent="0.55000000000000004">
      <c r="A29" t="s">
        <v>888</v>
      </c>
      <c r="B29" s="214" t="s">
        <v>934</v>
      </c>
      <c r="C29" t="s">
        <v>231</v>
      </c>
      <c r="D29" t="s">
        <v>893</v>
      </c>
    </row>
    <row r="30" spans="1:5" ht="72" customHeight="1" x14ac:dyDescent="0.55000000000000004">
      <c r="A30" t="s">
        <v>888</v>
      </c>
      <c r="B30" s="214" t="s">
        <v>935</v>
      </c>
      <c r="C30" t="s">
        <v>231</v>
      </c>
      <c r="D30" t="s">
        <v>936</v>
      </c>
    </row>
    <row r="31" spans="1:5" ht="72" customHeight="1" x14ac:dyDescent="0.55000000000000004">
      <c r="A31" t="s">
        <v>880</v>
      </c>
      <c r="B31" s="214" t="s">
        <v>937</v>
      </c>
      <c r="C31" t="s">
        <v>231</v>
      </c>
      <c r="D31" t="s">
        <v>938</v>
      </c>
    </row>
    <row r="32" spans="1:5" ht="57.6" customHeight="1" x14ac:dyDescent="0.55000000000000004">
      <c r="A32" t="s">
        <v>880</v>
      </c>
      <c r="B32" s="214" t="s">
        <v>939</v>
      </c>
      <c r="C32" t="s">
        <v>231</v>
      </c>
      <c r="D32" t="s">
        <v>940</v>
      </c>
    </row>
    <row r="33" spans="1:4" ht="72" customHeight="1" x14ac:dyDescent="0.55000000000000004">
      <c r="A33" t="s">
        <v>880</v>
      </c>
      <c r="B33" s="214" t="s">
        <v>941</v>
      </c>
      <c r="C33" t="s">
        <v>231</v>
      </c>
      <c r="D33" t="s">
        <v>938</v>
      </c>
    </row>
    <row r="34" spans="1:4" ht="72" customHeight="1" x14ac:dyDescent="0.55000000000000004">
      <c r="A34" t="s">
        <v>880</v>
      </c>
      <c r="B34" s="214" t="s">
        <v>942</v>
      </c>
      <c r="C34" t="s">
        <v>231</v>
      </c>
      <c r="D34" t="s">
        <v>943</v>
      </c>
    </row>
    <row r="35" spans="1:4" ht="72" customHeight="1" x14ac:dyDescent="0.55000000000000004">
      <c r="A35" t="s">
        <v>888</v>
      </c>
      <c r="B35" s="214" t="s">
        <v>944</v>
      </c>
      <c r="C35" t="s">
        <v>231</v>
      </c>
      <c r="D35" t="s">
        <v>945</v>
      </c>
    </row>
    <row r="36" spans="1:4" ht="86.4" customHeight="1" x14ac:dyDescent="0.55000000000000004">
      <c r="A36" t="s">
        <v>880</v>
      </c>
      <c r="B36" s="214" t="s">
        <v>946</v>
      </c>
      <c r="C36" t="s">
        <v>231</v>
      </c>
      <c r="D36" t="s">
        <v>947</v>
      </c>
    </row>
    <row r="37" spans="1:4" ht="72" customHeight="1" x14ac:dyDescent="0.55000000000000004">
      <c r="A37" t="s">
        <v>888</v>
      </c>
      <c r="B37" s="214" t="s">
        <v>948</v>
      </c>
      <c r="C37" t="s">
        <v>231</v>
      </c>
      <c r="D37" t="s">
        <v>947</v>
      </c>
    </row>
    <row r="38" spans="1:4" ht="57.6" customHeight="1" x14ac:dyDescent="0.55000000000000004">
      <c r="A38" t="s">
        <v>905</v>
      </c>
      <c r="B38" s="214" t="s">
        <v>949</v>
      </c>
      <c r="C38" t="s">
        <v>231</v>
      </c>
      <c r="D38" t="s">
        <v>947</v>
      </c>
    </row>
    <row r="39" spans="1:4" ht="86.4" customHeight="1" x14ac:dyDescent="0.55000000000000004">
      <c r="A39" t="s">
        <v>880</v>
      </c>
      <c r="B39" s="214" t="s">
        <v>950</v>
      </c>
      <c r="C39" t="s">
        <v>231</v>
      </c>
      <c r="D39" t="s">
        <v>947</v>
      </c>
    </row>
    <row r="40" spans="1:4" ht="57.6" customHeight="1" x14ac:dyDescent="0.55000000000000004">
      <c r="A40" t="s">
        <v>888</v>
      </c>
      <c r="B40" s="214" t="s">
        <v>951</v>
      </c>
      <c r="C40" t="s">
        <v>231</v>
      </c>
      <c r="D40" t="s">
        <v>947</v>
      </c>
    </row>
    <row r="41" spans="1:4" ht="100.8" customHeight="1" x14ac:dyDescent="0.55000000000000004">
      <c r="A41" t="s">
        <v>880</v>
      </c>
      <c r="B41" s="214" t="s">
        <v>952</v>
      </c>
      <c r="C41" t="s">
        <v>231</v>
      </c>
      <c r="D41" t="s">
        <v>953</v>
      </c>
    </row>
    <row r="42" spans="1:4" ht="57.6" customHeight="1" x14ac:dyDescent="0.55000000000000004">
      <c r="A42" t="s">
        <v>888</v>
      </c>
      <c r="B42" s="214" t="s">
        <v>954</v>
      </c>
      <c r="C42" t="s">
        <v>231</v>
      </c>
      <c r="D42" t="s">
        <v>953</v>
      </c>
    </row>
    <row r="43" spans="1:4" ht="86.4" customHeight="1" x14ac:dyDescent="0.55000000000000004">
      <c r="A43" t="s">
        <v>888</v>
      </c>
      <c r="B43" s="214" t="s">
        <v>955</v>
      </c>
      <c r="C43" t="s">
        <v>231</v>
      </c>
      <c r="D43" t="s">
        <v>956</v>
      </c>
    </row>
    <row r="44" spans="1:4" ht="72" customHeight="1" x14ac:dyDescent="0.55000000000000004">
      <c r="A44" t="s">
        <v>888</v>
      </c>
      <c r="B44" s="214" t="s">
        <v>957</v>
      </c>
      <c r="C44" t="s">
        <v>231</v>
      </c>
      <c r="D44" t="s">
        <v>956</v>
      </c>
    </row>
    <row r="45" spans="1:4" ht="43.2" customHeight="1" x14ac:dyDescent="0.55000000000000004">
      <c r="A45" t="s">
        <v>905</v>
      </c>
      <c r="B45" s="214" t="s">
        <v>958</v>
      </c>
      <c r="C45" t="s">
        <v>16</v>
      </c>
      <c r="D45" t="s">
        <v>959</v>
      </c>
    </row>
    <row r="46" spans="1:4" ht="72" customHeight="1" x14ac:dyDescent="0.55000000000000004">
      <c r="A46" s="273" t="s">
        <v>960</v>
      </c>
      <c r="B46" s="214" t="s">
        <v>961</v>
      </c>
      <c r="C46" t="s">
        <v>231</v>
      </c>
      <c r="D46" t="s">
        <v>962</v>
      </c>
    </row>
    <row r="47" spans="1:4" ht="72" customHeight="1" x14ac:dyDescent="0.55000000000000004">
      <c r="A47" s="273" t="s">
        <v>960</v>
      </c>
      <c r="B47" s="214" t="s">
        <v>963</v>
      </c>
      <c r="C47" t="s">
        <v>231</v>
      </c>
      <c r="D47" t="s">
        <v>964</v>
      </c>
    </row>
    <row r="48" spans="1:4" ht="57.6" customHeight="1" x14ac:dyDescent="0.55000000000000004">
      <c r="A48" s="273" t="s">
        <v>960</v>
      </c>
      <c r="B48" s="214" t="s">
        <v>965</v>
      </c>
      <c r="C48" t="s">
        <v>231</v>
      </c>
      <c r="D48" t="s">
        <v>964</v>
      </c>
    </row>
    <row r="49" spans="1:5" ht="72" customHeight="1" x14ac:dyDescent="0.55000000000000004">
      <c r="A49" s="273" t="s">
        <v>960</v>
      </c>
      <c r="B49" s="214" t="s">
        <v>966</v>
      </c>
      <c r="C49" t="s">
        <v>231</v>
      </c>
      <c r="D49" t="s">
        <v>964</v>
      </c>
    </row>
    <row r="50" spans="1:5" ht="86.4" customHeight="1" x14ac:dyDescent="0.55000000000000004">
      <c r="A50" s="273" t="s">
        <v>960</v>
      </c>
      <c r="B50" s="214" t="s">
        <v>967</v>
      </c>
      <c r="C50" t="s">
        <v>231</v>
      </c>
      <c r="D50" t="s">
        <v>968</v>
      </c>
    </row>
    <row r="51" spans="1:5" ht="115.2" customHeight="1" x14ac:dyDescent="0.55000000000000004">
      <c r="A51" s="273" t="s">
        <v>960</v>
      </c>
      <c r="B51" s="214" t="s">
        <v>969</v>
      </c>
      <c r="C51" t="s">
        <v>231</v>
      </c>
      <c r="D51" t="s">
        <v>970</v>
      </c>
    </row>
    <row r="52" spans="1:5" ht="100.8" customHeight="1" x14ac:dyDescent="0.55000000000000004">
      <c r="A52" s="273" t="s">
        <v>960</v>
      </c>
      <c r="B52" s="214" t="s">
        <v>971</v>
      </c>
      <c r="C52" t="s">
        <v>231</v>
      </c>
      <c r="D52" t="s">
        <v>972</v>
      </c>
    </row>
    <row r="53" spans="1:5" ht="72" customHeight="1" x14ac:dyDescent="0.55000000000000004">
      <c r="A53" s="273" t="s">
        <v>960</v>
      </c>
      <c r="B53" s="214" t="s">
        <v>973</v>
      </c>
      <c r="C53" t="s">
        <v>16</v>
      </c>
      <c r="D53" t="s">
        <v>970</v>
      </c>
    </row>
    <row r="54" spans="1:5" ht="100.8" customHeight="1" x14ac:dyDescent="0.55000000000000004">
      <c r="A54" s="273" t="s">
        <v>960</v>
      </c>
      <c r="B54" s="214" t="s">
        <v>974</v>
      </c>
      <c r="C54" t="s">
        <v>231</v>
      </c>
      <c r="D54" t="s">
        <v>972</v>
      </c>
    </row>
    <row r="55" spans="1:5" ht="57.6" customHeight="1" x14ac:dyDescent="0.55000000000000004">
      <c r="A55" s="273" t="s">
        <v>960</v>
      </c>
      <c r="B55" s="214" t="s">
        <v>975</v>
      </c>
      <c r="C55" t="s">
        <v>231</v>
      </c>
      <c r="D55" t="s">
        <v>976</v>
      </c>
    </row>
    <row r="56" spans="1:5" ht="43.2" customHeight="1" x14ac:dyDescent="0.55000000000000004">
      <c r="A56" s="273" t="s">
        <v>960</v>
      </c>
      <c r="B56" s="214" t="s">
        <v>977</v>
      </c>
      <c r="C56" t="s">
        <v>231</v>
      </c>
      <c r="D56" t="s">
        <v>978</v>
      </c>
      <c r="E56" t="s">
        <v>979</v>
      </c>
    </row>
    <row r="57" spans="1:5" ht="115.2" customHeight="1" x14ac:dyDescent="0.55000000000000004">
      <c r="A57" s="273" t="s">
        <v>960</v>
      </c>
      <c r="B57" s="214" t="s">
        <v>980</v>
      </c>
      <c r="C57" t="s">
        <v>231</v>
      </c>
      <c r="D57" t="s">
        <v>981</v>
      </c>
    </row>
    <row r="58" spans="1:5" ht="57.6" customHeight="1" x14ac:dyDescent="0.55000000000000004">
      <c r="A58" s="273" t="s">
        <v>960</v>
      </c>
      <c r="B58" s="214" t="s">
        <v>982</v>
      </c>
      <c r="C58" t="s">
        <v>231</v>
      </c>
      <c r="D58" t="s">
        <v>981</v>
      </c>
    </row>
    <row r="59" spans="1:5" ht="72" customHeight="1" x14ac:dyDescent="0.55000000000000004">
      <c r="A59" s="273" t="s">
        <v>960</v>
      </c>
      <c r="B59" s="214" t="s">
        <v>983</v>
      </c>
      <c r="C59" t="s">
        <v>231</v>
      </c>
      <c r="D59" t="s">
        <v>981</v>
      </c>
    </row>
    <row r="60" spans="1:5" ht="57.6" customHeight="1" x14ac:dyDescent="0.55000000000000004">
      <c r="A60" s="273" t="s">
        <v>960</v>
      </c>
      <c r="B60" s="214" t="s">
        <v>984</v>
      </c>
      <c r="C60" t="s">
        <v>16</v>
      </c>
      <c r="D60" t="s">
        <v>981</v>
      </c>
    </row>
    <row r="61" spans="1:5" ht="72" customHeight="1" x14ac:dyDescent="0.55000000000000004">
      <c r="A61" s="273" t="s">
        <v>985</v>
      </c>
      <c r="B61" s="214" t="s">
        <v>986</v>
      </c>
      <c r="C61" t="s">
        <v>231</v>
      </c>
      <c r="D61" t="s">
        <v>953</v>
      </c>
    </row>
    <row r="62" spans="1:5" ht="72" customHeight="1" x14ac:dyDescent="0.55000000000000004">
      <c r="A62" s="273" t="s">
        <v>985</v>
      </c>
      <c r="B62" s="214" t="s">
        <v>987</v>
      </c>
      <c r="C62" t="s">
        <v>231</v>
      </c>
      <c r="D62" t="s">
        <v>953</v>
      </c>
    </row>
    <row r="63" spans="1:5" ht="72" customHeight="1" x14ac:dyDescent="0.55000000000000004">
      <c r="A63" s="273" t="s">
        <v>985</v>
      </c>
      <c r="B63" s="214" t="s">
        <v>988</v>
      </c>
      <c r="C63" t="s">
        <v>231</v>
      </c>
      <c r="D63" t="s">
        <v>953</v>
      </c>
    </row>
    <row r="64" spans="1:5" ht="86.4" customHeight="1" x14ac:dyDescent="0.55000000000000004">
      <c r="A64" s="273" t="s">
        <v>960</v>
      </c>
      <c r="B64" s="214" t="s">
        <v>989</v>
      </c>
      <c r="C64" t="s">
        <v>231</v>
      </c>
      <c r="D64" t="s">
        <v>990</v>
      </c>
    </row>
    <row r="65" spans="1:5" ht="72" customHeight="1" x14ac:dyDescent="0.55000000000000004">
      <c r="A65" s="273" t="s">
        <v>960</v>
      </c>
      <c r="B65" s="214" t="s">
        <v>991</v>
      </c>
      <c r="C65" t="s">
        <v>231</v>
      </c>
      <c r="D65" t="s">
        <v>990</v>
      </c>
    </row>
    <row r="66" spans="1:5" ht="72" customHeight="1" x14ac:dyDescent="0.55000000000000004">
      <c r="A66" s="273" t="s">
        <v>960</v>
      </c>
      <c r="B66" s="214" t="s">
        <v>992</v>
      </c>
      <c r="C66" t="s">
        <v>231</v>
      </c>
      <c r="D66" t="s">
        <v>990</v>
      </c>
    </row>
    <row r="67" spans="1:5" ht="86.4" customHeight="1" x14ac:dyDescent="0.55000000000000004">
      <c r="A67" s="273" t="s">
        <v>993</v>
      </c>
      <c r="B67" s="214" t="s">
        <v>994</v>
      </c>
      <c r="C67" t="s">
        <v>231</v>
      </c>
      <c r="D67" t="s">
        <v>953</v>
      </c>
    </row>
    <row r="68" spans="1:5" ht="72" customHeight="1" x14ac:dyDescent="0.55000000000000004">
      <c r="A68" s="273" t="s">
        <v>993</v>
      </c>
      <c r="B68" s="214" t="s">
        <v>995</v>
      </c>
      <c r="C68" t="s">
        <v>231</v>
      </c>
      <c r="D68" t="s">
        <v>953</v>
      </c>
    </row>
    <row r="69" spans="1:5" ht="57.6" customHeight="1" x14ac:dyDescent="0.55000000000000004">
      <c r="A69" s="273" t="s">
        <v>993</v>
      </c>
      <c r="B69" s="214" t="s">
        <v>996</v>
      </c>
      <c r="C69" t="s">
        <v>231</v>
      </c>
      <c r="D69" t="s">
        <v>953</v>
      </c>
    </row>
    <row r="70" spans="1:5" ht="86.4" customHeight="1" x14ac:dyDescent="0.55000000000000004">
      <c r="A70" s="273" t="s">
        <v>960</v>
      </c>
      <c r="B70" s="214" t="s">
        <v>997</v>
      </c>
      <c r="C70" t="s">
        <v>231</v>
      </c>
      <c r="D70" t="s">
        <v>998</v>
      </c>
    </row>
    <row r="71" spans="1:5" ht="43.2" customHeight="1" x14ac:dyDescent="0.55000000000000004">
      <c r="A71" s="273" t="s">
        <v>960</v>
      </c>
      <c r="B71" s="214" t="s">
        <v>999</v>
      </c>
      <c r="C71" t="s">
        <v>231</v>
      </c>
      <c r="D71" t="s">
        <v>998</v>
      </c>
    </row>
    <row r="72" spans="1:5" ht="72" customHeight="1" x14ac:dyDescent="0.55000000000000004">
      <c r="A72" s="273" t="s">
        <v>960</v>
      </c>
      <c r="B72" s="214" t="s">
        <v>1000</v>
      </c>
      <c r="C72" t="s">
        <v>231</v>
      </c>
      <c r="D72" t="s">
        <v>998</v>
      </c>
    </row>
    <row r="73" spans="1:5" ht="57.6" customHeight="1" x14ac:dyDescent="0.55000000000000004">
      <c r="A73" s="273" t="s">
        <v>960</v>
      </c>
      <c r="B73" s="214" t="s">
        <v>1001</v>
      </c>
      <c r="C73" t="s">
        <v>231</v>
      </c>
      <c r="D73" t="s">
        <v>998</v>
      </c>
      <c r="E73" t="s">
        <v>1002</v>
      </c>
    </row>
    <row r="75" spans="1:5" x14ac:dyDescent="0.55000000000000004">
      <c r="A75" s="273" t="s">
        <v>880</v>
      </c>
      <c r="B75" t="s">
        <v>1003</v>
      </c>
      <c r="C75" t="s">
        <v>231</v>
      </c>
      <c r="D75" t="s">
        <v>953</v>
      </c>
      <c r="E75" t="s">
        <v>1004</v>
      </c>
    </row>
    <row r="76" spans="1:5" x14ac:dyDescent="0.55000000000000004">
      <c r="A76" s="273" t="s">
        <v>880</v>
      </c>
      <c r="B76" t="s">
        <v>1005</v>
      </c>
      <c r="C76" t="s">
        <v>231</v>
      </c>
      <c r="D76" t="s">
        <v>1006</v>
      </c>
      <c r="E76" t="s">
        <v>1007</v>
      </c>
    </row>
    <row r="77" spans="1:5" x14ac:dyDescent="0.55000000000000004">
      <c r="A77" s="273" t="s">
        <v>880</v>
      </c>
      <c r="B77" t="s">
        <v>1008</v>
      </c>
      <c r="C77" t="s">
        <v>231</v>
      </c>
      <c r="D77" t="s">
        <v>962</v>
      </c>
      <c r="E77" t="s">
        <v>1009</v>
      </c>
    </row>
    <row r="78" spans="1:5" x14ac:dyDescent="0.55000000000000004">
      <c r="A78" s="273" t="s">
        <v>888</v>
      </c>
      <c r="B78" t="s">
        <v>1010</v>
      </c>
      <c r="C78" t="s">
        <v>231</v>
      </c>
      <c r="D78" t="s">
        <v>1011</v>
      </c>
      <c r="E78" t="s">
        <v>1012</v>
      </c>
    </row>
    <row r="79" spans="1:5" x14ac:dyDescent="0.55000000000000004">
      <c r="A79" s="273" t="s">
        <v>888</v>
      </c>
      <c r="B79" t="s">
        <v>1013</v>
      </c>
      <c r="C79" t="s">
        <v>231</v>
      </c>
      <c r="D79" t="s">
        <v>1011</v>
      </c>
      <c r="E79" t="s">
        <v>1014</v>
      </c>
    </row>
    <row r="80" spans="1:5" x14ac:dyDescent="0.55000000000000004">
      <c r="A80" s="273" t="s">
        <v>880</v>
      </c>
      <c r="B80" t="s">
        <v>1015</v>
      </c>
      <c r="C80" t="s">
        <v>231</v>
      </c>
      <c r="D80" t="s">
        <v>962</v>
      </c>
      <c r="E80" t="s">
        <v>1016</v>
      </c>
    </row>
    <row r="81" spans="1:5" x14ac:dyDescent="0.55000000000000004">
      <c r="A81" s="273" t="s">
        <v>874</v>
      </c>
      <c r="B81" t="s">
        <v>1017</v>
      </c>
      <c r="C81" t="s">
        <v>231</v>
      </c>
      <c r="D81" t="s">
        <v>998</v>
      </c>
      <c r="E81" t="s">
        <v>1018</v>
      </c>
    </row>
    <row r="82" spans="1:5" x14ac:dyDescent="0.55000000000000004">
      <c r="A82" s="273" t="s">
        <v>874</v>
      </c>
      <c r="B82" t="s">
        <v>1019</v>
      </c>
      <c r="C82" t="s">
        <v>231</v>
      </c>
      <c r="D82" t="s">
        <v>998</v>
      </c>
      <c r="E82" t="s">
        <v>1020</v>
      </c>
    </row>
    <row r="83" spans="1:5" x14ac:dyDescent="0.55000000000000004">
      <c r="A83" s="273" t="s">
        <v>880</v>
      </c>
      <c r="B83" t="s">
        <v>174</v>
      </c>
      <c r="C83" t="s">
        <v>231</v>
      </c>
      <c r="D83" t="s">
        <v>953</v>
      </c>
      <c r="E83" t="s">
        <v>1021</v>
      </c>
    </row>
    <row r="84" spans="1:5" x14ac:dyDescent="0.55000000000000004">
      <c r="A84" s="273" t="s">
        <v>874</v>
      </c>
      <c r="B84" t="s">
        <v>1022</v>
      </c>
      <c r="C84" t="s">
        <v>231</v>
      </c>
      <c r="D84" t="s">
        <v>1023</v>
      </c>
      <c r="E84" t="s">
        <v>1024</v>
      </c>
    </row>
    <row r="85" spans="1:5" x14ac:dyDescent="0.55000000000000004">
      <c r="A85" s="273" t="s">
        <v>888</v>
      </c>
      <c r="B85" t="s">
        <v>1025</v>
      </c>
      <c r="C85" t="s">
        <v>231</v>
      </c>
      <c r="D85" t="s">
        <v>1023</v>
      </c>
      <c r="E85" t="s">
        <v>1026</v>
      </c>
    </row>
    <row r="86" spans="1:5" x14ac:dyDescent="0.55000000000000004">
      <c r="A86" s="273" t="s">
        <v>911</v>
      </c>
      <c r="B86" t="s">
        <v>1027</v>
      </c>
      <c r="C86" t="s">
        <v>231</v>
      </c>
      <c r="D86" t="s">
        <v>1028</v>
      </c>
      <c r="E86" t="s">
        <v>1029</v>
      </c>
    </row>
    <row r="87" spans="1:5" x14ac:dyDescent="0.55000000000000004">
      <c r="A87" s="273" t="s">
        <v>888</v>
      </c>
      <c r="B87" t="s">
        <v>1030</v>
      </c>
      <c r="C87" t="s">
        <v>16</v>
      </c>
      <c r="D87" t="s">
        <v>1031</v>
      </c>
      <c r="E87" t="s">
        <v>1032</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10" t="s">
        <v>1033</v>
      </c>
    </row>
    <row r="2" spans="1:9" x14ac:dyDescent="0.55000000000000004">
      <c r="A2" s="211" t="s">
        <v>1034</v>
      </c>
    </row>
    <row r="4" spans="1:9" x14ac:dyDescent="0.55000000000000004">
      <c r="A4" s="212" t="s">
        <v>1035</v>
      </c>
      <c r="B4" s="212" t="s">
        <v>1036</v>
      </c>
      <c r="C4" s="212" t="s">
        <v>1037</v>
      </c>
      <c r="D4" s="212" t="s">
        <v>1038</v>
      </c>
      <c r="E4" s="212" t="s">
        <v>1039</v>
      </c>
      <c r="F4" s="212" t="s">
        <v>1040</v>
      </c>
      <c r="G4" s="212" t="s">
        <v>1041</v>
      </c>
      <c r="H4" s="212" t="s">
        <v>4</v>
      </c>
      <c r="I4" s="212" t="s">
        <v>1042</v>
      </c>
    </row>
    <row r="5" spans="1:9" ht="62.05" customHeight="1" x14ac:dyDescent="0.55000000000000004">
      <c r="A5" s="213" t="s">
        <v>1043</v>
      </c>
      <c r="B5" s="214" t="s">
        <v>1044</v>
      </c>
      <c r="C5" s="214" t="s">
        <v>1045</v>
      </c>
      <c r="D5" s="214" t="s">
        <v>1046</v>
      </c>
      <c r="E5" s="214" t="s">
        <v>1047</v>
      </c>
      <c r="F5" s="214" t="s">
        <v>1048</v>
      </c>
      <c r="G5" s="214" t="s">
        <v>1049</v>
      </c>
      <c r="H5" s="215" t="s">
        <v>1050</v>
      </c>
      <c r="I5" s="214" t="s">
        <v>1051</v>
      </c>
    </row>
    <row r="6" spans="1:9" ht="62.05" customHeight="1" x14ac:dyDescent="0.55000000000000004">
      <c r="A6" s="213" t="s">
        <v>1052</v>
      </c>
      <c r="B6" s="214" t="s">
        <v>1053</v>
      </c>
      <c r="C6" s="214" t="s">
        <v>1054</v>
      </c>
      <c r="D6" s="214" t="s">
        <v>1055</v>
      </c>
      <c r="E6" s="214" t="s">
        <v>1056</v>
      </c>
      <c r="F6" s="214" t="s">
        <v>1057</v>
      </c>
      <c r="G6" s="214" t="s">
        <v>1058</v>
      </c>
      <c r="H6" s="216" t="s">
        <v>1050</v>
      </c>
      <c r="I6" s="214" t="s">
        <v>1059</v>
      </c>
    </row>
    <row r="7" spans="1:9" ht="62.05" customHeight="1" x14ac:dyDescent="0.55000000000000004">
      <c r="A7" s="213" t="s">
        <v>1060</v>
      </c>
      <c r="B7" s="214" t="s">
        <v>1061</v>
      </c>
      <c r="C7" s="214" t="s">
        <v>1062</v>
      </c>
      <c r="D7" s="214" t="s">
        <v>1063</v>
      </c>
      <c r="E7" s="214" t="s">
        <v>1064</v>
      </c>
      <c r="F7" s="214" t="s">
        <v>1065</v>
      </c>
      <c r="G7" s="214" t="s">
        <v>1066</v>
      </c>
      <c r="H7" s="216" t="s">
        <v>1050</v>
      </c>
      <c r="I7" s="214" t="s">
        <v>1067</v>
      </c>
    </row>
    <row r="8" spans="1:9" ht="62.05" customHeight="1" x14ac:dyDescent="0.55000000000000004">
      <c r="A8" s="213" t="s">
        <v>1068</v>
      </c>
      <c r="B8" s="214" t="s">
        <v>1069</v>
      </c>
      <c r="C8" s="214" t="s">
        <v>1070</v>
      </c>
      <c r="D8" s="214" t="s">
        <v>1071</v>
      </c>
      <c r="E8" s="214" t="s">
        <v>120</v>
      </c>
      <c r="F8" s="214" t="s">
        <v>120</v>
      </c>
      <c r="G8" s="214" t="s">
        <v>120</v>
      </c>
      <c r="H8" s="215" t="s">
        <v>1072</v>
      </c>
      <c r="I8" s="214" t="s">
        <v>1073</v>
      </c>
    </row>
    <row r="9" spans="1:9" ht="62.05" customHeight="1" x14ac:dyDescent="0.55000000000000004">
      <c r="A9" s="213" t="s">
        <v>1074</v>
      </c>
      <c r="B9" s="214" t="s">
        <v>1075</v>
      </c>
      <c r="C9" s="214" t="s">
        <v>1076</v>
      </c>
      <c r="D9" s="214" t="s">
        <v>1071</v>
      </c>
      <c r="E9" s="214" t="s">
        <v>1064</v>
      </c>
      <c r="F9" s="214" t="s">
        <v>1077</v>
      </c>
      <c r="G9" s="214" t="s">
        <v>1078</v>
      </c>
      <c r="H9" s="217" t="s">
        <v>1079</v>
      </c>
      <c r="I9" s="214" t="s">
        <v>1080</v>
      </c>
    </row>
    <row r="10" spans="1:9" ht="62.05" customHeight="1" x14ac:dyDescent="0.55000000000000004">
      <c r="A10" s="213" t="s">
        <v>1081</v>
      </c>
      <c r="B10" s="214" t="s">
        <v>1082</v>
      </c>
      <c r="C10" s="214" t="s">
        <v>1083</v>
      </c>
      <c r="D10" s="214" t="s">
        <v>1084</v>
      </c>
      <c r="E10" s="214" t="s">
        <v>1085</v>
      </c>
      <c r="F10" s="214" t="s">
        <v>1086</v>
      </c>
      <c r="G10" s="214" t="s">
        <v>1087</v>
      </c>
      <c r="H10" s="217" t="s">
        <v>1088</v>
      </c>
      <c r="I10" s="214" t="s">
        <v>1089</v>
      </c>
    </row>
    <row r="11" spans="1:9" ht="62.05" customHeight="1" x14ac:dyDescent="0.55000000000000004">
      <c r="A11" s="213" t="s">
        <v>1090</v>
      </c>
      <c r="B11" s="214" t="s">
        <v>1091</v>
      </c>
      <c r="C11" s="214" t="s">
        <v>1092</v>
      </c>
      <c r="D11" s="214" t="s">
        <v>1093</v>
      </c>
      <c r="E11" s="214" t="s">
        <v>120</v>
      </c>
      <c r="F11" s="214" t="s">
        <v>120</v>
      </c>
      <c r="G11" s="214" t="s">
        <v>1094</v>
      </c>
      <c r="H11" s="217" t="s">
        <v>1095</v>
      </c>
      <c r="I11" s="214" t="s">
        <v>1096</v>
      </c>
    </row>
    <row r="12" spans="1:9" ht="62.05" customHeight="1" x14ac:dyDescent="0.55000000000000004">
      <c r="A12" s="213" t="s">
        <v>1097</v>
      </c>
      <c r="B12" s="214" t="s">
        <v>1098</v>
      </c>
      <c r="C12" s="214" t="s">
        <v>1099</v>
      </c>
      <c r="D12" s="214" t="s">
        <v>1100</v>
      </c>
      <c r="E12" s="214" t="s">
        <v>120</v>
      </c>
      <c r="F12" s="214" t="s">
        <v>120</v>
      </c>
      <c r="G12" s="214" t="s">
        <v>1094</v>
      </c>
      <c r="H12" s="216" t="s">
        <v>1101</v>
      </c>
      <c r="I12" s="214" t="s">
        <v>1102</v>
      </c>
    </row>
    <row r="13" spans="1:9" ht="62.05" customHeight="1" x14ac:dyDescent="0.55000000000000004">
      <c r="A13" s="213" t="s">
        <v>1103</v>
      </c>
      <c r="B13" s="214" t="s">
        <v>1104</v>
      </c>
      <c r="C13" s="214" t="s">
        <v>1105</v>
      </c>
      <c r="D13" s="214" t="s">
        <v>120</v>
      </c>
      <c r="E13" s="214" t="s">
        <v>120</v>
      </c>
      <c r="F13" s="214" t="s">
        <v>120</v>
      </c>
      <c r="G13" s="214" t="s">
        <v>120</v>
      </c>
      <c r="H13" s="217" t="s">
        <v>1106</v>
      </c>
      <c r="I13" s="214" t="s">
        <v>1107</v>
      </c>
    </row>
    <row r="14" spans="1:9" ht="62.05" customHeight="1" x14ac:dyDescent="0.55000000000000004">
      <c r="A14" s="213" t="s">
        <v>1108</v>
      </c>
      <c r="B14" s="214" t="s">
        <v>1109</v>
      </c>
      <c r="C14" s="214" t="s">
        <v>1105</v>
      </c>
      <c r="D14" s="214" t="s">
        <v>120</v>
      </c>
      <c r="E14" s="214" t="s">
        <v>120</v>
      </c>
      <c r="F14" s="214" t="s">
        <v>120</v>
      </c>
      <c r="G14" s="214" t="s">
        <v>120</v>
      </c>
      <c r="H14" s="217" t="s">
        <v>1106</v>
      </c>
      <c r="I14" s="214" t="s">
        <v>1110</v>
      </c>
    </row>
    <row r="16" spans="1:9" x14ac:dyDescent="0.55000000000000004">
      <c r="A16" s="311" t="s">
        <v>1111</v>
      </c>
      <c r="B16" s="291"/>
      <c r="C16" s="291"/>
      <c r="D16" s="291"/>
      <c r="E16" s="291"/>
      <c r="F16" s="291"/>
      <c r="G16" s="291"/>
      <c r="H16" s="291"/>
      <c r="I16" s="291"/>
    </row>
    <row r="18" spans="1:1" x14ac:dyDescent="0.55000000000000004">
      <c r="A18" s="211" t="s">
        <v>1112</v>
      </c>
    </row>
    <row r="20" spans="1:1" x14ac:dyDescent="0.55000000000000004">
      <c r="A20" s="211" t="s">
        <v>1113</v>
      </c>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2026-09-19T04:30:56Z</dcterms:modified>
</cp:coreProperties>
</file>